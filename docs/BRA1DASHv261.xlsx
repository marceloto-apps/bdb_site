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imelines/timeline2.xml" ContentType="application/vnd.ms-excel.timelin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2f0e9c4f102132/Projetos/Trade Esportivo/BigDataBet/Site/Planilhas/"/>
    </mc:Choice>
  </mc:AlternateContent>
  <xr:revisionPtr revIDLastSave="0" documentId="8_{021C4C24-EB03-4847-9ABF-3EF7A29E74A5}" xr6:coauthVersionLast="47" xr6:coauthVersionMax="47" xr10:uidLastSave="{00000000-0000-0000-0000-000000000000}"/>
  <bookViews>
    <workbookView xWindow="-120" yWindow="-120" windowWidth="29040" windowHeight="15720" activeTab="1" xr2:uid="{DD08F6ED-F8CE-4549-98A7-88F46EC6EA00}"/>
  </bookViews>
  <sheets>
    <sheet name="INICIO" sheetId="68" r:id="rId1"/>
    <sheet name="DASH" sheetId="57" r:id="rId2"/>
    <sheet name="FT" sheetId="64" r:id="rId3"/>
    <sheet name="CS" sheetId="58" r:id="rId4"/>
    <sheet name="EVOL" sheetId="67" r:id="rId5"/>
    <sheet name="MAPVAL" sheetId="73" r:id="rId6"/>
    <sheet name="BDBRA1" sheetId="9" r:id="rId7"/>
    <sheet name="BRA" sheetId="80" r:id="rId8"/>
  </sheets>
  <externalReferences>
    <externalReference r:id="rId9"/>
    <externalReference r:id="rId10"/>
    <externalReference r:id="rId11"/>
  </externalReferences>
  <definedNames>
    <definedName name="BDFRA">[1]!Tabela1[#All]</definedName>
    <definedName name="BITA" localSheetId="0">[2]!Tabela1[#All]</definedName>
    <definedName name="BITA">Tabela1[#All]</definedName>
    <definedName name="BITA2" localSheetId="0">[2]!Tabela2[#All]</definedName>
    <definedName name="BITA2">Tabela2[#All]</definedName>
    <definedName name="BITAC">BDBRA1!$A$1:$DP$1217</definedName>
    <definedName name="CGC">[3]brasil!$BO$2:$BO$21</definedName>
    <definedName name="CGV">[3]brasil!$BP$2:$BP$21</definedName>
    <definedName name="DadosExternos_2" localSheetId="7" hidden="1">BRA!$A$1:$I$118</definedName>
    <definedName name="dash" localSheetId="0">#REF!</definedName>
    <definedName name="dash">#REF!</definedName>
    <definedName name="ESCUDOS" localSheetId="0">INDEX(#REF!,MATCH(#REF!,#REF!,0))</definedName>
    <definedName name="ESCUDOS">INDEX(#REF!,MATCH(#REF!,#REF!,0))</definedName>
    <definedName name="ESCUDOSFORAITALIA" localSheetId="0">INDEX(#REF!,MATCH(#REF!,#REF!,0))</definedName>
    <definedName name="ESCUDOSFORAITALIA">INDEX(#REF!,MATCH(#REF!,#REF!,0))</definedName>
    <definedName name="fthg" localSheetId="0">#REF!</definedName>
    <definedName name="fthg">#REF!</definedName>
    <definedName name="GFC">[3]brasil!$AU$2:$AU$21</definedName>
    <definedName name="MCFC">[3]brasil!$BM$2:$BM$21</definedName>
    <definedName name="MCFV">[3]brasil!$BN$2:$BN$21</definedName>
    <definedName name="MGFC.">[3]brasil!$AZ$2:$AZ$21</definedName>
    <definedName name="MGFV.">[3]brasil!$BA$2:$BA$21</definedName>
    <definedName name="NativeTimeline_Date">#N/A</definedName>
    <definedName name="NativeTimeline_Date1">#N/A</definedName>
    <definedName name="SegmentaçãodeDados_AwayTeam">#N/A</definedName>
    <definedName name="SegmentaçãodeDados_AwayTeam1">#N/A</definedName>
    <definedName name="SegmentaçãodeDados_AwayTeam2">#N/A</definedName>
    <definedName name="SegmentaçãodeDados_FAVC">#N/A</definedName>
    <definedName name="SegmentaçãodeDados_FAVV">#N/A</definedName>
    <definedName name="SegmentaçãodeDados_HomeTeam">#N/A</definedName>
    <definedName name="SegmentaçãodeDados_HomeTeam1">#N/A</definedName>
    <definedName name="SegmentaçãodeDados_HomeTeam2">#N/A</definedName>
    <definedName name="TT">BDBRA1!$1:$1048576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4="http://schemas.microsoft.com/office/spreadsheetml/2009/9/main" uri="{BBE1A952-AA13-448e-AADC-164F8A28A991}">
      <x14:slicerCaches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4"/>
        <x15:timelineCacheRef r:id="rId2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9" l="1"/>
  <c r="N3" i="9" s="1"/>
  <c r="K3" i="9"/>
  <c r="L3" i="9"/>
  <c r="M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F3" i="9"/>
  <c r="AG3" i="9"/>
  <c r="AH3" i="9"/>
  <c r="AI3" i="9"/>
  <c r="AJ3" i="9"/>
  <c r="AK3" i="9"/>
  <c r="AL3" i="9"/>
  <c r="AM3" i="9"/>
  <c r="AN3" i="9" s="1"/>
  <c r="AO3" i="9"/>
  <c r="J4" i="9"/>
  <c r="N4" i="9" s="1"/>
  <c r="K4" i="9"/>
  <c r="O4" i="9" s="1"/>
  <c r="L4" i="9"/>
  <c r="M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F4" i="9"/>
  <c r="AG4" i="9"/>
  <c r="AH4" i="9"/>
  <c r="AI4" i="9"/>
  <c r="AJ4" i="9"/>
  <c r="AK4" i="9"/>
  <c r="AL4" i="9"/>
  <c r="AM4" i="9"/>
  <c r="AP4" i="9" s="1"/>
  <c r="J5" i="9"/>
  <c r="N5" i="9" s="1"/>
  <c r="K5" i="9"/>
  <c r="O5" i="9" s="1"/>
  <c r="L5" i="9"/>
  <c r="M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F5" i="9"/>
  <c r="AG5" i="9"/>
  <c r="AH5" i="9"/>
  <c r="AI5" i="9"/>
  <c r="AJ5" i="9"/>
  <c r="AK5" i="9"/>
  <c r="AL5" i="9"/>
  <c r="AM5" i="9"/>
  <c r="AP5" i="9" s="1"/>
  <c r="J6" i="9"/>
  <c r="N6" i="9" s="1"/>
  <c r="K6" i="9"/>
  <c r="O6" i="9" s="1"/>
  <c r="L6" i="9"/>
  <c r="M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F6" i="9"/>
  <c r="AG6" i="9"/>
  <c r="AH6" i="9"/>
  <c r="AI6" i="9"/>
  <c r="AJ6" i="9"/>
  <c r="AK6" i="9"/>
  <c r="AO6" i="9" s="1"/>
  <c r="AL6" i="9"/>
  <c r="AM6" i="9"/>
  <c r="J7" i="9"/>
  <c r="N7" i="9" s="1"/>
  <c r="K7" i="9"/>
  <c r="O7" i="9" s="1"/>
  <c r="L7" i="9"/>
  <c r="M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F7" i="9"/>
  <c r="AG7" i="9"/>
  <c r="AH7" i="9"/>
  <c r="AI7" i="9"/>
  <c r="AJ7" i="9"/>
  <c r="AK7" i="9"/>
  <c r="AO7" i="9" s="1"/>
  <c r="AL7" i="9"/>
  <c r="AM7" i="9"/>
  <c r="AP7" i="9" s="1"/>
  <c r="J8" i="9"/>
  <c r="N8" i="9" s="1"/>
  <c r="K8" i="9"/>
  <c r="O8" i="9" s="1"/>
  <c r="L8" i="9"/>
  <c r="M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F8" i="9"/>
  <c r="AG8" i="9"/>
  <c r="AH8" i="9"/>
  <c r="AI8" i="9"/>
  <c r="AJ8" i="9"/>
  <c r="AK8" i="9"/>
  <c r="AO8" i="9" s="1"/>
  <c r="AL8" i="9"/>
  <c r="AM8" i="9"/>
  <c r="AP8" i="9" s="1"/>
  <c r="J9" i="9"/>
  <c r="N9" i="9" s="1"/>
  <c r="K9" i="9"/>
  <c r="O9" i="9" s="1"/>
  <c r="L9" i="9"/>
  <c r="M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F9" i="9"/>
  <c r="AG9" i="9"/>
  <c r="AH9" i="9"/>
  <c r="AI9" i="9"/>
  <c r="AJ9" i="9"/>
  <c r="AK9" i="9"/>
  <c r="AL9" i="9"/>
  <c r="AM9" i="9"/>
  <c r="AP9" i="9" s="1"/>
  <c r="J10" i="9"/>
  <c r="N10" i="9" s="1"/>
  <c r="K10" i="9"/>
  <c r="O10" i="9" s="1"/>
  <c r="L10" i="9"/>
  <c r="M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F10" i="9"/>
  <c r="AG10" i="9"/>
  <c r="AH10" i="9"/>
  <c r="AI10" i="9"/>
  <c r="AJ10" i="9"/>
  <c r="AK10" i="9"/>
  <c r="AO10" i="9" s="1"/>
  <c r="AL10" i="9"/>
  <c r="AM10" i="9"/>
  <c r="J11" i="9"/>
  <c r="N11" i="9" s="1"/>
  <c r="K11" i="9"/>
  <c r="O11" i="9" s="1"/>
  <c r="L11" i="9"/>
  <c r="M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F11" i="9"/>
  <c r="AG11" i="9"/>
  <c r="AH11" i="9"/>
  <c r="AI11" i="9"/>
  <c r="AJ11" i="9"/>
  <c r="AK11" i="9"/>
  <c r="AO11" i="9" s="1"/>
  <c r="AL11" i="9"/>
  <c r="AM11" i="9"/>
  <c r="AP11" i="9" s="1"/>
  <c r="J12" i="9"/>
  <c r="N12" i="9" s="1"/>
  <c r="K12" i="9"/>
  <c r="O12" i="9" s="1"/>
  <c r="L12" i="9"/>
  <c r="M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F12" i="9"/>
  <c r="AG12" i="9"/>
  <c r="AH12" i="9"/>
  <c r="AI12" i="9"/>
  <c r="AJ12" i="9"/>
  <c r="AK12" i="9"/>
  <c r="AO12" i="9" s="1"/>
  <c r="AL12" i="9"/>
  <c r="AM12" i="9"/>
  <c r="AP12" i="9" s="1"/>
  <c r="J13" i="9"/>
  <c r="N13" i="9" s="1"/>
  <c r="K13" i="9"/>
  <c r="O13" i="9" s="1"/>
  <c r="L13" i="9"/>
  <c r="M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F13" i="9"/>
  <c r="AG13" i="9"/>
  <c r="AH13" i="9"/>
  <c r="AI13" i="9"/>
  <c r="AJ13" i="9"/>
  <c r="AK13" i="9"/>
  <c r="AL13" i="9"/>
  <c r="AM13" i="9"/>
  <c r="AP13" i="9" s="1"/>
  <c r="J14" i="9"/>
  <c r="N14" i="9" s="1"/>
  <c r="K14" i="9"/>
  <c r="L14" i="9"/>
  <c r="M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F14" i="9"/>
  <c r="AG14" i="9"/>
  <c r="AH14" i="9"/>
  <c r="AI14" i="9"/>
  <c r="AJ14" i="9"/>
  <c r="AK14" i="9"/>
  <c r="AO14" i="9" s="1"/>
  <c r="AL14" i="9"/>
  <c r="AM14" i="9"/>
  <c r="J15" i="9"/>
  <c r="N15" i="9" s="1"/>
  <c r="K15" i="9"/>
  <c r="O15" i="9" s="1"/>
  <c r="L15" i="9"/>
  <c r="M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F15" i="9"/>
  <c r="AG15" i="9"/>
  <c r="AH15" i="9"/>
  <c r="AI15" i="9"/>
  <c r="AJ15" i="9"/>
  <c r="AK15" i="9"/>
  <c r="AL15" i="9"/>
  <c r="AM15" i="9"/>
  <c r="AP15" i="9" s="1"/>
  <c r="J16" i="9"/>
  <c r="N16" i="9" s="1"/>
  <c r="K16" i="9"/>
  <c r="O16" i="9" s="1"/>
  <c r="L16" i="9"/>
  <c r="M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F16" i="9"/>
  <c r="AG16" i="9"/>
  <c r="AH16" i="9"/>
  <c r="AI16" i="9"/>
  <c r="AJ16" i="9"/>
  <c r="AK16" i="9"/>
  <c r="AO16" i="9" s="1"/>
  <c r="AL16" i="9"/>
  <c r="AM16" i="9"/>
  <c r="J17" i="9"/>
  <c r="N17" i="9" s="1"/>
  <c r="K17" i="9"/>
  <c r="O17" i="9" s="1"/>
  <c r="L17" i="9"/>
  <c r="M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F17" i="9"/>
  <c r="AG17" i="9"/>
  <c r="AH17" i="9"/>
  <c r="AI17" i="9"/>
  <c r="AJ17" i="9"/>
  <c r="AK17" i="9"/>
  <c r="AL17" i="9"/>
  <c r="AM17" i="9"/>
  <c r="AP17" i="9" s="1"/>
  <c r="J18" i="9"/>
  <c r="N18" i="9" s="1"/>
  <c r="K18" i="9"/>
  <c r="O18" i="9" s="1"/>
  <c r="L18" i="9"/>
  <c r="M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F18" i="9"/>
  <c r="AG18" i="9"/>
  <c r="AH18" i="9"/>
  <c r="AI18" i="9"/>
  <c r="AJ18" i="9"/>
  <c r="AK18" i="9"/>
  <c r="AO18" i="9" s="1"/>
  <c r="AL18" i="9"/>
  <c r="AM18" i="9"/>
  <c r="J19" i="9"/>
  <c r="N19" i="9" s="1"/>
  <c r="K19" i="9"/>
  <c r="O19" i="9" s="1"/>
  <c r="L19" i="9"/>
  <c r="M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F19" i="9"/>
  <c r="AG19" i="9"/>
  <c r="AH19" i="9"/>
  <c r="AI19" i="9"/>
  <c r="AJ19" i="9"/>
  <c r="AK19" i="9"/>
  <c r="AL19" i="9"/>
  <c r="AM19" i="9"/>
  <c r="AP19" i="9" s="1"/>
  <c r="J20" i="9"/>
  <c r="N20" i="9" s="1"/>
  <c r="K20" i="9"/>
  <c r="O20" i="9" s="1"/>
  <c r="L20" i="9"/>
  <c r="M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F20" i="9"/>
  <c r="AG20" i="9"/>
  <c r="AH20" i="9"/>
  <c r="AI20" i="9"/>
  <c r="AJ20" i="9"/>
  <c r="AK20" i="9"/>
  <c r="AO20" i="9" s="1"/>
  <c r="AL20" i="9"/>
  <c r="AM20" i="9"/>
  <c r="AP20" i="9" s="1"/>
  <c r="J21" i="9"/>
  <c r="N21" i="9" s="1"/>
  <c r="K21" i="9"/>
  <c r="O21" i="9" s="1"/>
  <c r="L21" i="9"/>
  <c r="M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F21" i="9"/>
  <c r="AG21" i="9"/>
  <c r="AH21" i="9"/>
  <c r="AI21" i="9"/>
  <c r="AJ21" i="9"/>
  <c r="AK21" i="9"/>
  <c r="AL21" i="9"/>
  <c r="AM21" i="9"/>
  <c r="AP21" i="9" s="1"/>
  <c r="J22" i="9"/>
  <c r="N22" i="9" s="1"/>
  <c r="K22" i="9"/>
  <c r="O22" i="9" s="1"/>
  <c r="L22" i="9"/>
  <c r="M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F22" i="9"/>
  <c r="AG22" i="9"/>
  <c r="AH22" i="9"/>
  <c r="AI22" i="9"/>
  <c r="AJ22" i="9"/>
  <c r="AK22" i="9"/>
  <c r="AO22" i="9" s="1"/>
  <c r="AL22" i="9"/>
  <c r="AM22" i="9"/>
  <c r="J23" i="9"/>
  <c r="N23" i="9" s="1"/>
  <c r="K23" i="9"/>
  <c r="O23" i="9" s="1"/>
  <c r="L23" i="9"/>
  <c r="M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F23" i="9"/>
  <c r="AG23" i="9"/>
  <c r="AH23" i="9"/>
  <c r="AI23" i="9"/>
  <c r="AJ23" i="9"/>
  <c r="AK23" i="9"/>
  <c r="AL23" i="9"/>
  <c r="AM23" i="9"/>
  <c r="AP23" i="9" s="1"/>
  <c r="J24" i="9"/>
  <c r="N24" i="9" s="1"/>
  <c r="K24" i="9"/>
  <c r="O24" i="9" s="1"/>
  <c r="L24" i="9"/>
  <c r="M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F24" i="9"/>
  <c r="AG24" i="9"/>
  <c r="AH24" i="9"/>
  <c r="AI24" i="9"/>
  <c r="AJ24" i="9"/>
  <c r="AK24" i="9"/>
  <c r="AO24" i="9" s="1"/>
  <c r="AL24" i="9"/>
  <c r="AM24" i="9"/>
  <c r="AP24" i="9" s="1"/>
  <c r="J25" i="9"/>
  <c r="N25" i="9" s="1"/>
  <c r="K25" i="9"/>
  <c r="O25" i="9" s="1"/>
  <c r="L25" i="9"/>
  <c r="M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F25" i="9"/>
  <c r="AG25" i="9"/>
  <c r="AH25" i="9"/>
  <c r="AI25" i="9"/>
  <c r="AJ25" i="9"/>
  <c r="AK25" i="9"/>
  <c r="AL25" i="9"/>
  <c r="AM25" i="9"/>
  <c r="AP25" i="9" s="1"/>
  <c r="J26" i="9"/>
  <c r="N26" i="9" s="1"/>
  <c r="K26" i="9"/>
  <c r="O26" i="9" s="1"/>
  <c r="L26" i="9"/>
  <c r="M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F26" i="9"/>
  <c r="AG26" i="9"/>
  <c r="AH26" i="9"/>
  <c r="AI26" i="9"/>
  <c r="AJ26" i="9"/>
  <c r="AK26" i="9"/>
  <c r="AO26" i="9" s="1"/>
  <c r="AL26" i="9"/>
  <c r="AM26" i="9"/>
  <c r="J27" i="9"/>
  <c r="N27" i="9" s="1"/>
  <c r="K27" i="9"/>
  <c r="O27" i="9" s="1"/>
  <c r="L27" i="9"/>
  <c r="M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F27" i="9"/>
  <c r="AG27" i="9"/>
  <c r="AH27" i="9"/>
  <c r="AI27" i="9"/>
  <c r="AJ27" i="9"/>
  <c r="AK27" i="9"/>
  <c r="AL27" i="9"/>
  <c r="AM27" i="9"/>
  <c r="AP27" i="9" s="1"/>
  <c r="J28" i="9"/>
  <c r="N28" i="9" s="1"/>
  <c r="K28" i="9"/>
  <c r="O28" i="9" s="1"/>
  <c r="L28" i="9"/>
  <c r="M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F28" i="9"/>
  <c r="AG28" i="9"/>
  <c r="AH28" i="9"/>
  <c r="AI28" i="9"/>
  <c r="AJ28" i="9"/>
  <c r="AK28" i="9"/>
  <c r="AO28" i="9" s="1"/>
  <c r="AL28" i="9"/>
  <c r="AM28" i="9"/>
  <c r="AP28" i="9" s="1"/>
  <c r="J29" i="9"/>
  <c r="N29" i="9" s="1"/>
  <c r="K29" i="9"/>
  <c r="O29" i="9" s="1"/>
  <c r="L29" i="9"/>
  <c r="M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F29" i="9"/>
  <c r="AG29" i="9"/>
  <c r="AH29" i="9"/>
  <c r="AI29" i="9"/>
  <c r="AJ29" i="9"/>
  <c r="AK29" i="9"/>
  <c r="AL29" i="9"/>
  <c r="AM29" i="9"/>
  <c r="AP29" i="9" s="1"/>
  <c r="J30" i="9"/>
  <c r="N30" i="9" s="1"/>
  <c r="K30" i="9"/>
  <c r="O30" i="9" s="1"/>
  <c r="L30" i="9"/>
  <c r="M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F30" i="9"/>
  <c r="AG30" i="9"/>
  <c r="AH30" i="9"/>
  <c r="AI30" i="9"/>
  <c r="AJ30" i="9"/>
  <c r="AK30" i="9"/>
  <c r="AO30" i="9" s="1"/>
  <c r="AL30" i="9"/>
  <c r="AM30" i="9"/>
  <c r="J31" i="9"/>
  <c r="N31" i="9" s="1"/>
  <c r="K31" i="9"/>
  <c r="O31" i="9" s="1"/>
  <c r="L31" i="9"/>
  <c r="M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F31" i="9"/>
  <c r="AG31" i="9"/>
  <c r="AH31" i="9"/>
  <c r="AI31" i="9"/>
  <c r="AJ31" i="9"/>
  <c r="AK31" i="9"/>
  <c r="AL31" i="9"/>
  <c r="AM31" i="9"/>
  <c r="AP31" i="9" s="1"/>
  <c r="J32" i="9"/>
  <c r="N32" i="9" s="1"/>
  <c r="K32" i="9"/>
  <c r="O32" i="9" s="1"/>
  <c r="L32" i="9"/>
  <c r="M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F32" i="9"/>
  <c r="AG32" i="9"/>
  <c r="AH32" i="9"/>
  <c r="AI32" i="9"/>
  <c r="AJ32" i="9"/>
  <c r="AK32" i="9"/>
  <c r="AO32" i="9" s="1"/>
  <c r="AL32" i="9"/>
  <c r="AM32" i="9"/>
  <c r="AP32" i="9" s="1"/>
  <c r="J33" i="9"/>
  <c r="N33" i="9" s="1"/>
  <c r="K33" i="9"/>
  <c r="O33" i="9" s="1"/>
  <c r="L33" i="9"/>
  <c r="M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F33" i="9"/>
  <c r="AG33" i="9"/>
  <c r="AH33" i="9"/>
  <c r="AI33" i="9"/>
  <c r="AJ33" i="9"/>
  <c r="AK33" i="9"/>
  <c r="AL33" i="9"/>
  <c r="AM33" i="9"/>
  <c r="AP33" i="9" s="1"/>
  <c r="J34" i="9"/>
  <c r="N34" i="9" s="1"/>
  <c r="K34" i="9"/>
  <c r="O34" i="9" s="1"/>
  <c r="L34" i="9"/>
  <c r="M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F34" i="9"/>
  <c r="AG34" i="9"/>
  <c r="AH34" i="9"/>
  <c r="AI34" i="9"/>
  <c r="AJ34" i="9"/>
  <c r="AK34" i="9"/>
  <c r="AO34" i="9" s="1"/>
  <c r="AL34" i="9"/>
  <c r="AM34" i="9"/>
  <c r="J35" i="9"/>
  <c r="N35" i="9" s="1"/>
  <c r="K35" i="9"/>
  <c r="O35" i="9" s="1"/>
  <c r="L35" i="9"/>
  <c r="M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F35" i="9"/>
  <c r="AG35" i="9"/>
  <c r="AH35" i="9"/>
  <c r="AI35" i="9"/>
  <c r="AJ35" i="9"/>
  <c r="AK35" i="9"/>
  <c r="AL35" i="9"/>
  <c r="AM35" i="9"/>
  <c r="AP35" i="9" s="1"/>
  <c r="J36" i="9"/>
  <c r="N36" i="9" s="1"/>
  <c r="K36" i="9"/>
  <c r="O36" i="9" s="1"/>
  <c r="L36" i="9"/>
  <c r="M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F36" i="9"/>
  <c r="AG36" i="9"/>
  <c r="AH36" i="9"/>
  <c r="AI36" i="9"/>
  <c r="AJ36" i="9"/>
  <c r="AK36" i="9"/>
  <c r="AO36" i="9" s="1"/>
  <c r="AL36" i="9"/>
  <c r="AM36" i="9"/>
  <c r="AP36" i="9" s="1"/>
  <c r="J37" i="9"/>
  <c r="N37" i="9" s="1"/>
  <c r="K37" i="9"/>
  <c r="O37" i="9" s="1"/>
  <c r="L37" i="9"/>
  <c r="M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F37" i="9"/>
  <c r="AG37" i="9"/>
  <c r="AH37" i="9"/>
  <c r="AI37" i="9"/>
  <c r="AJ37" i="9"/>
  <c r="AK37" i="9"/>
  <c r="AL37" i="9"/>
  <c r="AM37" i="9"/>
  <c r="AP37" i="9" s="1"/>
  <c r="J38" i="9"/>
  <c r="N38" i="9" s="1"/>
  <c r="K38" i="9"/>
  <c r="O38" i="9" s="1"/>
  <c r="L38" i="9"/>
  <c r="M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F38" i="9"/>
  <c r="AG38" i="9"/>
  <c r="AH38" i="9"/>
  <c r="AI38" i="9"/>
  <c r="AJ38" i="9"/>
  <c r="AK38" i="9"/>
  <c r="AO38" i="9" s="1"/>
  <c r="AL38" i="9"/>
  <c r="AM38" i="9"/>
  <c r="J39" i="9"/>
  <c r="N39" i="9" s="1"/>
  <c r="K39" i="9"/>
  <c r="O39" i="9" s="1"/>
  <c r="L39" i="9"/>
  <c r="M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F39" i="9"/>
  <c r="AG39" i="9"/>
  <c r="AH39" i="9"/>
  <c r="AI39" i="9"/>
  <c r="AJ39" i="9"/>
  <c r="AK39" i="9"/>
  <c r="AL39" i="9"/>
  <c r="AM39" i="9"/>
  <c r="AP39" i="9" s="1"/>
  <c r="J40" i="9"/>
  <c r="N40" i="9" s="1"/>
  <c r="K40" i="9"/>
  <c r="O40" i="9" s="1"/>
  <c r="L40" i="9"/>
  <c r="M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F40" i="9"/>
  <c r="AG40" i="9"/>
  <c r="AH40" i="9"/>
  <c r="AI40" i="9"/>
  <c r="AJ40" i="9"/>
  <c r="AK40" i="9"/>
  <c r="AO40" i="9" s="1"/>
  <c r="AL40" i="9"/>
  <c r="AM40" i="9"/>
  <c r="AP40" i="9" s="1"/>
  <c r="J41" i="9"/>
  <c r="N41" i="9" s="1"/>
  <c r="K41" i="9"/>
  <c r="O41" i="9" s="1"/>
  <c r="L41" i="9"/>
  <c r="M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F41" i="9"/>
  <c r="AG41" i="9"/>
  <c r="AH41" i="9"/>
  <c r="AI41" i="9"/>
  <c r="AJ41" i="9"/>
  <c r="AK41" i="9"/>
  <c r="AL41" i="9"/>
  <c r="AM41" i="9"/>
  <c r="AP41" i="9" s="1"/>
  <c r="J42" i="9"/>
  <c r="N42" i="9" s="1"/>
  <c r="K42" i="9"/>
  <c r="O42" i="9" s="1"/>
  <c r="L42" i="9"/>
  <c r="M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F42" i="9"/>
  <c r="AG42" i="9"/>
  <c r="AH42" i="9"/>
  <c r="AI42" i="9"/>
  <c r="AJ42" i="9"/>
  <c r="AK42" i="9"/>
  <c r="AO42" i="9" s="1"/>
  <c r="AL42" i="9"/>
  <c r="AM42" i="9"/>
  <c r="J43" i="9"/>
  <c r="N43" i="9" s="1"/>
  <c r="K43" i="9"/>
  <c r="O43" i="9" s="1"/>
  <c r="L43" i="9"/>
  <c r="M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F43" i="9"/>
  <c r="AG43" i="9"/>
  <c r="AH43" i="9"/>
  <c r="AI43" i="9"/>
  <c r="AJ43" i="9"/>
  <c r="AK43" i="9"/>
  <c r="AL43" i="9"/>
  <c r="AM43" i="9"/>
  <c r="AP43" i="9"/>
  <c r="J44" i="9"/>
  <c r="N44" i="9" s="1"/>
  <c r="K44" i="9"/>
  <c r="O44" i="9" s="1"/>
  <c r="L44" i="9"/>
  <c r="M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F44" i="9"/>
  <c r="AG44" i="9"/>
  <c r="AH44" i="9"/>
  <c r="AI44" i="9"/>
  <c r="AJ44" i="9"/>
  <c r="AK44" i="9"/>
  <c r="AO44" i="9" s="1"/>
  <c r="AL44" i="9"/>
  <c r="AM44" i="9"/>
  <c r="AP44" i="9" s="1"/>
  <c r="J45" i="9"/>
  <c r="N45" i="9" s="1"/>
  <c r="K45" i="9"/>
  <c r="O45" i="9" s="1"/>
  <c r="L45" i="9"/>
  <c r="M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F45" i="9"/>
  <c r="AG45" i="9"/>
  <c r="AH45" i="9"/>
  <c r="AI45" i="9"/>
  <c r="AJ45" i="9"/>
  <c r="AK45" i="9"/>
  <c r="AL45" i="9"/>
  <c r="AM45" i="9"/>
  <c r="AP45" i="9" s="1"/>
  <c r="J46" i="9"/>
  <c r="N46" i="9" s="1"/>
  <c r="K46" i="9"/>
  <c r="O46" i="9" s="1"/>
  <c r="L46" i="9"/>
  <c r="M46" i="9"/>
  <c r="P46" i="9"/>
  <c r="Q46" i="9"/>
  <c r="R46" i="9"/>
  <c r="S46" i="9"/>
  <c r="T46" i="9"/>
  <c r="U46" i="9"/>
  <c r="V46" i="9"/>
  <c r="W46" i="9"/>
  <c r="X46" i="9"/>
  <c r="Y46" i="9"/>
  <c r="Z46" i="9"/>
  <c r="AA46" i="9"/>
  <c r="AB46" i="9"/>
  <c r="AC46" i="9"/>
  <c r="AD46" i="9"/>
  <c r="AF46" i="9"/>
  <c r="AG46" i="9"/>
  <c r="AH46" i="9"/>
  <c r="AI46" i="9"/>
  <c r="AJ46" i="9"/>
  <c r="AK46" i="9"/>
  <c r="AO46" i="9" s="1"/>
  <c r="AL46" i="9"/>
  <c r="AM46" i="9"/>
  <c r="J47" i="9"/>
  <c r="N47" i="9" s="1"/>
  <c r="K47" i="9"/>
  <c r="O47" i="9" s="1"/>
  <c r="L47" i="9"/>
  <c r="M47" i="9"/>
  <c r="P47" i="9"/>
  <c r="Q47" i="9"/>
  <c r="R47" i="9"/>
  <c r="S47" i="9"/>
  <c r="T47" i="9"/>
  <c r="U47" i="9"/>
  <c r="V47" i="9"/>
  <c r="W47" i="9"/>
  <c r="X47" i="9"/>
  <c r="Y47" i="9"/>
  <c r="Z47" i="9"/>
  <c r="AA47" i="9"/>
  <c r="AB47" i="9"/>
  <c r="AC47" i="9"/>
  <c r="AD47" i="9"/>
  <c r="AF47" i="9"/>
  <c r="AG47" i="9"/>
  <c r="AH47" i="9"/>
  <c r="AI47" i="9"/>
  <c r="AJ47" i="9"/>
  <c r="AK47" i="9"/>
  <c r="AL47" i="9"/>
  <c r="AM47" i="9"/>
  <c r="AP47" i="9" s="1"/>
  <c r="J48" i="9"/>
  <c r="N48" i="9" s="1"/>
  <c r="K48" i="9"/>
  <c r="O48" i="9" s="1"/>
  <c r="L48" i="9"/>
  <c r="M48" i="9"/>
  <c r="P48" i="9"/>
  <c r="Q48" i="9"/>
  <c r="R48" i="9"/>
  <c r="S48" i="9"/>
  <c r="T48" i="9"/>
  <c r="U48" i="9"/>
  <c r="V48" i="9"/>
  <c r="W48" i="9"/>
  <c r="X48" i="9"/>
  <c r="Y48" i="9"/>
  <c r="Z48" i="9"/>
  <c r="AA48" i="9"/>
  <c r="AB48" i="9"/>
  <c r="AC48" i="9"/>
  <c r="AD48" i="9"/>
  <c r="AF48" i="9"/>
  <c r="AG48" i="9"/>
  <c r="AH48" i="9"/>
  <c r="AI48" i="9"/>
  <c r="AJ48" i="9"/>
  <c r="AK48" i="9"/>
  <c r="AO48" i="9" s="1"/>
  <c r="AL48" i="9"/>
  <c r="AM48" i="9"/>
  <c r="AP48" i="9" s="1"/>
  <c r="J49" i="9"/>
  <c r="N49" i="9" s="1"/>
  <c r="K49" i="9"/>
  <c r="O49" i="9" s="1"/>
  <c r="L49" i="9"/>
  <c r="M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AC49" i="9"/>
  <c r="AD49" i="9"/>
  <c r="AF49" i="9"/>
  <c r="AG49" i="9"/>
  <c r="AH49" i="9"/>
  <c r="AI49" i="9"/>
  <c r="AJ49" i="9"/>
  <c r="AK49" i="9"/>
  <c r="AL49" i="9"/>
  <c r="AM49" i="9"/>
  <c r="AP49" i="9" s="1"/>
  <c r="J50" i="9"/>
  <c r="N50" i="9" s="1"/>
  <c r="K50" i="9"/>
  <c r="O50" i="9" s="1"/>
  <c r="L50" i="9"/>
  <c r="M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AC50" i="9"/>
  <c r="AD50" i="9"/>
  <c r="AF50" i="9"/>
  <c r="AG50" i="9"/>
  <c r="AH50" i="9"/>
  <c r="AI50" i="9"/>
  <c r="AJ50" i="9"/>
  <c r="AK50" i="9"/>
  <c r="AO50" i="9" s="1"/>
  <c r="AL50" i="9"/>
  <c r="AM50" i="9"/>
  <c r="J51" i="9"/>
  <c r="N51" i="9" s="1"/>
  <c r="K51" i="9"/>
  <c r="O51" i="9" s="1"/>
  <c r="L51" i="9"/>
  <c r="M51" i="9"/>
  <c r="P51" i="9"/>
  <c r="Q51" i="9"/>
  <c r="R51" i="9"/>
  <c r="S51" i="9"/>
  <c r="T51" i="9"/>
  <c r="U51" i="9"/>
  <c r="V51" i="9"/>
  <c r="W51" i="9"/>
  <c r="X51" i="9"/>
  <c r="Y51" i="9"/>
  <c r="Z51" i="9"/>
  <c r="AA51" i="9"/>
  <c r="AB51" i="9"/>
  <c r="AC51" i="9"/>
  <c r="AD51" i="9"/>
  <c r="AF51" i="9"/>
  <c r="AG51" i="9"/>
  <c r="AH51" i="9"/>
  <c r="AI51" i="9"/>
  <c r="AJ51" i="9"/>
  <c r="AK51" i="9"/>
  <c r="AL51" i="9"/>
  <c r="AM51" i="9"/>
  <c r="AP51" i="9" s="1"/>
  <c r="J52" i="9"/>
  <c r="N52" i="9" s="1"/>
  <c r="K52" i="9"/>
  <c r="O52" i="9" s="1"/>
  <c r="L52" i="9"/>
  <c r="M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F52" i="9"/>
  <c r="AG52" i="9"/>
  <c r="AH52" i="9"/>
  <c r="AI52" i="9"/>
  <c r="AJ52" i="9"/>
  <c r="AK52" i="9"/>
  <c r="AO52" i="9" s="1"/>
  <c r="AL52" i="9"/>
  <c r="AM52" i="9"/>
  <c r="AP52" i="9" s="1"/>
  <c r="J53" i="9"/>
  <c r="N53" i="9" s="1"/>
  <c r="K53" i="9"/>
  <c r="O53" i="9" s="1"/>
  <c r="L53" i="9"/>
  <c r="M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F53" i="9"/>
  <c r="AG53" i="9"/>
  <c r="AH53" i="9"/>
  <c r="AI53" i="9"/>
  <c r="AJ53" i="9"/>
  <c r="AK53" i="9"/>
  <c r="AL53" i="9"/>
  <c r="AM53" i="9"/>
  <c r="AP53" i="9" s="1"/>
  <c r="J54" i="9"/>
  <c r="N54" i="9" s="1"/>
  <c r="K54" i="9"/>
  <c r="O54" i="9" s="1"/>
  <c r="L54" i="9"/>
  <c r="M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AC54" i="9"/>
  <c r="AD54" i="9"/>
  <c r="AF54" i="9"/>
  <c r="AG54" i="9"/>
  <c r="AH54" i="9"/>
  <c r="AI54" i="9"/>
  <c r="AJ54" i="9"/>
  <c r="AK54" i="9"/>
  <c r="AO54" i="9" s="1"/>
  <c r="AL54" i="9"/>
  <c r="AM54" i="9"/>
  <c r="AP54" i="9" s="1"/>
  <c r="J55" i="9"/>
  <c r="N55" i="9" s="1"/>
  <c r="K55" i="9"/>
  <c r="O55" i="9" s="1"/>
  <c r="L55" i="9"/>
  <c r="M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F55" i="9"/>
  <c r="AG55" i="9"/>
  <c r="AH55" i="9"/>
  <c r="AI55" i="9"/>
  <c r="AJ55" i="9"/>
  <c r="AK55" i="9"/>
  <c r="AL55" i="9"/>
  <c r="AM55" i="9"/>
  <c r="AP55" i="9" s="1"/>
  <c r="J56" i="9"/>
  <c r="N56" i="9" s="1"/>
  <c r="K56" i="9"/>
  <c r="O56" i="9" s="1"/>
  <c r="L56" i="9"/>
  <c r="M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AC56" i="9"/>
  <c r="AD56" i="9"/>
  <c r="AF56" i="9"/>
  <c r="AG56" i="9"/>
  <c r="AH56" i="9"/>
  <c r="AI56" i="9"/>
  <c r="AJ56" i="9"/>
  <c r="AK56" i="9"/>
  <c r="AO56" i="9" s="1"/>
  <c r="AL56" i="9"/>
  <c r="AM56" i="9"/>
  <c r="AP56" i="9" s="1"/>
  <c r="J57" i="9"/>
  <c r="N57" i="9" s="1"/>
  <c r="K57" i="9"/>
  <c r="O57" i="9" s="1"/>
  <c r="L57" i="9"/>
  <c r="M57" i="9"/>
  <c r="P57" i="9"/>
  <c r="Q57" i="9"/>
  <c r="R57" i="9"/>
  <c r="S57" i="9"/>
  <c r="T57" i="9"/>
  <c r="U57" i="9"/>
  <c r="V57" i="9"/>
  <c r="W57" i="9"/>
  <c r="X57" i="9"/>
  <c r="Y57" i="9"/>
  <c r="Z57" i="9"/>
  <c r="AA57" i="9"/>
  <c r="AB57" i="9"/>
  <c r="AC57" i="9"/>
  <c r="AD57" i="9"/>
  <c r="AF57" i="9"/>
  <c r="AG57" i="9"/>
  <c r="AH57" i="9"/>
  <c r="AI57" i="9"/>
  <c r="AJ57" i="9"/>
  <c r="AK57" i="9"/>
  <c r="AO57" i="9" s="1"/>
  <c r="AL57" i="9"/>
  <c r="AM57" i="9"/>
  <c r="AP57" i="9" s="1"/>
  <c r="J58" i="9"/>
  <c r="N58" i="9" s="1"/>
  <c r="K58" i="9"/>
  <c r="O58" i="9" s="1"/>
  <c r="L58" i="9"/>
  <c r="M58" i="9"/>
  <c r="P58" i="9"/>
  <c r="Q58" i="9"/>
  <c r="R58" i="9"/>
  <c r="S58" i="9"/>
  <c r="T58" i="9"/>
  <c r="U58" i="9"/>
  <c r="V58" i="9"/>
  <c r="W58" i="9"/>
  <c r="X58" i="9"/>
  <c r="Y58" i="9"/>
  <c r="Z58" i="9"/>
  <c r="AA58" i="9"/>
  <c r="AB58" i="9"/>
  <c r="AC58" i="9"/>
  <c r="AD58" i="9"/>
  <c r="AF58" i="9"/>
  <c r="AG58" i="9"/>
  <c r="AH58" i="9"/>
  <c r="AI58" i="9"/>
  <c r="AJ58" i="9"/>
  <c r="AK58" i="9"/>
  <c r="AO58" i="9" s="1"/>
  <c r="AL58" i="9"/>
  <c r="AM58" i="9"/>
  <c r="AP58" i="9" s="1"/>
  <c r="J59" i="9"/>
  <c r="N59" i="9" s="1"/>
  <c r="K59" i="9"/>
  <c r="O59" i="9" s="1"/>
  <c r="L59" i="9"/>
  <c r="M59" i="9"/>
  <c r="P59" i="9"/>
  <c r="Q59" i="9"/>
  <c r="R59" i="9"/>
  <c r="S59" i="9"/>
  <c r="T59" i="9"/>
  <c r="U59" i="9"/>
  <c r="V59" i="9"/>
  <c r="W59" i="9"/>
  <c r="X59" i="9"/>
  <c r="Y59" i="9"/>
  <c r="Z59" i="9"/>
  <c r="AA59" i="9"/>
  <c r="AB59" i="9"/>
  <c r="AC59" i="9"/>
  <c r="AD59" i="9"/>
  <c r="AF59" i="9"/>
  <c r="AG59" i="9"/>
  <c r="AH59" i="9"/>
  <c r="AI59" i="9"/>
  <c r="AJ59" i="9"/>
  <c r="AK59" i="9"/>
  <c r="AO59" i="9" s="1"/>
  <c r="AL59" i="9"/>
  <c r="AM59" i="9"/>
  <c r="AP59" i="9" s="1"/>
  <c r="J60" i="9"/>
  <c r="N60" i="9" s="1"/>
  <c r="K60" i="9"/>
  <c r="O60" i="9" s="1"/>
  <c r="L60" i="9"/>
  <c r="M60" i="9"/>
  <c r="P60" i="9"/>
  <c r="Q60" i="9"/>
  <c r="R60" i="9"/>
  <c r="S60" i="9"/>
  <c r="T60" i="9"/>
  <c r="U60" i="9"/>
  <c r="V60" i="9"/>
  <c r="W60" i="9"/>
  <c r="X60" i="9"/>
  <c r="Y60" i="9"/>
  <c r="Z60" i="9"/>
  <c r="AA60" i="9"/>
  <c r="AB60" i="9"/>
  <c r="AC60" i="9"/>
  <c r="AD60" i="9"/>
  <c r="AF60" i="9"/>
  <c r="AG60" i="9"/>
  <c r="AH60" i="9"/>
  <c r="AI60" i="9"/>
  <c r="AJ60" i="9"/>
  <c r="AK60" i="9"/>
  <c r="AO60" i="9" s="1"/>
  <c r="AL60" i="9"/>
  <c r="AM60" i="9"/>
  <c r="AP60" i="9" s="1"/>
  <c r="J61" i="9"/>
  <c r="N61" i="9" s="1"/>
  <c r="K61" i="9"/>
  <c r="O61" i="9" s="1"/>
  <c r="L61" i="9"/>
  <c r="M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F61" i="9"/>
  <c r="AG61" i="9"/>
  <c r="AH61" i="9"/>
  <c r="AI61" i="9"/>
  <c r="AJ61" i="9"/>
  <c r="AK61" i="9"/>
  <c r="AO61" i="9" s="1"/>
  <c r="AL61" i="9"/>
  <c r="AM61" i="9"/>
  <c r="AP61" i="9" s="1"/>
  <c r="J62" i="9"/>
  <c r="K62" i="9"/>
  <c r="O62" i="9" s="1"/>
  <c r="L62" i="9"/>
  <c r="M62" i="9"/>
  <c r="N62" i="9"/>
  <c r="P62" i="9"/>
  <c r="Q62" i="9"/>
  <c r="R62" i="9"/>
  <c r="S62" i="9"/>
  <c r="T62" i="9"/>
  <c r="U62" i="9"/>
  <c r="V62" i="9"/>
  <c r="W62" i="9"/>
  <c r="X62" i="9"/>
  <c r="Y62" i="9"/>
  <c r="Z62" i="9"/>
  <c r="AA62" i="9"/>
  <c r="AB62" i="9"/>
  <c r="AC62" i="9"/>
  <c r="AD62" i="9"/>
  <c r="AF62" i="9"/>
  <c r="AG62" i="9"/>
  <c r="AH62" i="9"/>
  <c r="AI62" i="9"/>
  <c r="AJ62" i="9"/>
  <c r="AK62" i="9"/>
  <c r="AO62" i="9" s="1"/>
  <c r="AL62" i="9"/>
  <c r="AM62" i="9"/>
  <c r="AP62" i="9" s="1"/>
  <c r="J63" i="9"/>
  <c r="N63" i="9" s="1"/>
  <c r="K63" i="9"/>
  <c r="O63" i="9" s="1"/>
  <c r="L63" i="9"/>
  <c r="M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F63" i="9"/>
  <c r="AG63" i="9"/>
  <c r="AH63" i="9"/>
  <c r="AI63" i="9"/>
  <c r="AJ63" i="9"/>
  <c r="AK63" i="9"/>
  <c r="AL63" i="9"/>
  <c r="AM63" i="9"/>
  <c r="AP63" i="9" s="1"/>
  <c r="J64" i="9"/>
  <c r="N64" i="9" s="1"/>
  <c r="K64" i="9"/>
  <c r="O64" i="9" s="1"/>
  <c r="L64" i="9"/>
  <c r="M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F64" i="9"/>
  <c r="AG64" i="9"/>
  <c r="AH64" i="9"/>
  <c r="AI64" i="9"/>
  <c r="AJ64" i="9"/>
  <c r="AK64" i="9"/>
  <c r="AO64" i="9" s="1"/>
  <c r="AL64" i="9"/>
  <c r="AM64" i="9"/>
  <c r="AP64" i="9" s="1"/>
  <c r="J65" i="9"/>
  <c r="N65" i="9" s="1"/>
  <c r="K65" i="9"/>
  <c r="O65" i="9" s="1"/>
  <c r="L65" i="9"/>
  <c r="M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F65" i="9"/>
  <c r="AG65" i="9"/>
  <c r="AH65" i="9"/>
  <c r="AI65" i="9"/>
  <c r="AJ65" i="9"/>
  <c r="AK65" i="9"/>
  <c r="AL65" i="9"/>
  <c r="AM65" i="9"/>
  <c r="AP65" i="9"/>
  <c r="J66" i="9"/>
  <c r="N66" i="9" s="1"/>
  <c r="K66" i="9"/>
  <c r="O66" i="9" s="1"/>
  <c r="L66" i="9"/>
  <c r="M66" i="9"/>
  <c r="P66" i="9"/>
  <c r="Q66" i="9"/>
  <c r="R66" i="9"/>
  <c r="S66" i="9"/>
  <c r="T66" i="9"/>
  <c r="U66" i="9"/>
  <c r="V66" i="9"/>
  <c r="W66" i="9"/>
  <c r="X66" i="9"/>
  <c r="Y66" i="9"/>
  <c r="Z66" i="9"/>
  <c r="AA66" i="9"/>
  <c r="AB66" i="9"/>
  <c r="AC66" i="9"/>
  <c r="AD66" i="9"/>
  <c r="AF66" i="9"/>
  <c r="AG66" i="9"/>
  <c r="AH66" i="9"/>
  <c r="AI66" i="9"/>
  <c r="AJ66" i="9"/>
  <c r="AK66" i="9"/>
  <c r="AO66" i="9" s="1"/>
  <c r="AL66" i="9"/>
  <c r="AM66" i="9"/>
  <c r="AP66" i="9" s="1"/>
  <c r="J67" i="9"/>
  <c r="N67" i="9" s="1"/>
  <c r="K67" i="9"/>
  <c r="O67" i="9" s="1"/>
  <c r="L67" i="9"/>
  <c r="M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F67" i="9"/>
  <c r="AG67" i="9"/>
  <c r="AH67" i="9"/>
  <c r="AI67" i="9"/>
  <c r="AJ67" i="9"/>
  <c r="AK67" i="9"/>
  <c r="AL67" i="9"/>
  <c r="AM67" i="9"/>
  <c r="AP67" i="9" s="1"/>
  <c r="J68" i="9"/>
  <c r="N68" i="9" s="1"/>
  <c r="K68" i="9"/>
  <c r="O68" i="9" s="1"/>
  <c r="L68" i="9"/>
  <c r="M68" i="9"/>
  <c r="P68" i="9"/>
  <c r="Q68" i="9"/>
  <c r="R68" i="9"/>
  <c r="S68" i="9"/>
  <c r="T68" i="9"/>
  <c r="U68" i="9"/>
  <c r="V68" i="9"/>
  <c r="W68" i="9"/>
  <c r="X68" i="9"/>
  <c r="Y68" i="9"/>
  <c r="Z68" i="9"/>
  <c r="AA68" i="9"/>
  <c r="AB68" i="9"/>
  <c r="AC68" i="9"/>
  <c r="AD68" i="9"/>
  <c r="AF68" i="9"/>
  <c r="AG68" i="9"/>
  <c r="AH68" i="9"/>
  <c r="AI68" i="9"/>
  <c r="AJ68" i="9"/>
  <c r="AK68" i="9"/>
  <c r="AO68" i="9" s="1"/>
  <c r="AL68" i="9"/>
  <c r="AM68" i="9"/>
  <c r="AP68" i="9" s="1"/>
  <c r="J69" i="9"/>
  <c r="N69" i="9" s="1"/>
  <c r="K69" i="9"/>
  <c r="O69" i="9" s="1"/>
  <c r="L69" i="9"/>
  <c r="M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F69" i="9"/>
  <c r="AG69" i="9"/>
  <c r="AH69" i="9"/>
  <c r="AI69" i="9"/>
  <c r="AJ69" i="9"/>
  <c r="AK69" i="9"/>
  <c r="AO69" i="9" s="1"/>
  <c r="AL69" i="9"/>
  <c r="AM69" i="9"/>
  <c r="AP69" i="9" s="1"/>
  <c r="J70" i="9"/>
  <c r="N70" i="9" s="1"/>
  <c r="K70" i="9"/>
  <c r="O70" i="9" s="1"/>
  <c r="L70" i="9"/>
  <c r="M70" i="9"/>
  <c r="P70" i="9"/>
  <c r="Q70" i="9"/>
  <c r="R70" i="9"/>
  <c r="S70" i="9"/>
  <c r="T70" i="9"/>
  <c r="U70" i="9"/>
  <c r="V70" i="9"/>
  <c r="W70" i="9"/>
  <c r="X70" i="9"/>
  <c r="Y70" i="9"/>
  <c r="Z70" i="9"/>
  <c r="AA70" i="9"/>
  <c r="AB70" i="9"/>
  <c r="AC70" i="9"/>
  <c r="AD70" i="9"/>
  <c r="AF70" i="9"/>
  <c r="AG70" i="9"/>
  <c r="AH70" i="9"/>
  <c r="AI70" i="9"/>
  <c r="AJ70" i="9"/>
  <c r="AK70" i="9"/>
  <c r="AO70" i="9" s="1"/>
  <c r="AL70" i="9"/>
  <c r="AM70" i="9"/>
  <c r="AP70" i="9" s="1"/>
  <c r="J71" i="9"/>
  <c r="N71" i="9" s="1"/>
  <c r="K71" i="9"/>
  <c r="O71" i="9" s="1"/>
  <c r="L71" i="9"/>
  <c r="M71" i="9"/>
  <c r="P71" i="9"/>
  <c r="Q71" i="9"/>
  <c r="R71" i="9"/>
  <c r="S71" i="9"/>
  <c r="T71" i="9"/>
  <c r="U71" i="9"/>
  <c r="V71" i="9"/>
  <c r="W71" i="9"/>
  <c r="X71" i="9"/>
  <c r="Y71" i="9"/>
  <c r="Z71" i="9"/>
  <c r="AA71" i="9"/>
  <c r="AB71" i="9"/>
  <c r="AC71" i="9"/>
  <c r="AD71" i="9"/>
  <c r="AF71" i="9"/>
  <c r="AG71" i="9"/>
  <c r="AH71" i="9"/>
  <c r="AI71" i="9"/>
  <c r="AJ71" i="9"/>
  <c r="AK71" i="9"/>
  <c r="AO71" i="9" s="1"/>
  <c r="AL71" i="9"/>
  <c r="AM71" i="9"/>
  <c r="AP71" i="9" s="1"/>
  <c r="J72" i="9"/>
  <c r="N72" i="9" s="1"/>
  <c r="K72" i="9"/>
  <c r="O72" i="9" s="1"/>
  <c r="L72" i="9"/>
  <c r="M72" i="9"/>
  <c r="P72" i="9"/>
  <c r="Q72" i="9"/>
  <c r="R72" i="9"/>
  <c r="S72" i="9"/>
  <c r="T72" i="9"/>
  <c r="U72" i="9"/>
  <c r="V72" i="9"/>
  <c r="W72" i="9"/>
  <c r="X72" i="9"/>
  <c r="Y72" i="9"/>
  <c r="Z72" i="9"/>
  <c r="AA72" i="9"/>
  <c r="AB72" i="9"/>
  <c r="AC72" i="9"/>
  <c r="AD72" i="9"/>
  <c r="AF72" i="9"/>
  <c r="AG72" i="9"/>
  <c r="AH72" i="9"/>
  <c r="AI72" i="9"/>
  <c r="AJ72" i="9"/>
  <c r="AK72" i="9"/>
  <c r="AO72" i="9" s="1"/>
  <c r="AL72" i="9"/>
  <c r="AM72" i="9"/>
  <c r="AP72" i="9" s="1"/>
  <c r="J73" i="9"/>
  <c r="N73" i="9" s="1"/>
  <c r="K73" i="9"/>
  <c r="O73" i="9" s="1"/>
  <c r="L73" i="9"/>
  <c r="M73" i="9"/>
  <c r="P73" i="9"/>
  <c r="Q73" i="9"/>
  <c r="R73" i="9"/>
  <c r="S73" i="9"/>
  <c r="T73" i="9"/>
  <c r="U73" i="9"/>
  <c r="V73" i="9"/>
  <c r="W73" i="9"/>
  <c r="X73" i="9"/>
  <c r="Y73" i="9"/>
  <c r="Z73" i="9"/>
  <c r="AA73" i="9"/>
  <c r="AB73" i="9"/>
  <c r="AC73" i="9"/>
  <c r="AD73" i="9"/>
  <c r="AF73" i="9"/>
  <c r="AG73" i="9"/>
  <c r="AH73" i="9"/>
  <c r="AI73" i="9"/>
  <c r="AJ73" i="9"/>
  <c r="AK73" i="9"/>
  <c r="AO73" i="9" s="1"/>
  <c r="AL73" i="9"/>
  <c r="AM73" i="9"/>
  <c r="AP73" i="9" s="1"/>
  <c r="J74" i="9"/>
  <c r="N74" i="9" s="1"/>
  <c r="K74" i="9"/>
  <c r="O74" i="9" s="1"/>
  <c r="L74" i="9"/>
  <c r="M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F74" i="9"/>
  <c r="AG74" i="9"/>
  <c r="AH74" i="9"/>
  <c r="AI74" i="9"/>
  <c r="AJ74" i="9"/>
  <c r="AK74" i="9"/>
  <c r="AO74" i="9" s="1"/>
  <c r="AL74" i="9"/>
  <c r="AM74" i="9"/>
  <c r="AP74" i="9" s="1"/>
  <c r="J75" i="9"/>
  <c r="N75" i="9" s="1"/>
  <c r="K75" i="9"/>
  <c r="O75" i="9" s="1"/>
  <c r="L75" i="9"/>
  <c r="M75" i="9"/>
  <c r="P75" i="9"/>
  <c r="Q75" i="9"/>
  <c r="R75" i="9"/>
  <c r="S75" i="9"/>
  <c r="T75" i="9"/>
  <c r="U75" i="9"/>
  <c r="V75" i="9"/>
  <c r="W75" i="9"/>
  <c r="X75" i="9"/>
  <c r="Y75" i="9"/>
  <c r="Z75" i="9"/>
  <c r="AA75" i="9"/>
  <c r="AB75" i="9"/>
  <c r="AC75" i="9"/>
  <c r="AD75" i="9"/>
  <c r="AF75" i="9"/>
  <c r="AG75" i="9"/>
  <c r="AH75" i="9"/>
  <c r="AI75" i="9"/>
  <c r="AJ75" i="9"/>
  <c r="AK75" i="9"/>
  <c r="AO75" i="9" s="1"/>
  <c r="AL75" i="9"/>
  <c r="AM75" i="9"/>
  <c r="AP75" i="9" s="1"/>
  <c r="J76" i="9"/>
  <c r="N76" i="9" s="1"/>
  <c r="K76" i="9"/>
  <c r="O76" i="9" s="1"/>
  <c r="L76" i="9"/>
  <c r="M76" i="9"/>
  <c r="P76" i="9"/>
  <c r="Q76" i="9"/>
  <c r="R76" i="9"/>
  <c r="S76" i="9"/>
  <c r="T76" i="9"/>
  <c r="U76" i="9"/>
  <c r="V76" i="9"/>
  <c r="W76" i="9"/>
  <c r="X76" i="9"/>
  <c r="Y76" i="9"/>
  <c r="Z76" i="9"/>
  <c r="AA76" i="9"/>
  <c r="AB76" i="9"/>
  <c r="AC76" i="9"/>
  <c r="AD76" i="9"/>
  <c r="AF76" i="9"/>
  <c r="AG76" i="9"/>
  <c r="AH76" i="9"/>
  <c r="AI76" i="9"/>
  <c r="AJ76" i="9"/>
  <c r="AK76" i="9"/>
  <c r="AO76" i="9" s="1"/>
  <c r="AL76" i="9"/>
  <c r="AM76" i="9"/>
  <c r="AP76" i="9" s="1"/>
  <c r="J77" i="9"/>
  <c r="N77" i="9" s="1"/>
  <c r="K77" i="9"/>
  <c r="O77" i="9" s="1"/>
  <c r="L77" i="9"/>
  <c r="M77" i="9"/>
  <c r="P77" i="9"/>
  <c r="Q77" i="9"/>
  <c r="R77" i="9"/>
  <c r="S77" i="9"/>
  <c r="T77" i="9"/>
  <c r="U77" i="9"/>
  <c r="V77" i="9"/>
  <c r="W77" i="9"/>
  <c r="X77" i="9"/>
  <c r="Y77" i="9"/>
  <c r="Z77" i="9"/>
  <c r="AA77" i="9"/>
  <c r="AB77" i="9"/>
  <c r="AC77" i="9"/>
  <c r="AD77" i="9"/>
  <c r="AF77" i="9"/>
  <c r="AG77" i="9"/>
  <c r="AH77" i="9"/>
  <c r="AI77" i="9"/>
  <c r="AJ77" i="9"/>
  <c r="AK77" i="9"/>
  <c r="AO77" i="9" s="1"/>
  <c r="AL77" i="9"/>
  <c r="AM77" i="9"/>
  <c r="AP77" i="9" s="1"/>
  <c r="J78" i="9"/>
  <c r="N78" i="9" s="1"/>
  <c r="K78" i="9"/>
  <c r="O78" i="9" s="1"/>
  <c r="L78" i="9"/>
  <c r="M78" i="9"/>
  <c r="P78" i="9"/>
  <c r="Q78" i="9"/>
  <c r="R78" i="9"/>
  <c r="S78" i="9"/>
  <c r="T78" i="9"/>
  <c r="U78" i="9"/>
  <c r="V78" i="9"/>
  <c r="W78" i="9"/>
  <c r="X78" i="9"/>
  <c r="Y78" i="9"/>
  <c r="Z78" i="9"/>
  <c r="AA78" i="9"/>
  <c r="AB78" i="9"/>
  <c r="AC78" i="9"/>
  <c r="AD78" i="9"/>
  <c r="AF78" i="9"/>
  <c r="AG78" i="9"/>
  <c r="AH78" i="9"/>
  <c r="AI78" i="9"/>
  <c r="AJ78" i="9"/>
  <c r="AK78" i="9"/>
  <c r="AO78" i="9" s="1"/>
  <c r="AL78" i="9"/>
  <c r="AM78" i="9"/>
  <c r="AP78" i="9" s="1"/>
  <c r="J79" i="9"/>
  <c r="N79" i="9" s="1"/>
  <c r="K79" i="9"/>
  <c r="O79" i="9" s="1"/>
  <c r="L79" i="9"/>
  <c r="M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F79" i="9"/>
  <c r="AG79" i="9"/>
  <c r="AH79" i="9"/>
  <c r="AI79" i="9"/>
  <c r="AJ79" i="9"/>
  <c r="AK79" i="9"/>
  <c r="AL79" i="9"/>
  <c r="AM79" i="9"/>
  <c r="AP79" i="9" s="1"/>
  <c r="J80" i="9"/>
  <c r="N80" i="9" s="1"/>
  <c r="K80" i="9"/>
  <c r="O80" i="9" s="1"/>
  <c r="L80" i="9"/>
  <c r="M80" i="9"/>
  <c r="P80" i="9"/>
  <c r="Q80" i="9"/>
  <c r="R80" i="9"/>
  <c r="S80" i="9"/>
  <c r="T80" i="9"/>
  <c r="U80" i="9"/>
  <c r="V80" i="9"/>
  <c r="W80" i="9"/>
  <c r="X80" i="9"/>
  <c r="Y80" i="9"/>
  <c r="Z80" i="9"/>
  <c r="AA80" i="9"/>
  <c r="AB80" i="9"/>
  <c r="AC80" i="9"/>
  <c r="AD80" i="9"/>
  <c r="AF80" i="9"/>
  <c r="AG80" i="9"/>
  <c r="AH80" i="9"/>
  <c r="AI80" i="9"/>
  <c r="AJ80" i="9"/>
  <c r="AK80" i="9"/>
  <c r="AO80" i="9" s="1"/>
  <c r="AL80" i="9"/>
  <c r="AM80" i="9"/>
  <c r="AP80" i="9" s="1"/>
  <c r="J81" i="9"/>
  <c r="N81" i="9" s="1"/>
  <c r="K81" i="9"/>
  <c r="O81" i="9" s="1"/>
  <c r="L81" i="9"/>
  <c r="M81" i="9"/>
  <c r="P81" i="9"/>
  <c r="Q81" i="9"/>
  <c r="R81" i="9"/>
  <c r="S81" i="9"/>
  <c r="T81" i="9"/>
  <c r="U81" i="9"/>
  <c r="V81" i="9"/>
  <c r="W81" i="9"/>
  <c r="X81" i="9"/>
  <c r="Y81" i="9"/>
  <c r="Z81" i="9"/>
  <c r="AA81" i="9"/>
  <c r="AB81" i="9"/>
  <c r="AC81" i="9"/>
  <c r="AD81" i="9"/>
  <c r="AF81" i="9"/>
  <c r="AG81" i="9"/>
  <c r="AH81" i="9"/>
  <c r="AI81" i="9"/>
  <c r="AJ81" i="9"/>
  <c r="AK81" i="9"/>
  <c r="AO81" i="9" s="1"/>
  <c r="AL81" i="9"/>
  <c r="AM81" i="9"/>
  <c r="AP81" i="9" s="1"/>
  <c r="J82" i="9"/>
  <c r="N82" i="9" s="1"/>
  <c r="K82" i="9"/>
  <c r="O82" i="9" s="1"/>
  <c r="L82" i="9"/>
  <c r="M82" i="9"/>
  <c r="P82" i="9"/>
  <c r="Q82" i="9"/>
  <c r="R82" i="9"/>
  <c r="S82" i="9"/>
  <c r="T82" i="9"/>
  <c r="U82" i="9"/>
  <c r="V82" i="9"/>
  <c r="W82" i="9"/>
  <c r="X82" i="9"/>
  <c r="Y82" i="9"/>
  <c r="Z82" i="9"/>
  <c r="AA82" i="9"/>
  <c r="AB82" i="9"/>
  <c r="AC82" i="9"/>
  <c r="AD82" i="9"/>
  <c r="AF82" i="9"/>
  <c r="AG82" i="9"/>
  <c r="AH82" i="9"/>
  <c r="AI82" i="9"/>
  <c r="AJ82" i="9"/>
  <c r="AK82" i="9"/>
  <c r="AL82" i="9"/>
  <c r="AM82" i="9"/>
  <c r="AP82" i="9" s="1"/>
  <c r="J83" i="9"/>
  <c r="N83" i="9" s="1"/>
  <c r="K83" i="9"/>
  <c r="O83" i="9" s="1"/>
  <c r="L83" i="9"/>
  <c r="M83" i="9"/>
  <c r="P83" i="9"/>
  <c r="Q83" i="9"/>
  <c r="R83" i="9"/>
  <c r="S83" i="9"/>
  <c r="T83" i="9"/>
  <c r="U83" i="9"/>
  <c r="V83" i="9"/>
  <c r="W83" i="9"/>
  <c r="X83" i="9"/>
  <c r="Y83" i="9"/>
  <c r="Z83" i="9"/>
  <c r="AA83" i="9"/>
  <c r="AB83" i="9"/>
  <c r="AC83" i="9"/>
  <c r="AD83" i="9"/>
  <c r="AF83" i="9"/>
  <c r="AG83" i="9"/>
  <c r="AH83" i="9"/>
  <c r="AI83" i="9"/>
  <c r="AJ83" i="9"/>
  <c r="AK83" i="9"/>
  <c r="AL83" i="9"/>
  <c r="AM83" i="9"/>
  <c r="AP83" i="9" s="1"/>
  <c r="J84" i="9"/>
  <c r="N84" i="9" s="1"/>
  <c r="K84" i="9"/>
  <c r="O84" i="9" s="1"/>
  <c r="L84" i="9"/>
  <c r="M84" i="9"/>
  <c r="P84" i="9"/>
  <c r="Q84" i="9"/>
  <c r="R84" i="9"/>
  <c r="S84" i="9"/>
  <c r="T84" i="9"/>
  <c r="U84" i="9"/>
  <c r="V84" i="9"/>
  <c r="W84" i="9"/>
  <c r="X84" i="9"/>
  <c r="Y84" i="9"/>
  <c r="Z84" i="9"/>
  <c r="AA84" i="9"/>
  <c r="AB84" i="9"/>
  <c r="AC84" i="9"/>
  <c r="AD84" i="9"/>
  <c r="AF84" i="9"/>
  <c r="AG84" i="9"/>
  <c r="AH84" i="9"/>
  <c r="AI84" i="9"/>
  <c r="AJ84" i="9"/>
  <c r="AK84" i="9"/>
  <c r="AO84" i="9" s="1"/>
  <c r="AL84" i="9"/>
  <c r="AM84" i="9"/>
  <c r="AP84" i="9" s="1"/>
  <c r="J85" i="9"/>
  <c r="N85" i="9" s="1"/>
  <c r="K85" i="9"/>
  <c r="O85" i="9" s="1"/>
  <c r="L85" i="9"/>
  <c r="M85" i="9"/>
  <c r="P85" i="9"/>
  <c r="Q85" i="9"/>
  <c r="R85" i="9"/>
  <c r="S85" i="9"/>
  <c r="T85" i="9"/>
  <c r="U85" i="9"/>
  <c r="V85" i="9"/>
  <c r="W85" i="9"/>
  <c r="X85" i="9"/>
  <c r="Y85" i="9"/>
  <c r="Z85" i="9"/>
  <c r="AA85" i="9"/>
  <c r="AB85" i="9"/>
  <c r="AC85" i="9"/>
  <c r="AD85" i="9"/>
  <c r="AF85" i="9"/>
  <c r="AG85" i="9"/>
  <c r="AH85" i="9"/>
  <c r="AI85" i="9"/>
  <c r="AJ85" i="9"/>
  <c r="AK85" i="9"/>
  <c r="AL85" i="9"/>
  <c r="AM85" i="9"/>
  <c r="AP85" i="9" s="1"/>
  <c r="J86" i="9"/>
  <c r="N86" i="9" s="1"/>
  <c r="K86" i="9"/>
  <c r="O86" i="9" s="1"/>
  <c r="L86" i="9"/>
  <c r="M86" i="9"/>
  <c r="P86" i="9"/>
  <c r="Q86" i="9"/>
  <c r="R86" i="9"/>
  <c r="S86" i="9"/>
  <c r="T86" i="9"/>
  <c r="U86" i="9"/>
  <c r="V86" i="9"/>
  <c r="W86" i="9"/>
  <c r="X86" i="9"/>
  <c r="Y86" i="9"/>
  <c r="Z86" i="9"/>
  <c r="AA86" i="9"/>
  <c r="AB86" i="9"/>
  <c r="AC86" i="9"/>
  <c r="AD86" i="9"/>
  <c r="AF86" i="9"/>
  <c r="AG86" i="9"/>
  <c r="AH86" i="9"/>
  <c r="AI86" i="9"/>
  <c r="AJ86" i="9"/>
  <c r="AK86" i="9"/>
  <c r="AL86" i="9"/>
  <c r="AM86" i="9"/>
  <c r="AP86" i="9" s="1"/>
  <c r="J87" i="9"/>
  <c r="N87" i="9" s="1"/>
  <c r="K87" i="9"/>
  <c r="O87" i="9" s="1"/>
  <c r="L87" i="9"/>
  <c r="M87" i="9"/>
  <c r="P87" i="9"/>
  <c r="Q87" i="9"/>
  <c r="R87" i="9"/>
  <c r="S87" i="9"/>
  <c r="T87" i="9"/>
  <c r="U87" i="9"/>
  <c r="V87" i="9"/>
  <c r="W87" i="9"/>
  <c r="X87" i="9"/>
  <c r="Y87" i="9"/>
  <c r="Z87" i="9"/>
  <c r="AA87" i="9"/>
  <c r="AB87" i="9"/>
  <c r="AC87" i="9"/>
  <c r="AD87" i="9"/>
  <c r="AF87" i="9"/>
  <c r="AG87" i="9"/>
  <c r="AH87" i="9"/>
  <c r="AI87" i="9"/>
  <c r="AJ87" i="9"/>
  <c r="AK87" i="9"/>
  <c r="AL87" i="9"/>
  <c r="AM87" i="9"/>
  <c r="AP87" i="9" s="1"/>
  <c r="J88" i="9"/>
  <c r="N88" i="9" s="1"/>
  <c r="K88" i="9"/>
  <c r="O88" i="9" s="1"/>
  <c r="L88" i="9"/>
  <c r="M88" i="9"/>
  <c r="P88" i="9"/>
  <c r="Q88" i="9"/>
  <c r="R88" i="9"/>
  <c r="S88" i="9"/>
  <c r="T88" i="9"/>
  <c r="U88" i="9"/>
  <c r="V88" i="9"/>
  <c r="W88" i="9"/>
  <c r="X88" i="9"/>
  <c r="Y88" i="9"/>
  <c r="Z88" i="9"/>
  <c r="AA88" i="9"/>
  <c r="AB88" i="9"/>
  <c r="AC88" i="9"/>
  <c r="AD88" i="9"/>
  <c r="AF88" i="9"/>
  <c r="AG88" i="9"/>
  <c r="AH88" i="9"/>
  <c r="AI88" i="9"/>
  <c r="AJ88" i="9"/>
  <c r="AK88" i="9"/>
  <c r="AO88" i="9" s="1"/>
  <c r="AL88" i="9"/>
  <c r="AM88" i="9"/>
  <c r="AP88" i="9" s="1"/>
  <c r="J89" i="9"/>
  <c r="N89" i="9" s="1"/>
  <c r="K89" i="9"/>
  <c r="O89" i="9" s="1"/>
  <c r="L89" i="9"/>
  <c r="M89" i="9"/>
  <c r="P89" i="9"/>
  <c r="Q89" i="9"/>
  <c r="R89" i="9"/>
  <c r="S89" i="9"/>
  <c r="T89" i="9"/>
  <c r="U89" i="9"/>
  <c r="V89" i="9"/>
  <c r="W89" i="9"/>
  <c r="X89" i="9"/>
  <c r="Y89" i="9"/>
  <c r="Z89" i="9"/>
  <c r="AA89" i="9"/>
  <c r="AB89" i="9"/>
  <c r="AC89" i="9"/>
  <c r="AD89" i="9"/>
  <c r="AF89" i="9"/>
  <c r="AG89" i="9"/>
  <c r="AH89" i="9"/>
  <c r="AI89" i="9"/>
  <c r="AJ89" i="9"/>
  <c r="AK89" i="9"/>
  <c r="AL89" i="9"/>
  <c r="AM89" i="9"/>
  <c r="AP89" i="9" s="1"/>
  <c r="J90" i="9"/>
  <c r="N90" i="9" s="1"/>
  <c r="K90" i="9"/>
  <c r="O90" i="9" s="1"/>
  <c r="L90" i="9"/>
  <c r="M90" i="9"/>
  <c r="P90" i="9"/>
  <c r="Q90" i="9"/>
  <c r="R90" i="9"/>
  <c r="S90" i="9"/>
  <c r="T90" i="9"/>
  <c r="U90" i="9"/>
  <c r="V90" i="9"/>
  <c r="W90" i="9"/>
  <c r="X90" i="9"/>
  <c r="Y90" i="9"/>
  <c r="Z90" i="9"/>
  <c r="AA90" i="9"/>
  <c r="AB90" i="9"/>
  <c r="AC90" i="9"/>
  <c r="AD90" i="9"/>
  <c r="AF90" i="9"/>
  <c r="AG90" i="9"/>
  <c r="AH90" i="9"/>
  <c r="AI90" i="9"/>
  <c r="AJ90" i="9"/>
  <c r="AK90" i="9"/>
  <c r="AO90" i="9" s="1"/>
  <c r="AL90" i="9"/>
  <c r="AM90" i="9"/>
  <c r="AP90" i="9" s="1"/>
  <c r="J91" i="9"/>
  <c r="N91" i="9" s="1"/>
  <c r="K91" i="9"/>
  <c r="O91" i="9" s="1"/>
  <c r="L91" i="9"/>
  <c r="M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F91" i="9"/>
  <c r="AG91" i="9"/>
  <c r="AH91" i="9"/>
  <c r="AI91" i="9"/>
  <c r="AJ91" i="9"/>
  <c r="AK91" i="9"/>
  <c r="AL91" i="9"/>
  <c r="AM91" i="9"/>
  <c r="AP91" i="9"/>
  <c r="J92" i="9"/>
  <c r="N92" i="9" s="1"/>
  <c r="K92" i="9"/>
  <c r="O92" i="9" s="1"/>
  <c r="L92" i="9"/>
  <c r="M92" i="9"/>
  <c r="P92" i="9"/>
  <c r="Q92" i="9"/>
  <c r="R92" i="9"/>
  <c r="S92" i="9"/>
  <c r="T92" i="9"/>
  <c r="U92" i="9"/>
  <c r="V92" i="9"/>
  <c r="W92" i="9"/>
  <c r="X92" i="9"/>
  <c r="Y92" i="9"/>
  <c r="Z92" i="9"/>
  <c r="AA92" i="9"/>
  <c r="AB92" i="9"/>
  <c r="AC92" i="9"/>
  <c r="AD92" i="9"/>
  <c r="AF92" i="9"/>
  <c r="AG92" i="9"/>
  <c r="AH92" i="9"/>
  <c r="AI92" i="9"/>
  <c r="AJ92" i="9"/>
  <c r="AK92" i="9"/>
  <c r="AO92" i="9" s="1"/>
  <c r="AL92" i="9"/>
  <c r="AM92" i="9"/>
  <c r="AP92" i="9" s="1"/>
  <c r="J93" i="9"/>
  <c r="N93" i="9" s="1"/>
  <c r="K93" i="9"/>
  <c r="O93" i="9" s="1"/>
  <c r="L93" i="9"/>
  <c r="M93" i="9"/>
  <c r="P93" i="9"/>
  <c r="Q93" i="9"/>
  <c r="R93" i="9"/>
  <c r="S93" i="9"/>
  <c r="T93" i="9"/>
  <c r="U93" i="9"/>
  <c r="V93" i="9"/>
  <c r="W93" i="9"/>
  <c r="X93" i="9"/>
  <c r="Y93" i="9"/>
  <c r="Z93" i="9"/>
  <c r="AA93" i="9"/>
  <c r="AB93" i="9"/>
  <c r="AC93" i="9"/>
  <c r="AD93" i="9"/>
  <c r="AF93" i="9"/>
  <c r="AG93" i="9"/>
  <c r="AH93" i="9"/>
  <c r="AI93" i="9"/>
  <c r="AJ93" i="9"/>
  <c r="AK93" i="9"/>
  <c r="AL93" i="9"/>
  <c r="AM93" i="9"/>
  <c r="AP93" i="9" s="1"/>
  <c r="J94" i="9"/>
  <c r="N94" i="9" s="1"/>
  <c r="K94" i="9"/>
  <c r="O94" i="9" s="1"/>
  <c r="L94" i="9"/>
  <c r="M94" i="9"/>
  <c r="P94" i="9"/>
  <c r="Q94" i="9"/>
  <c r="R94" i="9"/>
  <c r="S94" i="9"/>
  <c r="T94" i="9"/>
  <c r="U94" i="9"/>
  <c r="V94" i="9"/>
  <c r="W94" i="9"/>
  <c r="X94" i="9"/>
  <c r="Y94" i="9"/>
  <c r="Z94" i="9"/>
  <c r="AA94" i="9"/>
  <c r="AB94" i="9"/>
  <c r="AC94" i="9"/>
  <c r="AD94" i="9"/>
  <c r="AF94" i="9"/>
  <c r="AG94" i="9"/>
  <c r="AH94" i="9"/>
  <c r="AI94" i="9"/>
  <c r="AJ94" i="9"/>
  <c r="AK94" i="9"/>
  <c r="AL94" i="9"/>
  <c r="AM94" i="9"/>
  <c r="AP94" i="9" s="1"/>
  <c r="J95" i="9"/>
  <c r="N95" i="9" s="1"/>
  <c r="K95" i="9"/>
  <c r="O95" i="9" s="1"/>
  <c r="L95" i="9"/>
  <c r="M95" i="9"/>
  <c r="P95" i="9"/>
  <c r="Q95" i="9"/>
  <c r="R95" i="9"/>
  <c r="S95" i="9"/>
  <c r="T95" i="9"/>
  <c r="U95" i="9"/>
  <c r="V95" i="9"/>
  <c r="W95" i="9"/>
  <c r="X95" i="9"/>
  <c r="Y95" i="9"/>
  <c r="Z95" i="9"/>
  <c r="AA95" i="9"/>
  <c r="AB95" i="9"/>
  <c r="AC95" i="9"/>
  <c r="AD95" i="9"/>
  <c r="AF95" i="9"/>
  <c r="AG95" i="9"/>
  <c r="AH95" i="9"/>
  <c r="AI95" i="9"/>
  <c r="AJ95" i="9"/>
  <c r="AK95" i="9"/>
  <c r="AL95" i="9"/>
  <c r="AM95" i="9"/>
  <c r="AP95" i="9" s="1"/>
  <c r="J96" i="9"/>
  <c r="N96" i="9" s="1"/>
  <c r="K96" i="9"/>
  <c r="O96" i="9" s="1"/>
  <c r="L96" i="9"/>
  <c r="M96" i="9"/>
  <c r="P96" i="9"/>
  <c r="Q96" i="9"/>
  <c r="R96" i="9"/>
  <c r="S96" i="9"/>
  <c r="T96" i="9"/>
  <c r="U96" i="9"/>
  <c r="V96" i="9"/>
  <c r="W96" i="9"/>
  <c r="X96" i="9"/>
  <c r="Y96" i="9"/>
  <c r="Z96" i="9"/>
  <c r="AA96" i="9"/>
  <c r="AB96" i="9"/>
  <c r="AC96" i="9"/>
  <c r="AD96" i="9"/>
  <c r="AF96" i="9"/>
  <c r="AG96" i="9"/>
  <c r="AH96" i="9"/>
  <c r="AI96" i="9"/>
  <c r="AJ96" i="9"/>
  <c r="AK96" i="9"/>
  <c r="AO96" i="9" s="1"/>
  <c r="AL96" i="9"/>
  <c r="AM96" i="9"/>
  <c r="AP96" i="9" s="1"/>
  <c r="J97" i="9"/>
  <c r="N97" i="9" s="1"/>
  <c r="K97" i="9"/>
  <c r="O97" i="9" s="1"/>
  <c r="L97" i="9"/>
  <c r="M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F97" i="9"/>
  <c r="AG97" i="9"/>
  <c r="AH97" i="9"/>
  <c r="AI97" i="9"/>
  <c r="AJ97" i="9"/>
  <c r="AK97" i="9"/>
  <c r="AL97" i="9"/>
  <c r="AM97" i="9"/>
  <c r="AP97" i="9" s="1"/>
  <c r="J98" i="9"/>
  <c r="N98" i="9" s="1"/>
  <c r="K98" i="9"/>
  <c r="O98" i="9" s="1"/>
  <c r="L98" i="9"/>
  <c r="M98" i="9"/>
  <c r="P98" i="9"/>
  <c r="Q98" i="9"/>
  <c r="R98" i="9"/>
  <c r="S98" i="9"/>
  <c r="T98" i="9"/>
  <c r="U98" i="9"/>
  <c r="V98" i="9"/>
  <c r="W98" i="9"/>
  <c r="X98" i="9"/>
  <c r="Y98" i="9"/>
  <c r="Z98" i="9"/>
  <c r="AA98" i="9"/>
  <c r="AB98" i="9"/>
  <c r="AC98" i="9"/>
  <c r="AD98" i="9"/>
  <c r="AF98" i="9"/>
  <c r="AG98" i="9"/>
  <c r="AH98" i="9"/>
  <c r="AI98" i="9"/>
  <c r="AJ98" i="9"/>
  <c r="AK98" i="9"/>
  <c r="AO98" i="9" s="1"/>
  <c r="AL98" i="9"/>
  <c r="AM98" i="9"/>
  <c r="AP98" i="9" s="1"/>
  <c r="J99" i="9"/>
  <c r="K99" i="9"/>
  <c r="O99" i="9" s="1"/>
  <c r="L99" i="9"/>
  <c r="M99" i="9"/>
  <c r="N99" i="9"/>
  <c r="P99" i="9"/>
  <c r="Q99" i="9"/>
  <c r="R99" i="9"/>
  <c r="S99" i="9"/>
  <c r="T99" i="9"/>
  <c r="U99" i="9"/>
  <c r="V99" i="9"/>
  <c r="W99" i="9"/>
  <c r="X99" i="9"/>
  <c r="Y99" i="9"/>
  <c r="Z99" i="9"/>
  <c r="AA99" i="9"/>
  <c r="AB99" i="9"/>
  <c r="AC99" i="9"/>
  <c r="AD99" i="9"/>
  <c r="AF99" i="9"/>
  <c r="AG99" i="9"/>
  <c r="AH99" i="9"/>
  <c r="AI99" i="9"/>
  <c r="AJ99" i="9"/>
  <c r="AK99" i="9"/>
  <c r="AN99" i="9" s="1"/>
  <c r="AL99" i="9"/>
  <c r="AM99" i="9"/>
  <c r="AP99" i="9" s="1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X100" i="9"/>
  <c r="Y100" i="9"/>
  <c r="Z100" i="9"/>
  <c r="AA100" i="9"/>
  <c r="AB100" i="9"/>
  <c r="AC100" i="9"/>
  <c r="AD100" i="9"/>
  <c r="AF100" i="9"/>
  <c r="AG100" i="9"/>
  <c r="AH100" i="9"/>
  <c r="AI100" i="9"/>
  <c r="AJ100" i="9"/>
  <c r="AK100" i="9"/>
  <c r="AL100" i="9"/>
  <c r="AM100" i="9"/>
  <c r="AP100" i="9" s="1"/>
  <c r="AN100" i="9"/>
  <c r="AO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AJ101" i="9"/>
  <c r="AK101" i="9"/>
  <c r="AN101" i="9" s="1"/>
  <c r="AL101" i="9"/>
  <c r="AM101" i="9"/>
  <c r="AO101" i="9"/>
  <c r="AP101" i="9"/>
  <c r="J102" i="9"/>
  <c r="N102" i="9" s="1"/>
  <c r="K102" i="9"/>
  <c r="O102" i="9" s="1"/>
  <c r="L102" i="9"/>
  <c r="M102" i="9"/>
  <c r="P102" i="9"/>
  <c r="Q102" i="9"/>
  <c r="R102" i="9"/>
  <c r="S102" i="9"/>
  <c r="T102" i="9"/>
  <c r="U102" i="9"/>
  <c r="V102" i="9"/>
  <c r="W102" i="9"/>
  <c r="X102" i="9"/>
  <c r="Y102" i="9"/>
  <c r="Z102" i="9"/>
  <c r="AA102" i="9"/>
  <c r="AB102" i="9"/>
  <c r="AC102" i="9"/>
  <c r="AD102" i="9"/>
  <c r="AF102" i="9"/>
  <c r="AG102" i="9"/>
  <c r="AH102" i="9"/>
  <c r="AI102" i="9"/>
  <c r="AJ102" i="9"/>
  <c r="AK102" i="9"/>
  <c r="AN102" i="9" s="1"/>
  <c r="AL102" i="9"/>
  <c r="AM102" i="9"/>
  <c r="AO102" i="9"/>
  <c r="AP102" i="9"/>
  <c r="J103" i="9"/>
  <c r="K103" i="9"/>
  <c r="O103" i="9" s="1"/>
  <c r="L103" i="9"/>
  <c r="M103" i="9"/>
  <c r="N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F103" i="9"/>
  <c r="AG103" i="9"/>
  <c r="AH103" i="9"/>
  <c r="AI103" i="9"/>
  <c r="AJ103" i="9"/>
  <c r="AK103" i="9"/>
  <c r="AN103" i="9" s="1"/>
  <c r="AL103" i="9"/>
  <c r="AM103" i="9"/>
  <c r="AP103" i="9" s="1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X104" i="9"/>
  <c r="Y104" i="9"/>
  <c r="Z104" i="9"/>
  <c r="AA104" i="9"/>
  <c r="AB104" i="9"/>
  <c r="AC104" i="9"/>
  <c r="AD104" i="9"/>
  <c r="AF104" i="9"/>
  <c r="AG104" i="9"/>
  <c r="AH104" i="9"/>
  <c r="AI104" i="9"/>
  <c r="AJ104" i="9"/>
  <c r="AK104" i="9"/>
  <c r="AL104" i="9"/>
  <c r="AM104" i="9"/>
  <c r="AP104" i="9" s="1"/>
  <c r="AN104" i="9"/>
  <c r="AO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X105" i="9"/>
  <c r="Y105" i="9"/>
  <c r="Z105" i="9"/>
  <c r="AA105" i="9"/>
  <c r="AB105" i="9"/>
  <c r="AC105" i="9"/>
  <c r="AD105" i="9"/>
  <c r="AF105" i="9"/>
  <c r="AG105" i="9"/>
  <c r="AH105" i="9"/>
  <c r="AI105" i="9"/>
  <c r="AJ105" i="9"/>
  <c r="AK105" i="9"/>
  <c r="AN105" i="9" s="1"/>
  <c r="AL105" i="9"/>
  <c r="AM105" i="9"/>
  <c r="AO105" i="9"/>
  <c r="AP105" i="9"/>
  <c r="J106" i="9"/>
  <c r="N106" i="9" s="1"/>
  <c r="K106" i="9"/>
  <c r="O106" i="9" s="1"/>
  <c r="L106" i="9"/>
  <c r="M106" i="9"/>
  <c r="P106" i="9"/>
  <c r="Q106" i="9"/>
  <c r="R106" i="9"/>
  <c r="S106" i="9"/>
  <c r="T106" i="9"/>
  <c r="U106" i="9"/>
  <c r="V106" i="9"/>
  <c r="W106" i="9"/>
  <c r="X106" i="9"/>
  <c r="Y106" i="9"/>
  <c r="Z106" i="9"/>
  <c r="AA106" i="9"/>
  <c r="AB106" i="9"/>
  <c r="AC106" i="9"/>
  <c r="AD106" i="9"/>
  <c r="AF106" i="9"/>
  <c r="AG106" i="9"/>
  <c r="AH106" i="9"/>
  <c r="AI106" i="9"/>
  <c r="AJ106" i="9"/>
  <c r="AK106" i="9"/>
  <c r="AN106" i="9" s="1"/>
  <c r="AL106" i="9"/>
  <c r="AM106" i="9"/>
  <c r="AO106" i="9"/>
  <c r="AP106" i="9"/>
  <c r="J107" i="9"/>
  <c r="K107" i="9"/>
  <c r="O107" i="9" s="1"/>
  <c r="L107" i="9"/>
  <c r="M107" i="9"/>
  <c r="N107" i="9"/>
  <c r="P107" i="9"/>
  <c r="Q107" i="9"/>
  <c r="R107" i="9"/>
  <c r="S107" i="9"/>
  <c r="T107" i="9"/>
  <c r="U107" i="9"/>
  <c r="V107" i="9"/>
  <c r="W107" i="9"/>
  <c r="X107" i="9"/>
  <c r="Y107" i="9"/>
  <c r="Z107" i="9"/>
  <c r="AA107" i="9"/>
  <c r="AB107" i="9"/>
  <c r="AC107" i="9"/>
  <c r="AD107" i="9"/>
  <c r="AF107" i="9"/>
  <c r="AG107" i="9"/>
  <c r="AH107" i="9"/>
  <c r="AI107" i="9"/>
  <c r="AJ107" i="9"/>
  <c r="AK107" i="9"/>
  <c r="AN107" i="9" s="1"/>
  <c r="AL107" i="9"/>
  <c r="AM107" i="9"/>
  <c r="AP107" i="9" s="1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X108" i="9"/>
  <c r="Y108" i="9"/>
  <c r="Z108" i="9"/>
  <c r="AA108" i="9"/>
  <c r="AB108" i="9"/>
  <c r="AC108" i="9"/>
  <c r="AD108" i="9"/>
  <c r="AF108" i="9"/>
  <c r="AG108" i="9"/>
  <c r="AH108" i="9"/>
  <c r="AI108" i="9"/>
  <c r="AJ108" i="9"/>
  <c r="AK108" i="9"/>
  <c r="AL108" i="9"/>
  <c r="AM108" i="9"/>
  <c r="AP108" i="9" s="1"/>
  <c r="AN108" i="9"/>
  <c r="AO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X109" i="9"/>
  <c r="Y109" i="9"/>
  <c r="Z109" i="9"/>
  <c r="AA109" i="9"/>
  <c r="AB109" i="9"/>
  <c r="AC109" i="9"/>
  <c r="AD109" i="9"/>
  <c r="AF109" i="9"/>
  <c r="AG109" i="9"/>
  <c r="AH109" i="9"/>
  <c r="AI109" i="9"/>
  <c r="AJ109" i="9"/>
  <c r="AK109" i="9"/>
  <c r="AN109" i="9" s="1"/>
  <c r="AL109" i="9"/>
  <c r="AM109" i="9"/>
  <c r="AO109" i="9"/>
  <c r="AP109" i="9"/>
  <c r="J110" i="9"/>
  <c r="N110" i="9" s="1"/>
  <c r="K110" i="9"/>
  <c r="O110" i="9" s="1"/>
  <c r="L110" i="9"/>
  <c r="M110" i="9"/>
  <c r="P110" i="9"/>
  <c r="Q110" i="9"/>
  <c r="R110" i="9"/>
  <c r="S110" i="9"/>
  <c r="T110" i="9"/>
  <c r="U110" i="9"/>
  <c r="V110" i="9"/>
  <c r="W110" i="9"/>
  <c r="X110" i="9"/>
  <c r="Y110" i="9"/>
  <c r="Z110" i="9"/>
  <c r="AA110" i="9"/>
  <c r="AB110" i="9"/>
  <c r="AC110" i="9"/>
  <c r="AD110" i="9"/>
  <c r="AF110" i="9"/>
  <c r="AG110" i="9"/>
  <c r="AH110" i="9"/>
  <c r="AI110" i="9"/>
  <c r="AJ110" i="9"/>
  <c r="AK110" i="9"/>
  <c r="AN110" i="9" s="1"/>
  <c r="AL110" i="9"/>
  <c r="AM110" i="9"/>
  <c r="AO110" i="9"/>
  <c r="AP110" i="9"/>
  <c r="J111" i="9"/>
  <c r="K111" i="9"/>
  <c r="O111" i="9" s="1"/>
  <c r="L111" i="9"/>
  <c r="M111" i="9"/>
  <c r="N111" i="9"/>
  <c r="P111" i="9"/>
  <c r="Q111" i="9"/>
  <c r="R111" i="9"/>
  <c r="S111" i="9"/>
  <c r="T111" i="9"/>
  <c r="U111" i="9"/>
  <c r="V111" i="9"/>
  <c r="W111" i="9"/>
  <c r="X111" i="9"/>
  <c r="Y111" i="9"/>
  <c r="Z111" i="9"/>
  <c r="AA111" i="9"/>
  <c r="AB111" i="9"/>
  <c r="AC111" i="9"/>
  <c r="AD111" i="9"/>
  <c r="AF111" i="9"/>
  <c r="AG111" i="9"/>
  <c r="AH111" i="9"/>
  <c r="AI111" i="9"/>
  <c r="AJ111" i="9"/>
  <c r="AK111" i="9"/>
  <c r="AN111" i="9" s="1"/>
  <c r="AL111" i="9"/>
  <c r="AM111" i="9"/>
  <c r="AP111" i="9" s="1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X112" i="9"/>
  <c r="Y112" i="9"/>
  <c r="Z112" i="9"/>
  <c r="AA112" i="9"/>
  <c r="AB112" i="9"/>
  <c r="AC112" i="9"/>
  <c r="AD112" i="9"/>
  <c r="AF112" i="9"/>
  <c r="AG112" i="9"/>
  <c r="AH112" i="9"/>
  <c r="AI112" i="9"/>
  <c r="AJ112" i="9"/>
  <c r="AK112" i="9"/>
  <c r="AL112" i="9"/>
  <c r="AM112" i="9"/>
  <c r="AP112" i="9" s="1"/>
  <c r="AN112" i="9"/>
  <c r="AO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X113" i="9"/>
  <c r="Y113" i="9"/>
  <c r="Z113" i="9"/>
  <c r="AA113" i="9"/>
  <c r="AB113" i="9"/>
  <c r="AC113" i="9"/>
  <c r="AD113" i="9"/>
  <c r="AF113" i="9"/>
  <c r="AG113" i="9"/>
  <c r="AH113" i="9"/>
  <c r="AI113" i="9"/>
  <c r="AJ113" i="9"/>
  <c r="AK113" i="9"/>
  <c r="AN113" i="9" s="1"/>
  <c r="AL113" i="9"/>
  <c r="AM113" i="9"/>
  <c r="AO113" i="9"/>
  <c r="AP113" i="9"/>
  <c r="J114" i="9"/>
  <c r="N114" i="9" s="1"/>
  <c r="K114" i="9"/>
  <c r="O114" i="9" s="1"/>
  <c r="L114" i="9"/>
  <c r="M114" i="9"/>
  <c r="P114" i="9"/>
  <c r="Q114" i="9"/>
  <c r="R114" i="9"/>
  <c r="S114" i="9"/>
  <c r="T114" i="9"/>
  <c r="U114" i="9"/>
  <c r="V114" i="9"/>
  <c r="W114" i="9"/>
  <c r="X114" i="9"/>
  <c r="Y114" i="9"/>
  <c r="Z114" i="9"/>
  <c r="AA114" i="9"/>
  <c r="AB114" i="9"/>
  <c r="AC114" i="9"/>
  <c r="AD114" i="9"/>
  <c r="AF114" i="9"/>
  <c r="AG114" i="9"/>
  <c r="AH114" i="9"/>
  <c r="AI114" i="9"/>
  <c r="AJ114" i="9"/>
  <c r="AK114" i="9"/>
  <c r="AN114" i="9" s="1"/>
  <c r="AL114" i="9"/>
  <c r="AM114" i="9"/>
  <c r="AO114" i="9"/>
  <c r="AP114" i="9"/>
  <c r="J115" i="9"/>
  <c r="K115" i="9"/>
  <c r="O115" i="9" s="1"/>
  <c r="L115" i="9"/>
  <c r="M115" i="9"/>
  <c r="N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F115" i="9"/>
  <c r="AG115" i="9"/>
  <c r="AH115" i="9"/>
  <c r="AI115" i="9"/>
  <c r="AJ115" i="9"/>
  <c r="AK115" i="9"/>
  <c r="AN115" i="9" s="1"/>
  <c r="AL115" i="9"/>
  <c r="AM115" i="9"/>
  <c r="AP115" i="9" s="1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X116" i="9"/>
  <c r="Y116" i="9"/>
  <c r="Z116" i="9"/>
  <c r="AA116" i="9"/>
  <c r="AB116" i="9"/>
  <c r="AC116" i="9"/>
  <c r="AD116" i="9"/>
  <c r="AF116" i="9"/>
  <c r="AG116" i="9"/>
  <c r="AH116" i="9"/>
  <c r="AI116" i="9"/>
  <c r="AJ116" i="9"/>
  <c r="AK116" i="9"/>
  <c r="AL116" i="9"/>
  <c r="AM116" i="9"/>
  <c r="AP116" i="9" s="1"/>
  <c r="AN116" i="9"/>
  <c r="AO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X117" i="9"/>
  <c r="Y117" i="9"/>
  <c r="Z117" i="9"/>
  <c r="AA117" i="9"/>
  <c r="AB117" i="9"/>
  <c r="AC117" i="9"/>
  <c r="AD117" i="9"/>
  <c r="AF117" i="9"/>
  <c r="AG117" i="9"/>
  <c r="AH117" i="9"/>
  <c r="AI117" i="9"/>
  <c r="AJ117" i="9"/>
  <c r="AK117" i="9"/>
  <c r="AN117" i="9" s="1"/>
  <c r="AL117" i="9"/>
  <c r="AM117" i="9"/>
  <c r="AO117" i="9"/>
  <c r="AP117" i="9"/>
  <c r="J118" i="9"/>
  <c r="N118" i="9" s="1"/>
  <c r="K118" i="9"/>
  <c r="O118" i="9" s="1"/>
  <c r="L118" i="9"/>
  <c r="M118" i="9"/>
  <c r="P118" i="9"/>
  <c r="Q118" i="9"/>
  <c r="R118" i="9"/>
  <c r="S118" i="9"/>
  <c r="T118" i="9"/>
  <c r="U118" i="9"/>
  <c r="V118" i="9"/>
  <c r="W118" i="9"/>
  <c r="X118" i="9"/>
  <c r="Y118" i="9"/>
  <c r="Z118" i="9"/>
  <c r="AA118" i="9"/>
  <c r="AB118" i="9"/>
  <c r="AC118" i="9"/>
  <c r="AD118" i="9"/>
  <c r="AF118" i="9"/>
  <c r="AG118" i="9"/>
  <c r="AH118" i="9"/>
  <c r="AI118" i="9"/>
  <c r="AJ118" i="9"/>
  <c r="AK118" i="9"/>
  <c r="AN118" i="9" s="1"/>
  <c r="AL118" i="9"/>
  <c r="AM118" i="9"/>
  <c r="AO118" i="9"/>
  <c r="AP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AJ119" i="9"/>
  <c r="AK119" i="9"/>
  <c r="AL119" i="9"/>
  <c r="AM119" i="9"/>
  <c r="AN119" i="9"/>
  <c r="AO119" i="9"/>
  <c r="AP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AJ120" i="9"/>
  <c r="AK120" i="9"/>
  <c r="AL120" i="9"/>
  <c r="AM120" i="9"/>
  <c r="AN120" i="9"/>
  <c r="AO120" i="9"/>
  <c r="AP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AJ121" i="9"/>
  <c r="AK121" i="9"/>
  <c r="AL121" i="9"/>
  <c r="AM121" i="9"/>
  <c r="AN121" i="9"/>
  <c r="AO121" i="9"/>
  <c r="AP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AJ122" i="9"/>
  <c r="AK122" i="9"/>
  <c r="AL122" i="9"/>
  <c r="AM122" i="9"/>
  <c r="AN122" i="9"/>
  <c r="AO122" i="9"/>
  <c r="AP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X123" i="9"/>
  <c r="Y123" i="9"/>
  <c r="Z123" i="9"/>
  <c r="AA123" i="9"/>
  <c r="AB123" i="9"/>
  <c r="AC123" i="9"/>
  <c r="AD123" i="9"/>
  <c r="AE123" i="9"/>
  <c r="AF123" i="9"/>
  <c r="AG123" i="9"/>
  <c r="AH123" i="9"/>
  <c r="AI123" i="9"/>
  <c r="AJ123" i="9"/>
  <c r="AK123" i="9"/>
  <c r="AL123" i="9"/>
  <c r="AM123" i="9"/>
  <c r="AN123" i="9"/>
  <c r="AO123" i="9"/>
  <c r="AP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AJ124" i="9"/>
  <c r="AK124" i="9"/>
  <c r="AL124" i="9"/>
  <c r="AM124" i="9"/>
  <c r="AN124" i="9"/>
  <c r="AO124" i="9"/>
  <c r="AP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AJ125" i="9"/>
  <c r="AK125" i="9"/>
  <c r="AL125" i="9"/>
  <c r="AM125" i="9"/>
  <c r="AN125" i="9"/>
  <c r="AO125" i="9"/>
  <c r="AP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AJ126" i="9"/>
  <c r="AK126" i="9"/>
  <c r="AL126" i="9"/>
  <c r="AM126" i="9"/>
  <c r="AN126" i="9"/>
  <c r="AO126" i="9"/>
  <c r="AP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AJ128" i="9"/>
  <c r="AK128" i="9"/>
  <c r="AL128" i="9"/>
  <c r="AM128" i="9"/>
  <c r="AN128" i="9"/>
  <c r="AO128" i="9"/>
  <c r="AP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AJ129" i="9"/>
  <c r="AK129" i="9"/>
  <c r="AL129" i="9"/>
  <c r="AM129" i="9"/>
  <c r="AN129" i="9"/>
  <c r="AO129" i="9"/>
  <c r="AP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AJ130" i="9"/>
  <c r="AK130" i="9"/>
  <c r="AL130" i="9"/>
  <c r="AM130" i="9"/>
  <c r="AN130" i="9"/>
  <c r="AO130" i="9"/>
  <c r="AP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X131" i="9"/>
  <c r="Y131" i="9"/>
  <c r="Z131" i="9"/>
  <c r="AA131" i="9"/>
  <c r="AB131" i="9"/>
  <c r="AC131" i="9"/>
  <c r="AD131" i="9"/>
  <c r="AE131" i="9"/>
  <c r="AF131" i="9"/>
  <c r="AG131" i="9"/>
  <c r="AH131" i="9"/>
  <c r="AI131" i="9"/>
  <c r="AJ131" i="9"/>
  <c r="AK131" i="9"/>
  <c r="AL131" i="9"/>
  <c r="AM131" i="9"/>
  <c r="AN131" i="9"/>
  <c r="AO131" i="9"/>
  <c r="AP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AJ132" i="9"/>
  <c r="AK132" i="9"/>
  <c r="AL132" i="9"/>
  <c r="AM132" i="9"/>
  <c r="AN132" i="9"/>
  <c r="AO132" i="9"/>
  <c r="AP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AJ134" i="9"/>
  <c r="AK134" i="9"/>
  <c r="AL134" i="9"/>
  <c r="AM134" i="9"/>
  <c r="AN134" i="9"/>
  <c r="AO134" i="9"/>
  <c r="AP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AJ135" i="9"/>
  <c r="AK135" i="9"/>
  <c r="AL135" i="9"/>
  <c r="AM135" i="9"/>
  <c r="AN135" i="9"/>
  <c r="AO135" i="9"/>
  <c r="AP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AJ136" i="9"/>
  <c r="AK136" i="9"/>
  <c r="AL136" i="9"/>
  <c r="AM136" i="9"/>
  <c r="AN136" i="9"/>
  <c r="AO136" i="9"/>
  <c r="AP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AJ137" i="9"/>
  <c r="AK137" i="9"/>
  <c r="AL137" i="9"/>
  <c r="AM137" i="9"/>
  <c r="AN137" i="9"/>
  <c r="AO137" i="9"/>
  <c r="AP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AJ138" i="9"/>
  <c r="AK138" i="9"/>
  <c r="AL138" i="9"/>
  <c r="AM138" i="9"/>
  <c r="AN138" i="9"/>
  <c r="AO138" i="9"/>
  <c r="AP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AJ140" i="9"/>
  <c r="AK140" i="9"/>
  <c r="AL140" i="9"/>
  <c r="AM140" i="9"/>
  <c r="AN140" i="9"/>
  <c r="AO140" i="9"/>
  <c r="AP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AJ141" i="9"/>
  <c r="AK141" i="9"/>
  <c r="AL141" i="9"/>
  <c r="AM141" i="9"/>
  <c r="AN141" i="9"/>
  <c r="AO141" i="9"/>
  <c r="AP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AJ142" i="9"/>
  <c r="AK142" i="9"/>
  <c r="AL142" i="9"/>
  <c r="AM142" i="9"/>
  <c r="AN142" i="9"/>
  <c r="AO142" i="9"/>
  <c r="AP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AJ143" i="9"/>
  <c r="AK143" i="9"/>
  <c r="AL143" i="9"/>
  <c r="AM143" i="9"/>
  <c r="AN143" i="9"/>
  <c r="AO143" i="9"/>
  <c r="AP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AJ144" i="9"/>
  <c r="AK144" i="9"/>
  <c r="AL144" i="9"/>
  <c r="AM144" i="9"/>
  <c r="AN144" i="9"/>
  <c r="AO144" i="9"/>
  <c r="AP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AJ145" i="9"/>
  <c r="AK145" i="9"/>
  <c r="AL145" i="9"/>
  <c r="AM145" i="9"/>
  <c r="AN145" i="9"/>
  <c r="AO145" i="9"/>
  <c r="AP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X147" i="9"/>
  <c r="Y147" i="9"/>
  <c r="Z147" i="9"/>
  <c r="AA147" i="9"/>
  <c r="AB147" i="9"/>
  <c r="AC147" i="9"/>
  <c r="AD147" i="9"/>
  <c r="AE147" i="9"/>
  <c r="AF147" i="9"/>
  <c r="AG147" i="9"/>
  <c r="AH147" i="9"/>
  <c r="AI147" i="9"/>
  <c r="AJ147" i="9"/>
  <c r="AK147" i="9"/>
  <c r="AL147" i="9"/>
  <c r="AM147" i="9"/>
  <c r="AN147" i="9"/>
  <c r="AO147" i="9"/>
  <c r="AP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AJ148" i="9"/>
  <c r="AK148" i="9"/>
  <c r="AL148" i="9"/>
  <c r="AM148" i="9"/>
  <c r="AN148" i="9"/>
  <c r="AO148" i="9"/>
  <c r="AP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AJ149" i="9"/>
  <c r="AK149" i="9"/>
  <c r="AL149" i="9"/>
  <c r="AM149" i="9"/>
  <c r="AN149" i="9"/>
  <c r="AO149" i="9"/>
  <c r="AP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AJ150" i="9"/>
  <c r="AK150" i="9"/>
  <c r="AL150" i="9"/>
  <c r="AM150" i="9"/>
  <c r="AN150" i="9"/>
  <c r="AO150" i="9"/>
  <c r="AP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AJ152" i="9"/>
  <c r="AK152" i="9"/>
  <c r="AL152" i="9"/>
  <c r="AM152" i="9"/>
  <c r="AN152" i="9"/>
  <c r="AO152" i="9"/>
  <c r="AP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AJ153" i="9"/>
  <c r="AK153" i="9"/>
  <c r="AL153" i="9"/>
  <c r="AM153" i="9"/>
  <c r="AN153" i="9"/>
  <c r="AO153" i="9"/>
  <c r="AP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AJ154" i="9"/>
  <c r="AK154" i="9"/>
  <c r="AL154" i="9"/>
  <c r="AM154" i="9"/>
  <c r="AN154" i="9"/>
  <c r="AO154" i="9"/>
  <c r="AP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X155" i="9"/>
  <c r="Y155" i="9"/>
  <c r="Z155" i="9"/>
  <c r="AA155" i="9"/>
  <c r="AB155" i="9"/>
  <c r="AC155" i="9"/>
  <c r="AD155" i="9"/>
  <c r="AE155" i="9"/>
  <c r="AF155" i="9"/>
  <c r="AG155" i="9"/>
  <c r="AH155" i="9"/>
  <c r="AI155" i="9"/>
  <c r="AJ155" i="9"/>
  <c r="AK155" i="9"/>
  <c r="AL155" i="9"/>
  <c r="AM155" i="9"/>
  <c r="AN155" i="9"/>
  <c r="AO155" i="9"/>
  <c r="AP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AJ156" i="9"/>
  <c r="AK156" i="9"/>
  <c r="AL156" i="9"/>
  <c r="AM156" i="9"/>
  <c r="AN156" i="9"/>
  <c r="AO156" i="9"/>
  <c r="AP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AJ157" i="9"/>
  <c r="AK157" i="9"/>
  <c r="AL157" i="9"/>
  <c r="AM157" i="9"/>
  <c r="AN157" i="9"/>
  <c r="AO157" i="9"/>
  <c r="AP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AJ158" i="9"/>
  <c r="AK158" i="9"/>
  <c r="AL158" i="9"/>
  <c r="AM158" i="9"/>
  <c r="AN158" i="9"/>
  <c r="AO158" i="9"/>
  <c r="AP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AM159" i="9"/>
  <c r="AN159" i="9"/>
  <c r="AO159" i="9"/>
  <c r="AP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AJ160" i="9"/>
  <c r="AK160" i="9"/>
  <c r="AL160" i="9"/>
  <c r="AM160" i="9"/>
  <c r="AN160" i="9"/>
  <c r="AO160" i="9"/>
  <c r="AP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AJ161" i="9"/>
  <c r="AK161" i="9"/>
  <c r="AL161" i="9"/>
  <c r="AM161" i="9"/>
  <c r="AN161" i="9"/>
  <c r="AO161" i="9"/>
  <c r="AP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AK162" i="9"/>
  <c r="AL162" i="9"/>
  <c r="AM162" i="9"/>
  <c r="AN162" i="9"/>
  <c r="AO162" i="9"/>
  <c r="AP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AM163" i="9"/>
  <c r="AN163" i="9"/>
  <c r="AO163" i="9"/>
  <c r="AP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AK164" i="9"/>
  <c r="AL164" i="9"/>
  <c r="AM164" i="9"/>
  <c r="AN164" i="9"/>
  <c r="AO164" i="9"/>
  <c r="AP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AJ165" i="9"/>
  <c r="AK165" i="9"/>
  <c r="AL165" i="9"/>
  <c r="AM165" i="9"/>
  <c r="AN165" i="9"/>
  <c r="AO165" i="9"/>
  <c r="AP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AJ166" i="9"/>
  <c r="AK166" i="9"/>
  <c r="AL166" i="9"/>
  <c r="AM166" i="9"/>
  <c r="AN166" i="9"/>
  <c r="AO166" i="9"/>
  <c r="AP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AJ167" i="9"/>
  <c r="AK167" i="9"/>
  <c r="AL167" i="9"/>
  <c r="AM167" i="9"/>
  <c r="AN167" i="9"/>
  <c r="AO167" i="9"/>
  <c r="AP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AJ168" i="9"/>
  <c r="AK168" i="9"/>
  <c r="AL168" i="9"/>
  <c r="AM168" i="9"/>
  <c r="AN168" i="9"/>
  <c r="AO168" i="9"/>
  <c r="AP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AJ169" i="9"/>
  <c r="AK169" i="9"/>
  <c r="AL169" i="9"/>
  <c r="AM169" i="9"/>
  <c r="AN169" i="9"/>
  <c r="AO169" i="9"/>
  <c r="AP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AJ170" i="9"/>
  <c r="AK170" i="9"/>
  <c r="AL170" i="9"/>
  <c r="AM170" i="9"/>
  <c r="AN170" i="9"/>
  <c r="AO170" i="9"/>
  <c r="AP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X171" i="9"/>
  <c r="Y171" i="9"/>
  <c r="Z171" i="9"/>
  <c r="AA171" i="9"/>
  <c r="AB171" i="9"/>
  <c r="AC171" i="9"/>
  <c r="AD171" i="9"/>
  <c r="AE171" i="9"/>
  <c r="AF171" i="9"/>
  <c r="AG171" i="9"/>
  <c r="AH171" i="9"/>
  <c r="AI171" i="9"/>
  <c r="AJ171" i="9"/>
  <c r="AK171" i="9"/>
  <c r="AL171" i="9"/>
  <c r="AM171" i="9"/>
  <c r="AN171" i="9"/>
  <c r="AO171" i="9"/>
  <c r="AP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AJ172" i="9"/>
  <c r="AK172" i="9"/>
  <c r="AL172" i="9"/>
  <c r="AM172" i="9"/>
  <c r="AN172" i="9"/>
  <c r="AO172" i="9"/>
  <c r="AP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AJ173" i="9"/>
  <c r="AK173" i="9"/>
  <c r="AL173" i="9"/>
  <c r="AM173" i="9"/>
  <c r="AN173" i="9"/>
  <c r="AO173" i="9"/>
  <c r="AP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AJ174" i="9"/>
  <c r="AK174" i="9"/>
  <c r="AL174" i="9"/>
  <c r="AM174" i="9"/>
  <c r="AN174" i="9"/>
  <c r="AO174" i="9"/>
  <c r="AP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AM175" i="9"/>
  <c r="AN175" i="9"/>
  <c r="AO175" i="9"/>
  <c r="AP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AJ176" i="9"/>
  <c r="AK176" i="9"/>
  <c r="AL176" i="9"/>
  <c r="AM176" i="9"/>
  <c r="AN176" i="9"/>
  <c r="AO176" i="9"/>
  <c r="AP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AJ177" i="9"/>
  <c r="AK177" i="9"/>
  <c r="AL177" i="9"/>
  <c r="AM177" i="9"/>
  <c r="AN177" i="9"/>
  <c r="AO177" i="9"/>
  <c r="AP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AJ178" i="9"/>
  <c r="AK178" i="9"/>
  <c r="AL178" i="9"/>
  <c r="AM178" i="9"/>
  <c r="AN178" i="9"/>
  <c r="AO178" i="9"/>
  <c r="AP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X179" i="9"/>
  <c r="Y179" i="9"/>
  <c r="Z179" i="9"/>
  <c r="AA179" i="9"/>
  <c r="AB179" i="9"/>
  <c r="AC179" i="9"/>
  <c r="AD179" i="9"/>
  <c r="AE179" i="9"/>
  <c r="AF179" i="9"/>
  <c r="AG179" i="9"/>
  <c r="AH179" i="9"/>
  <c r="AI179" i="9"/>
  <c r="AJ179" i="9"/>
  <c r="AK179" i="9"/>
  <c r="AL179" i="9"/>
  <c r="AM179" i="9"/>
  <c r="AN179" i="9"/>
  <c r="AO179" i="9"/>
  <c r="AP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AJ180" i="9"/>
  <c r="AK180" i="9"/>
  <c r="AL180" i="9"/>
  <c r="AM180" i="9"/>
  <c r="AN180" i="9"/>
  <c r="AO180" i="9"/>
  <c r="AP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AJ181" i="9"/>
  <c r="AK181" i="9"/>
  <c r="AL181" i="9"/>
  <c r="AM181" i="9"/>
  <c r="AN181" i="9"/>
  <c r="AO181" i="9"/>
  <c r="AP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AJ182" i="9"/>
  <c r="AK182" i="9"/>
  <c r="AL182" i="9"/>
  <c r="AM182" i="9"/>
  <c r="AN182" i="9"/>
  <c r="AO182" i="9"/>
  <c r="AP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AJ183" i="9"/>
  <c r="AK183" i="9"/>
  <c r="AL183" i="9"/>
  <c r="AM183" i="9"/>
  <c r="AN183" i="9"/>
  <c r="AO183" i="9"/>
  <c r="AP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AJ184" i="9"/>
  <c r="AK184" i="9"/>
  <c r="AL184" i="9"/>
  <c r="AM184" i="9"/>
  <c r="AN184" i="9"/>
  <c r="AO184" i="9"/>
  <c r="AP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AJ185" i="9"/>
  <c r="AK185" i="9"/>
  <c r="AL185" i="9"/>
  <c r="AM185" i="9"/>
  <c r="AN185" i="9"/>
  <c r="AO185" i="9"/>
  <c r="AP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AJ186" i="9"/>
  <c r="AK186" i="9"/>
  <c r="AL186" i="9"/>
  <c r="AM186" i="9"/>
  <c r="AN186" i="9"/>
  <c r="AO186" i="9"/>
  <c r="AP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AM187" i="9"/>
  <c r="AN187" i="9"/>
  <c r="AO187" i="9"/>
  <c r="AP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AJ188" i="9"/>
  <c r="AK188" i="9"/>
  <c r="AL188" i="9"/>
  <c r="AM188" i="9"/>
  <c r="AN188" i="9"/>
  <c r="AO188" i="9"/>
  <c r="AP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AJ189" i="9"/>
  <c r="AK189" i="9"/>
  <c r="AL189" i="9"/>
  <c r="AM189" i="9"/>
  <c r="AN189" i="9"/>
  <c r="AO189" i="9"/>
  <c r="AP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AJ190" i="9"/>
  <c r="AK190" i="9"/>
  <c r="AL190" i="9"/>
  <c r="AM190" i="9"/>
  <c r="AN190" i="9"/>
  <c r="AO190" i="9"/>
  <c r="AP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AJ191" i="9"/>
  <c r="AK191" i="9"/>
  <c r="AL191" i="9"/>
  <c r="AM191" i="9"/>
  <c r="AN191" i="9"/>
  <c r="AO191" i="9"/>
  <c r="AP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AJ192" i="9"/>
  <c r="AK192" i="9"/>
  <c r="AL192" i="9"/>
  <c r="AM192" i="9"/>
  <c r="AN192" i="9"/>
  <c r="AO192" i="9"/>
  <c r="AP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AJ193" i="9"/>
  <c r="AK193" i="9"/>
  <c r="AL193" i="9"/>
  <c r="AM193" i="9"/>
  <c r="AN193" i="9"/>
  <c r="AO193" i="9"/>
  <c r="AP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AJ194" i="9"/>
  <c r="AK194" i="9"/>
  <c r="AL194" i="9"/>
  <c r="AM194" i="9"/>
  <c r="AN194" i="9"/>
  <c r="AO194" i="9"/>
  <c r="AP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X195" i="9"/>
  <c r="Y195" i="9"/>
  <c r="Z195" i="9"/>
  <c r="AA195" i="9"/>
  <c r="AB195" i="9"/>
  <c r="AC195" i="9"/>
  <c r="AD195" i="9"/>
  <c r="AE195" i="9"/>
  <c r="AF195" i="9"/>
  <c r="AG195" i="9"/>
  <c r="AH195" i="9"/>
  <c r="AI195" i="9"/>
  <c r="AJ195" i="9"/>
  <c r="AK195" i="9"/>
  <c r="AL195" i="9"/>
  <c r="AM195" i="9"/>
  <c r="AN195" i="9"/>
  <c r="AO195" i="9"/>
  <c r="AP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AJ196" i="9"/>
  <c r="AK196" i="9"/>
  <c r="AL196" i="9"/>
  <c r="AM196" i="9"/>
  <c r="AN196" i="9"/>
  <c r="AO196" i="9"/>
  <c r="AP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AJ197" i="9"/>
  <c r="AK197" i="9"/>
  <c r="AL197" i="9"/>
  <c r="AM197" i="9"/>
  <c r="AN197" i="9"/>
  <c r="AO197" i="9"/>
  <c r="AP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AJ198" i="9"/>
  <c r="AK198" i="9"/>
  <c r="AL198" i="9"/>
  <c r="AM198" i="9"/>
  <c r="AN198" i="9"/>
  <c r="AO198" i="9"/>
  <c r="AP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AM199" i="9"/>
  <c r="AN199" i="9"/>
  <c r="AO199" i="9"/>
  <c r="AP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AJ200" i="9"/>
  <c r="AK200" i="9"/>
  <c r="AL200" i="9"/>
  <c r="AM200" i="9"/>
  <c r="AN200" i="9"/>
  <c r="AO200" i="9"/>
  <c r="AP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AJ201" i="9"/>
  <c r="AK201" i="9"/>
  <c r="AL201" i="9"/>
  <c r="AM201" i="9"/>
  <c r="AN201" i="9"/>
  <c r="AO201" i="9"/>
  <c r="AP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AJ202" i="9"/>
  <c r="AK202" i="9"/>
  <c r="AL202" i="9"/>
  <c r="AM202" i="9"/>
  <c r="AN202" i="9"/>
  <c r="AO202" i="9"/>
  <c r="AP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X203" i="9"/>
  <c r="Y203" i="9"/>
  <c r="Z203" i="9"/>
  <c r="AA203" i="9"/>
  <c r="AB203" i="9"/>
  <c r="AC203" i="9"/>
  <c r="AD203" i="9"/>
  <c r="AE203" i="9"/>
  <c r="AF203" i="9"/>
  <c r="AG203" i="9"/>
  <c r="AH203" i="9"/>
  <c r="AI203" i="9"/>
  <c r="AJ203" i="9"/>
  <c r="AK203" i="9"/>
  <c r="AL203" i="9"/>
  <c r="AM203" i="9"/>
  <c r="AN203" i="9"/>
  <c r="AO203" i="9"/>
  <c r="AP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AJ204" i="9"/>
  <c r="AK204" i="9"/>
  <c r="AL204" i="9"/>
  <c r="AM204" i="9"/>
  <c r="AN204" i="9"/>
  <c r="AO204" i="9"/>
  <c r="AP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AJ205" i="9"/>
  <c r="AK205" i="9"/>
  <c r="AL205" i="9"/>
  <c r="AM205" i="9"/>
  <c r="AN205" i="9"/>
  <c r="AO205" i="9"/>
  <c r="AP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AJ206" i="9"/>
  <c r="AK206" i="9"/>
  <c r="AL206" i="9"/>
  <c r="AM206" i="9"/>
  <c r="AN206" i="9"/>
  <c r="AO206" i="9"/>
  <c r="AP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7" i="9"/>
  <c r="AK207" i="9"/>
  <c r="AL207" i="9"/>
  <c r="AM207" i="9"/>
  <c r="AN207" i="9"/>
  <c r="AO207" i="9"/>
  <c r="AP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AJ208" i="9"/>
  <c r="AK208" i="9"/>
  <c r="AL208" i="9"/>
  <c r="AM208" i="9"/>
  <c r="AN208" i="9"/>
  <c r="AO208" i="9"/>
  <c r="AP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AJ209" i="9"/>
  <c r="AK209" i="9"/>
  <c r="AL209" i="9"/>
  <c r="AM209" i="9"/>
  <c r="AN209" i="9"/>
  <c r="AO209" i="9"/>
  <c r="AP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AJ210" i="9"/>
  <c r="AK210" i="9"/>
  <c r="AL210" i="9"/>
  <c r="AM210" i="9"/>
  <c r="AN210" i="9"/>
  <c r="AO210" i="9"/>
  <c r="AP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AM211" i="9"/>
  <c r="AN211" i="9"/>
  <c r="AO211" i="9"/>
  <c r="AP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AJ212" i="9"/>
  <c r="AK212" i="9"/>
  <c r="AL212" i="9"/>
  <c r="AM212" i="9"/>
  <c r="AN212" i="9"/>
  <c r="AO212" i="9"/>
  <c r="AP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AJ213" i="9"/>
  <c r="AK213" i="9"/>
  <c r="AL213" i="9"/>
  <c r="AM213" i="9"/>
  <c r="AN213" i="9"/>
  <c r="AO213" i="9"/>
  <c r="AP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AJ214" i="9"/>
  <c r="AK214" i="9"/>
  <c r="AL214" i="9"/>
  <c r="AM214" i="9"/>
  <c r="AN214" i="9"/>
  <c r="AO214" i="9"/>
  <c r="AP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AJ215" i="9"/>
  <c r="AK215" i="9"/>
  <c r="AL215" i="9"/>
  <c r="AM215" i="9"/>
  <c r="AN215" i="9"/>
  <c r="AO215" i="9"/>
  <c r="AP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AJ216" i="9"/>
  <c r="AK216" i="9"/>
  <c r="AL216" i="9"/>
  <c r="AM216" i="9"/>
  <c r="AN216" i="9"/>
  <c r="AO216" i="9"/>
  <c r="AP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AJ217" i="9"/>
  <c r="AK217" i="9"/>
  <c r="AL217" i="9"/>
  <c r="AM217" i="9"/>
  <c r="AN217" i="9"/>
  <c r="AO217" i="9"/>
  <c r="AP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AJ218" i="9"/>
  <c r="AK218" i="9"/>
  <c r="AL218" i="9"/>
  <c r="AM218" i="9"/>
  <c r="AN218" i="9"/>
  <c r="AO218" i="9"/>
  <c r="AP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X219" i="9"/>
  <c r="Y219" i="9"/>
  <c r="Z219" i="9"/>
  <c r="AA219" i="9"/>
  <c r="AB219" i="9"/>
  <c r="AC219" i="9"/>
  <c r="AD219" i="9"/>
  <c r="AE219" i="9"/>
  <c r="AF219" i="9"/>
  <c r="AG219" i="9"/>
  <c r="AH219" i="9"/>
  <c r="AI219" i="9"/>
  <c r="AJ219" i="9"/>
  <c r="AK219" i="9"/>
  <c r="AL219" i="9"/>
  <c r="AM219" i="9"/>
  <c r="AN219" i="9"/>
  <c r="AO219" i="9"/>
  <c r="AP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AJ220" i="9"/>
  <c r="AK220" i="9"/>
  <c r="AL220" i="9"/>
  <c r="AM220" i="9"/>
  <c r="AN220" i="9"/>
  <c r="AO220" i="9"/>
  <c r="AP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AJ221" i="9"/>
  <c r="AK221" i="9"/>
  <c r="AL221" i="9"/>
  <c r="AM221" i="9"/>
  <c r="AN221" i="9"/>
  <c r="AO221" i="9"/>
  <c r="AP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AJ222" i="9"/>
  <c r="AK222" i="9"/>
  <c r="AL222" i="9"/>
  <c r="AM222" i="9"/>
  <c r="AN222" i="9"/>
  <c r="AO222" i="9"/>
  <c r="AP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AM223" i="9"/>
  <c r="AN223" i="9"/>
  <c r="AO223" i="9"/>
  <c r="AP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AJ224" i="9"/>
  <c r="AK224" i="9"/>
  <c r="AL224" i="9"/>
  <c r="AM224" i="9"/>
  <c r="AN224" i="9"/>
  <c r="AO224" i="9"/>
  <c r="AP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AJ225" i="9"/>
  <c r="AK225" i="9"/>
  <c r="AL225" i="9"/>
  <c r="AM225" i="9"/>
  <c r="AN225" i="9"/>
  <c r="AO225" i="9"/>
  <c r="AP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AJ226" i="9"/>
  <c r="AK226" i="9"/>
  <c r="AL226" i="9"/>
  <c r="AM226" i="9"/>
  <c r="AN226" i="9"/>
  <c r="AO226" i="9"/>
  <c r="AP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X227" i="9"/>
  <c r="Y227" i="9"/>
  <c r="Z227" i="9"/>
  <c r="AA227" i="9"/>
  <c r="AB227" i="9"/>
  <c r="AC227" i="9"/>
  <c r="AD227" i="9"/>
  <c r="AE227" i="9"/>
  <c r="AF227" i="9"/>
  <c r="AG227" i="9"/>
  <c r="AH227" i="9"/>
  <c r="AI227" i="9"/>
  <c r="AJ227" i="9"/>
  <c r="AK227" i="9"/>
  <c r="AL227" i="9"/>
  <c r="AM227" i="9"/>
  <c r="AN227" i="9"/>
  <c r="AO227" i="9"/>
  <c r="AP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AJ228" i="9"/>
  <c r="AK228" i="9"/>
  <c r="AL228" i="9"/>
  <c r="AM228" i="9"/>
  <c r="AN228" i="9"/>
  <c r="AO228" i="9"/>
  <c r="AP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AJ229" i="9"/>
  <c r="AK229" i="9"/>
  <c r="AL229" i="9"/>
  <c r="AM229" i="9"/>
  <c r="AN229" i="9"/>
  <c r="AO229" i="9"/>
  <c r="AP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AJ230" i="9"/>
  <c r="AK230" i="9"/>
  <c r="AL230" i="9"/>
  <c r="AM230" i="9"/>
  <c r="AN230" i="9"/>
  <c r="AO230" i="9"/>
  <c r="AP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AJ231" i="9"/>
  <c r="AK231" i="9"/>
  <c r="AL231" i="9"/>
  <c r="AM231" i="9"/>
  <c r="AN231" i="9"/>
  <c r="AO231" i="9"/>
  <c r="AP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AJ232" i="9"/>
  <c r="AK232" i="9"/>
  <c r="AL232" i="9"/>
  <c r="AM232" i="9"/>
  <c r="AN232" i="9"/>
  <c r="AO232" i="9"/>
  <c r="AP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AJ233" i="9"/>
  <c r="AK233" i="9"/>
  <c r="AL233" i="9"/>
  <c r="AM233" i="9"/>
  <c r="AN233" i="9"/>
  <c r="AO233" i="9"/>
  <c r="AP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AJ234" i="9"/>
  <c r="AK234" i="9"/>
  <c r="AL234" i="9"/>
  <c r="AM234" i="9"/>
  <c r="AN234" i="9"/>
  <c r="AO234" i="9"/>
  <c r="AP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AM235" i="9"/>
  <c r="AN235" i="9"/>
  <c r="AO235" i="9"/>
  <c r="AP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AJ236" i="9"/>
  <c r="AK236" i="9"/>
  <c r="AL236" i="9"/>
  <c r="AM236" i="9"/>
  <c r="AN236" i="9"/>
  <c r="AO236" i="9"/>
  <c r="AP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AJ237" i="9"/>
  <c r="AK237" i="9"/>
  <c r="AL237" i="9"/>
  <c r="AM237" i="9"/>
  <c r="AN237" i="9"/>
  <c r="AO237" i="9"/>
  <c r="AP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AJ238" i="9"/>
  <c r="AK238" i="9"/>
  <c r="AL238" i="9"/>
  <c r="AM238" i="9"/>
  <c r="AN238" i="9"/>
  <c r="AO238" i="9"/>
  <c r="AP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AJ239" i="9"/>
  <c r="AK239" i="9"/>
  <c r="AL239" i="9"/>
  <c r="AM239" i="9"/>
  <c r="AN239" i="9"/>
  <c r="AO239" i="9"/>
  <c r="AP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AJ240" i="9"/>
  <c r="AK240" i="9"/>
  <c r="AL240" i="9"/>
  <c r="AM240" i="9"/>
  <c r="AN240" i="9"/>
  <c r="AO240" i="9"/>
  <c r="AP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AJ241" i="9"/>
  <c r="AK241" i="9"/>
  <c r="AL241" i="9"/>
  <c r="AM241" i="9"/>
  <c r="AN241" i="9"/>
  <c r="AO241" i="9"/>
  <c r="AP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AJ242" i="9"/>
  <c r="AK242" i="9"/>
  <c r="AL242" i="9"/>
  <c r="AM242" i="9"/>
  <c r="AN242" i="9"/>
  <c r="AO242" i="9"/>
  <c r="AP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X243" i="9"/>
  <c r="Y243" i="9"/>
  <c r="Z243" i="9"/>
  <c r="AA243" i="9"/>
  <c r="AB243" i="9"/>
  <c r="AC243" i="9"/>
  <c r="AD243" i="9"/>
  <c r="AE243" i="9"/>
  <c r="AF243" i="9"/>
  <c r="AG243" i="9"/>
  <c r="AH243" i="9"/>
  <c r="AI243" i="9"/>
  <c r="AJ243" i="9"/>
  <c r="AK243" i="9"/>
  <c r="AL243" i="9"/>
  <c r="AM243" i="9"/>
  <c r="AN243" i="9"/>
  <c r="AO243" i="9"/>
  <c r="AP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AJ244" i="9"/>
  <c r="AK244" i="9"/>
  <c r="AL244" i="9"/>
  <c r="AM244" i="9"/>
  <c r="AN244" i="9"/>
  <c r="AO244" i="9"/>
  <c r="AP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AJ245" i="9"/>
  <c r="AK245" i="9"/>
  <c r="AL245" i="9"/>
  <c r="AM245" i="9"/>
  <c r="AN245" i="9"/>
  <c r="AO245" i="9"/>
  <c r="AP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AJ246" i="9"/>
  <c r="AK246" i="9"/>
  <c r="AL246" i="9"/>
  <c r="AM246" i="9"/>
  <c r="AN246" i="9"/>
  <c r="AO246" i="9"/>
  <c r="AP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AM247" i="9"/>
  <c r="AN247" i="9"/>
  <c r="AO247" i="9"/>
  <c r="AP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AJ248" i="9"/>
  <c r="AK248" i="9"/>
  <c r="AL248" i="9"/>
  <c r="AM248" i="9"/>
  <c r="AN248" i="9"/>
  <c r="AO248" i="9"/>
  <c r="AP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AJ249" i="9"/>
  <c r="AK249" i="9"/>
  <c r="AL249" i="9"/>
  <c r="AM249" i="9"/>
  <c r="AN249" i="9"/>
  <c r="AO249" i="9"/>
  <c r="AP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AJ250" i="9"/>
  <c r="AK250" i="9"/>
  <c r="AL250" i="9"/>
  <c r="AM250" i="9"/>
  <c r="AN250" i="9"/>
  <c r="AO250" i="9"/>
  <c r="AP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X251" i="9"/>
  <c r="Y251" i="9"/>
  <c r="Z251" i="9"/>
  <c r="AA251" i="9"/>
  <c r="AB251" i="9"/>
  <c r="AC251" i="9"/>
  <c r="AD251" i="9"/>
  <c r="AE251" i="9"/>
  <c r="AF251" i="9"/>
  <c r="AG251" i="9"/>
  <c r="AH251" i="9"/>
  <c r="AI251" i="9"/>
  <c r="AJ251" i="9"/>
  <c r="AK251" i="9"/>
  <c r="AL251" i="9"/>
  <c r="AM251" i="9"/>
  <c r="AN251" i="9"/>
  <c r="AO251" i="9"/>
  <c r="AP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AJ252" i="9"/>
  <c r="AK252" i="9"/>
  <c r="AL252" i="9"/>
  <c r="AM252" i="9"/>
  <c r="AN252" i="9"/>
  <c r="AO252" i="9"/>
  <c r="AP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AJ253" i="9"/>
  <c r="AK253" i="9"/>
  <c r="AL253" i="9"/>
  <c r="AM253" i="9"/>
  <c r="AN253" i="9"/>
  <c r="AO253" i="9"/>
  <c r="AP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AJ254" i="9"/>
  <c r="AK254" i="9"/>
  <c r="AL254" i="9"/>
  <c r="AM254" i="9"/>
  <c r="AN254" i="9"/>
  <c r="AO254" i="9"/>
  <c r="AP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AJ255" i="9"/>
  <c r="AK255" i="9"/>
  <c r="AL255" i="9"/>
  <c r="AM255" i="9"/>
  <c r="AN255" i="9"/>
  <c r="AO255" i="9"/>
  <c r="AP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AJ256" i="9"/>
  <c r="AK256" i="9"/>
  <c r="AL256" i="9"/>
  <c r="AM256" i="9"/>
  <c r="AN256" i="9"/>
  <c r="AO256" i="9"/>
  <c r="AP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AJ257" i="9"/>
  <c r="AK257" i="9"/>
  <c r="AL257" i="9"/>
  <c r="AM257" i="9"/>
  <c r="AN257" i="9"/>
  <c r="AO257" i="9"/>
  <c r="AP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AJ258" i="9"/>
  <c r="AK258" i="9"/>
  <c r="AL258" i="9"/>
  <c r="AM258" i="9"/>
  <c r="AN258" i="9"/>
  <c r="AO258" i="9"/>
  <c r="AP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AM259" i="9"/>
  <c r="AN259" i="9"/>
  <c r="AO259" i="9"/>
  <c r="AP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AJ260" i="9"/>
  <c r="AK260" i="9"/>
  <c r="AL260" i="9"/>
  <c r="AM260" i="9"/>
  <c r="AN260" i="9"/>
  <c r="AO260" i="9"/>
  <c r="AP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AJ261" i="9"/>
  <c r="AK261" i="9"/>
  <c r="AL261" i="9"/>
  <c r="AM261" i="9"/>
  <c r="AN261" i="9"/>
  <c r="AO261" i="9"/>
  <c r="AP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AJ262" i="9"/>
  <c r="AK262" i="9"/>
  <c r="AL262" i="9"/>
  <c r="AM262" i="9"/>
  <c r="AN262" i="9"/>
  <c r="AO262" i="9"/>
  <c r="AP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AJ263" i="9"/>
  <c r="AK263" i="9"/>
  <c r="AL263" i="9"/>
  <c r="AM263" i="9"/>
  <c r="AN263" i="9"/>
  <c r="AO263" i="9"/>
  <c r="AP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AJ264" i="9"/>
  <c r="AK264" i="9"/>
  <c r="AL264" i="9"/>
  <c r="AM264" i="9"/>
  <c r="AN264" i="9"/>
  <c r="AO264" i="9"/>
  <c r="AP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AJ265" i="9"/>
  <c r="AK265" i="9"/>
  <c r="AL265" i="9"/>
  <c r="AM265" i="9"/>
  <c r="AN265" i="9"/>
  <c r="AO265" i="9"/>
  <c r="AP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AJ266" i="9"/>
  <c r="AK266" i="9"/>
  <c r="AL266" i="9"/>
  <c r="AM266" i="9"/>
  <c r="AN266" i="9"/>
  <c r="AO266" i="9"/>
  <c r="AP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X267" i="9"/>
  <c r="Y267" i="9"/>
  <c r="Z267" i="9"/>
  <c r="AA267" i="9"/>
  <c r="AB267" i="9"/>
  <c r="AC267" i="9"/>
  <c r="AD267" i="9"/>
  <c r="AE267" i="9"/>
  <c r="AF267" i="9"/>
  <c r="AG267" i="9"/>
  <c r="AH267" i="9"/>
  <c r="AI267" i="9"/>
  <c r="AJ267" i="9"/>
  <c r="AK267" i="9"/>
  <c r="AL267" i="9"/>
  <c r="AM267" i="9"/>
  <c r="AN267" i="9"/>
  <c r="AO267" i="9"/>
  <c r="AP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AJ268" i="9"/>
  <c r="AK268" i="9"/>
  <c r="AL268" i="9"/>
  <c r="AM268" i="9"/>
  <c r="AN268" i="9"/>
  <c r="AO268" i="9"/>
  <c r="AP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AJ269" i="9"/>
  <c r="AK269" i="9"/>
  <c r="AL269" i="9"/>
  <c r="AM269" i="9"/>
  <c r="AN269" i="9"/>
  <c r="AO269" i="9"/>
  <c r="AP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AJ270" i="9"/>
  <c r="AK270" i="9"/>
  <c r="AL270" i="9"/>
  <c r="AM270" i="9"/>
  <c r="AN270" i="9"/>
  <c r="AO270" i="9"/>
  <c r="AP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AJ271" i="9"/>
  <c r="AK271" i="9"/>
  <c r="AL271" i="9"/>
  <c r="AM271" i="9"/>
  <c r="AN271" i="9"/>
  <c r="AO271" i="9"/>
  <c r="AP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AJ272" i="9"/>
  <c r="AK272" i="9"/>
  <c r="AL272" i="9"/>
  <c r="AM272" i="9"/>
  <c r="AN272" i="9"/>
  <c r="AO272" i="9"/>
  <c r="AP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AJ273" i="9"/>
  <c r="AK273" i="9"/>
  <c r="AL273" i="9"/>
  <c r="AM273" i="9"/>
  <c r="AN273" i="9"/>
  <c r="AO273" i="9"/>
  <c r="AP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AJ274" i="9"/>
  <c r="AK274" i="9"/>
  <c r="AL274" i="9"/>
  <c r="AM274" i="9"/>
  <c r="AN274" i="9"/>
  <c r="AO274" i="9"/>
  <c r="AP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X275" i="9"/>
  <c r="Y275" i="9"/>
  <c r="Z275" i="9"/>
  <c r="AA275" i="9"/>
  <c r="AB275" i="9"/>
  <c r="AC275" i="9"/>
  <c r="AD275" i="9"/>
  <c r="AE275" i="9"/>
  <c r="AF275" i="9"/>
  <c r="AG275" i="9"/>
  <c r="AH275" i="9"/>
  <c r="AI275" i="9"/>
  <c r="AJ275" i="9"/>
  <c r="AK275" i="9"/>
  <c r="AL275" i="9"/>
  <c r="AM275" i="9"/>
  <c r="AN275" i="9"/>
  <c r="AO275" i="9"/>
  <c r="AP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AJ276" i="9"/>
  <c r="AK276" i="9"/>
  <c r="AL276" i="9"/>
  <c r="AM276" i="9"/>
  <c r="AN276" i="9"/>
  <c r="AO276" i="9"/>
  <c r="AP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AJ277" i="9"/>
  <c r="AK277" i="9"/>
  <c r="AL277" i="9"/>
  <c r="AM277" i="9"/>
  <c r="AN277" i="9"/>
  <c r="AO277" i="9"/>
  <c r="AP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AJ278" i="9"/>
  <c r="AK278" i="9"/>
  <c r="AL278" i="9"/>
  <c r="AM278" i="9"/>
  <c r="AN278" i="9"/>
  <c r="AO278" i="9"/>
  <c r="AP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AJ279" i="9"/>
  <c r="AK279" i="9"/>
  <c r="AL279" i="9"/>
  <c r="AM279" i="9"/>
  <c r="AN279" i="9"/>
  <c r="AO279" i="9"/>
  <c r="AP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AJ280" i="9"/>
  <c r="AK280" i="9"/>
  <c r="AL280" i="9"/>
  <c r="AM280" i="9"/>
  <c r="AN280" i="9"/>
  <c r="AO280" i="9"/>
  <c r="AP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AJ281" i="9"/>
  <c r="AK281" i="9"/>
  <c r="AL281" i="9"/>
  <c r="AM281" i="9"/>
  <c r="AN281" i="9"/>
  <c r="AO281" i="9"/>
  <c r="AP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AJ282" i="9"/>
  <c r="AK282" i="9"/>
  <c r="AL282" i="9"/>
  <c r="AM282" i="9"/>
  <c r="AN282" i="9"/>
  <c r="AO282" i="9"/>
  <c r="AP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X283" i="9"/>
  <c r="Y283" i="9"/>
  <c r="Z283" i="9"/>
  <c r="AA283" i="9"/>
  <c r="AB283" i="9"/>
  <c r="AC283" i="9"/>
  <c r="AD283" i="9"/>
  <c r="AE283" i="9"/>
  <c r="AF283" i="9"/>
  <c r="AG283" i="9"/>
  <c r="AH283" i="9"/>
  <c r="AI283" i="9"/>
  <c r="AJ283" i="9"/>
  <c r="AK283" i="9"/>
  <c r="AL283" i="9"/>
  <c r="AM283" i="9"/>
  <c r="AN283" i="9"/>
  <c r="AO283" i="9"/>
  <c r="AP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AJ284" i="9"/>
  <c r="AK284" i="9"/>
  <c r="AL284" i="9"/>
  <c r="AM284" i="9"/>
  <c r="AN284" i="9"/>
  <c r="AO284" i="9"/>
  <c r="AP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AJ285" i="9"/>
  <c r="AK285" i="9"/>
  <c r="AL285" i="9"/>
  <c r="AM285" i="9"/>
  <c r="AN285" i="9"/>
  <c r="AO285" i="9"/>
  <c r="AP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AJ286" i="9"/>
  <c r="AK286" i="9"/>
  <c r="AL286" i="9"/>
  <c r="AM286" i="9"/>
  <c r="AN286" i="9"/>
  <c r="AO286" i="9"/>
  <c r="AP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AJ287" i="9"/>
  <c r="AK287" i="9"/>
  <c r="AL287" i="9"/>
  <c r="AM287" i="9"/>
  <c r="AN287" i="9"/>
  <c r="AO287" i="9"/>
  <c r="AP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AJ288" i="9"/>
  <c r="AK288" i="9"/>
  <c r="AL288" i="9"/>
  <c r="AM288" i="9"/>
  <c r="AN288" i="9"/>
  <c r="AO288" i="9"/>
  <c r="AP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AJ289" i="9"/>
  <c r="AK289" i="9"/>
  <c r="AL289" i="9"/>
  <c r="AM289" i="9"/>
  <c r="AN289" i="9"/>
  <c r="AO289" i="9"/>
  <c r="AP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AJ290" i="9"/>
  <c r="AK290" i="9"/>
  <c r="AL290" i="9"/>
  <c r="AM290" i="9"/>
  <c r="AN290" i="9"/>
  <c r="AO290" i="9"/>
  <c r="AP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X291" i="9"/>
  <c r="Y291" i="9"/>
  <c r="Z291" i="9"/>
  <c r="AA291" i="9"/>
  <c r="AB291" i="9"/>
  <c r="AC291" i="9"/>
  <c r="AD291" i="9"/>
  <c r="AE291" i="9"/>
  <c r="AF291" i="9"/>
  <c r="AG291" i="9"/>
  <c r="AH291" i="9"/>
  <c r="AI291" i="9"/>
  <c r="AJ291" i="9"/>
  <c r="AK291" i="9"/>
  <c r="AL291" i="9"/>
  <c r="AM291" i="9"/>
  <c r="AN291" i="9"/>
  <c r="AO291" i="9"/>
  <c r="AP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AJ292" i="9"/>
  <c r="AK292" i="9"/>
  <c r="AL292" i="9"/>
  <c r="AM292" i="9"/>
  <c r="AN292" i="9"/>
  <c r="AO292" i="9"/>
  <c r="AP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AJ293" i="9"/>
  <c r="AK293" i="9"/>
  <c r="AL293" i="9"/>
  <c r="AM293" i="9"/>
  <c r="AN293" i="9"/>
  <c r="AO293" i="9"/>
  <c r="AP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AJ294" i="9"/>
  <c r="AK294" i="9"/>
  <c r="AL294" i="9"/>
  <c r="AM294" i="9"/>
  <c r="AN294" i="9"/>
  <c r="AO294" i="9"/>
  <c r="AP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AJ295" i="9"/>
  <c r="AK295" i="9"/>
  <c r="AL295" i="9"/>
  <c r="AM295" i="9"/>
  <c r="AN295" i="9"/>
  <c r="AO295" i="9"/>
  <c r="AP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AJ296" i="9"/>
  <c r="AK296" i="9"/>
  <c r="AL296" i="9"/>
  <c r="AM296" i="9"/>
  <c r="AN296" i="9"/>
  <c r="AO296" i="9"/>
  <c r="AP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AJ297" i="9"/>
  <c r="AK297" i="9"/>
  <c r="AL297" i="9"/>
  <c r="AM297" i="9"/>
  <c r="AN297" i="9"/>
  <c r="AO297" i="9"/>
  <c r="AP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AJ298" i="9"/>
  <c r="AK298" i="9"/>
  <c r="AL298" i="9"/>
  <c r="AM298" i="9"/>
  <c r="AN298" i="9"/>
  <c r="AO298" i="9"/>
  <c r="AP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X299" i="9"/>
  <c r="Y299" i="9"/>
  <c r="Z299" i="9"/>
  <c r="AA299" i="9"/>
  <c r="AB299" i="9"/>
  <c r="AC299" i="9"/>
  <c r="AD299" i="9"/>
  <c r="AE299" i="9"/>
  <c r="AF299" i="9"/>
  <c r="AG299" i="9"/>
  <c r="AH299" i="9"/>
  <c r="AI299" i="9"/>
  <c r="AJ299" i="9"/>
  <c r="AK299" i="9"/>
  <c r="AL299" i="9"/>
  <c r="AM299" i="9"/>
  <c r="AN299" i="9"/>
  <c r="AO299" i="9"/>
  <c r="AP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AJ300" i="9"/>
  <c r="AK300" i="9"/>
  <c r="AL300" i="9"/>
  <c r="AM300" i="9"/>
  <c r="AN300" i="9"/>
  <c r="AO300" i="9"/>
  <c r="AP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X301" i="9"/>
  <c r="Y301" i="9"/>
  <c r="Z301" i="9"/>
  <c r="AA301" i="9"/>
  <c r="AB301" i="9"/>
  <c r="AC301" i="9"/>
  <c r="AD301" i="9"/>
  <c r="AE301" i="9"/>
  <c r="AF301" i="9"/>
  <c r="AG301" i="9"/>
  <c r="AH301" i="9"/>
  <c r="AI301" i="9"/>
  <c r="AJ301" i="9"/>
  <c r="AK301" i="9"/>
  <c r="AL301" i="9"/>
  <c r="AM301" i="9"/>
  <c r="AN301" i="9"/>
  <c r="AO301" i="9"/>
  <c r="AP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X302" i="9"/>
  <c r="Y302" i="9"/>
  <c r="Z302" i="9"/>
  <c r="AA302" i="9"/>
  <c r="AB302" i="9"/>
  <c r="AC302" i="9"/>
  <c r="AD302" i="9"/>
  <c r="AE302" i="9"/>
  <c r="AF302" i="9"/>
  <c r="AG302" i="9"/>
  <c r="AH302" i="9"/>
  <c r="AI302" i="9"/>
  <c r="AJ302" i="9"/>
  <c r="AK302" i="9"/>
  <c r="AL302" i="9"/>
  <c r="AM302" i="9"/>
  <c r="AN302" i="9"/>
  <c r="AO302" i="9"/>
  <c r="AP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X303" i="9"/>
  <c r="Y303" i="9"/>
  <c r="Z303" i="9"/>
  <c r="AA303" i="9"/>
  <c r="AB303" i="9"/>
  <c r="AC303" i="9"/>
  <c r="AD303" i="9"/>
  <c r="AE303" i="9"/>
  <c r="AF303" i="9"/>
  <c r="AG303" i="9"/>
  <c r="AH303" i="9"/>
  <c r="AI303" i="9"/>
  <c r="AJ303" i="9"/>
  <c r="AK303" i="9"/>
  <c r="AL303" i="9"/>
  <c r="AM303" i="9"/>
  <c r="AN303" i="9"/>
  <c r="AO303" i="9"/>
  <c r="AP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X304" i="9"/>
  <c r="Y304" i="9"/>
  <c r="Z304" i="9"/>
  <c r="AA304" i="9"/>
  <c r="AB304" i="9"/>
  <c r="AC304" i="9"/>
  <c r="AD304" i="9"/>
  <c r="AE304" i="9"/>
  <c r="AF304" i="9"/>
  <c r="AG304" i="9"/>
  <c r="AH304" i="9"/>
  <c r="AI304" i="9"/>
  <c r="AJ304" i="9"/>
  <c r="AK304" i="9"/>
  <c r="AL304" i="9"/>
  <c r="AM304" i="9"/>
  <c r="AN304" i="9"/>
  <c r="AO304" i="9"/>
  <c r="AP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X305" i="9"/>
  <c r="Y305" i="9"/>
  <c r="Z305" i="9"/>
  <c r="AA305" i="9"/>
  <c r="AB305" i="9"/>
  <c r="AC305" i="9"/>
  <c r="AD305" i="9"/>
  <c r="AE305" i="9"/>
  <c r="AF305" i="9"/>
  <c r="AG305" i="9"/>
  <c r="AH305" i="9"/>
  <c r="AI305" i="9"/>
  <c r="AJ305" i="9"/>
  <c r="AK305" i="9"/>
  <c r="AL305" i="9"/>
  <c r="AM305" i="9"/>
  <c r="AN305" i="9"/>
  <c r="AO305" i="9"/>
  <c r="AP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X306" i="9"/>
  <c r="Y306" i="9"/>
  <c r="Z306" i="9"/>
  <c r="AA306" i="9"/>
  <c r="AB306" i="9"/>
  <c r="AC306" i="9"/>
  <c r="AD306" i="9"/>
  <c r="AE306" i="9"/>
  <c r="AF306" i="9"/>
  <c r="AG306" i="9"/>
  <c r="AH306" i="9"/>
  <c r="AI306" i="9"/>
  <c r="AJ306" i="9"/>
  <c r="AK306" i="9"/>
  <c r="AL306" i="9"/>
  <c r="AM306" i="9"/>
  <c r="AN306" i="9"/>
  <c r="AO306" i="9"/>
  <c r="AP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X307" i="9"/>
  <c r="Y307" i="9"/>
  <c r="Z307" i="9"/>
  <c r="AA307" i="9"/>
  <c r="AB307" i="9"/>
  <c r="AC307" i="9"/>
  <c r="AD307" i="9"/>
  <c r="AE307" i="9"/>
  <c r="AF307" i="9"/>
  <c r="AG307" i="9"/>
  <c r="AH307" i="9"/>
  <c r="AI307" i="9"/>
  <c r="AJ307" i="9"/>
  <c r="AK307" i="9"/>
  <c r="AL307" i="9"/>
  <c r="AM307" i="9"/>
  <c r="AN307" i="9"/>
  <c r="AO307" i="9"/>
  <c r="AP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X308" i="9"/>
  <c r="Y308" i="9"/>
  <c r="Z308" i="9"/>
  <c r="AA308" i="9"/>
  <c r="AB308" i="9"/>
  <c r="AC308" i="9"/>
  <c r="AD308" i="9"/>
  <c r="AE308" i="9"/>
  <c r="AF308" i="9"/>
  <c r="AG308" i="9"/>
  <c r="AH308" i="9"/>
  <c r="AI308" i="9"/>
  <c r="AJ308" i="9"/>
  <c r="AK308" i="9"/>
  <c r="AL308" i="9"/>
  <c r="AM308" i="9"/>
  <c r="AN308" i="9"/>
  <c r="AO308" i="9"/>
  <c r="AP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X309" i="9"/>
  <c r="Y309" i="9"/>
  <c r="Z309" i="9"/>
  <c r="AA309" i="9"/>
  <c r="AB309" i="9"/>
  <c r="AC309" i="9"/>
  <c r="AD309" i="9"/>
  <c r="AE309" i="9"/>
  <c r="AF309" i="9"/>
  <c r="AG309" i="9"/>
  <c r="AH309" i="9"/>
  <c r="AI309" i="9"/>
  <c r="AJ309" i="9"/>
  <c r="AK309" i="9"/>
  <c r="AL309" i="9"/>
  <c r="AM309" i="9"/>
  <c r="AN309" i="9"/>
  <c r="AO309" i="9"/>
  <c r="AP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X310" i="9"/>
  <c r="Y310" i="9"/>
  <c r="Z310" i="9"/>
  <c r="AA310" i="9"/>
  <c r="AB310" i="9"/>
  <c r="AC310" i="9"/>
  <c r="AD310" i="9"/>
  <c r="AE310" i="9"/>
  <c r="AF310" i="9"/>
  <c r="AG310" i="9"/>
  <c r="AH310" i="9"/>
  <c r="AI310" i="9"/>
  <c r="AJ310" i="9"/>
  <c r="AK310" i="9"/>
  <c r="AL310" i="9"/>
  <c r="AM310" i="9"/>
  <c r="AN310" i="9"/>
  <c r="AO310" i="9"/>
  <c r="AP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X311" i="9"/>
  <c r="Y311" i="9"/>
  <c r="Z311" i="9"/>
  <c r="AA311" i="9"/>
  <c r="AB311" i="9"/>
  <c r="AC311" i="9"/>
  <c r="AD311" i="9"/>
  <c r="AE311" i="9"/>
  <c r="AF311" i="9"/>
  <c r="AG311" i="9"/>
  <c r="AH311" i="9"/>
  <c r="AI311" i="9"/>
  <c r="AJ311" i="9"/>
  <c r="AK311" i="9"/>
  <c r="AL311" i="9"/>
  <c r="AM311" i="9"/>
  <c r="AN311" i="9"/>
  <c r="AO311" i="9"/>
  <c r="AP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X312" i="9"/>
  <c r="Y312" i="9"/>
  <c r="Z312" i="9"/>
  <c r="AA312" i="9"/>
  <c r="AB312" i="9"/>
  <c r="AC312" i="9"/>
  <c r="AD312" i="9"/>
  <c r="AE312" i="9"/>
  <c r="AF312" i="9"/>
  <c r="AG312" i="9"/>
  <c r="AH312" i="9"/>
  <c r="AI312" i="9"/>
  <c r="AJ312" i="9"/>
  <c r="AK312" i="9"/>
  <c r="AL312" i="9"/>
  <c r="AM312" i="9"/>
  <c r="AN312" i="9"/>
  <c r="AO312" i="9"/>
  <c r="AP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X313" i="9"/>
  <c r="Y313" i="9"/>
  <c r="Z313" i="9"/>
  <c r="AA313" i="9"/>
  <c r="AB313" i="9"/>
  <c r="AC313" i="9"/>
  <c r="AD313" i="9"/>
  <c r="AE313" i="9"/>
  <c r="AF313" i="9"/>
  <c r="AG313" i="9"/>
  <c r="AH313" i="9"/>
  <c r="AI313" i="9"/>
  <c r="AJ313" i="9"/>
  <c r="AK313" i="9"/>
  <c r="AL313" i="9"/>
  <c r="AM313" i="9"/>
  <c r="AN313" i="9"/>
  <c r="AO313" i="9"/>
  <c r="AP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X314" i="9"/>
  <c r="Y314" i="9"/>
  <c r="Z314" i="9"/>
  <c r="AA314" i="9"/>
  <c r="AB314" i="9"/>
  <c r="AC314" i="9"/>
  <c r="AD314" i="9"/>
  <c r="AE314" i="9"/>
  <c r="AF314" i="9"/>
  <c r="AG314" i="9"/>
  <c r="AH314" i="9"/>
  <c r="AI314" i="9"/>
  <c r="AJ314" i="9"/>
  <c r="AK314" i="9"/>
  <c r="AL314" i="9"/>
  <c r="AM314" i="9"/>
  <c r="AN314" i="9"/>
  <c r="AO314" i="9"/>
  <c r="AP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X315" i="9"/>
  <c r="Y315" i="9"/>
  <c r="Z315" i="9"/>
  <c r="AA315" i="9"/>
  <c r="AB315" i="9"/>
  <c r="AC315" i="9"/>
  <c r="AD315" i="9"/>
  <c r="AE315" i="9"/>
  <c r="AF315" i="9"/>
  <c r="AG315" i="9"/>
  <c r="AH315" i="9"/>
  <c r="AI315" i="9"/>
  <c r="AJ315" i="9"/>
  <c r="AK315" i="9"/>
  <c r="AL315" i="9"/>
  <c r="AM315" i="9"/>
  <c r="AN315" i="9"/>
  <c r="AO315" i="9"/>
  <c r="AP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X316" i="9"/>
  <c r="Y316" i="9"/>
  <c r="Z316" i="9"/>
  <c r="AA316" i="9"/>
  <c r="AB316" i="9"/>
  <c r="AC316" i="9"/>
  <c r="AD316" i="9"/>
  <c r="AE316" i="9"/>
  <c r="AF316" i="9"/>
  <c r="AG316" i="9"/>
  <c r="AH316" i="9"/>
  <c r="AI316" i="9"/>
  <c r="AJ316" i="9"/>
  <c r="AK316" i="9"/>
  <c r="AL316" i="9"/>
  <c r="AM316" i="9"/>
  <c r="AN316" i="9"/>
  <c r="AO316" i="9"/>
  <c r="AP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X317" i="9"/>
  <c r="Y317" i="9"/>
  <c r="Z317" i="9"/>
  <c r="AA317" i="9"/>
  <c r="AB317" i="9"/>
  <c r="AC317" i="9"/>
  <c r="AD317" i="9"/>
  <c r="AE317" i="9"/>
  <c r="AF317" i="9"/>
  <c r="AG317" i="9"/>
  <c r="AH317" i="9"/>
  <c r="AI317" i="9"/>
  <c r="AJ317" i="9"/>
  <c r="AK317" i="9"/>
  <c r="AL317" i="9"/>
  <c r="AM317" i="9"/>
  <c r="AN317" i="9"/>
  <c r="AO317" i="9"/>
  <c r="AP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X318" i="9"/>
  <c r="Y318" i="9"/>
  <c r="Z318" i="9"/>
  <c r="AA318" i="9"/>
  <c r="AB318" i="9"/>
  <c r="AC318" i="9"/>
  <c r="AD318" i="9"/>
  <c r="AE318" i="9"/>
  <c r="AF318" i="9"/>
  <c r="AG318" i="9"/>
  <c r="AH318" i="9"/>
  <c r="AI318" i="9"/>
  <c r="AJ318" i="9"/>
  <c r="AK318" i="9"/>
  <c r="AL318" i="9"/>
  <c r="AM318" i="9"/>
  <c r="AN318" i="9"/>
  <c r="AO318" i="9"/>
  <c r="AP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X319" i="9"/>
  <c r="Y319" i="9"/>
  <c r="Z319" i="9"/>
  <c r="AA319" i="9"/>
  <c r="AB319" i="9"/>
  <c r="AC319" i="9"/>
  <c r="AD319" i="9"/>
  <c r="AE319" i="9"/>
  <c r="AF319" i="9"/>
  <c r="AG319" i="9"/>
  <c r="AH319" i="9"/>
  <c r="AI319" i="9"/>
  <c r="AJ319" i="9"/>
  <c r="AK319" i="9"/>
  <c r="AL319" i="9"/>
  <c r="AM319" i="9"/>
  <c r="AN319" i="9"/>
  <c r="AO319" i="9"/>
  <c r="AP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X320" i="9"/>
  <c r="Y320" i="9"/>
  <c r="Z320" i="9"/>
  <c r="AA320" i="9"/>
  <c r="AB320" i="9"/>
  <c r="AC320" i="9"/>
  <c r="AD320" i="9"/>
  <c r="AE320" i="9"/>
  <c r="AF320" i="9"/>
  <c r="AG320" i="9"/>
  <c r="AH320" i="9"/>
  <c r="AI320" i="9"/>
  <c r="AJ320" i="9"/>
  <c r="AK320" i="9"/>
  <c r="AL320" i="9"/>
  <c r="AM320" i="9"/>
  <c r="AN320" i="9"/>
  <c r="AO320" i="9"/>
  <c r="AP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X321" i="9"/>
  <c r="Y321" i="9"/>
  <c r="Z321" i="9"/>
  <c r="AA321" i="9"/>
  <c r="AB321" i="9"/>
  <c r="AC321" i="9"/>
  <c r="AD321" i="9"/>
  <c r="AE321" i="9"/>
  <c r="AF321" i="9"/>
  <c r="AG321" i="9"/>
  <c r="AH321" i="9"/>
  <c r="AI321" i="9"/>
  <c r="AJ321" i="9"/>
  <c r="AK321" i="9"/>
  <c r="AL321" i="9"/>
  <c r="AM321" i="9"/>
  <c r="AN321" i="9"/>
  <c r="AO321" i="9"/>
  <c r="AP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X322" i="9"/>
  <c r="Y322" i="9"/>
  <c r="Z322" i="9"/>
  <c r="AA322" i="9"/>
  <c r="AB322" i="9"/>
  <c r="AC322" i="9"/>
  <c r="AD322" i="9"/>
  <c r="AE322" i="9"/>
  <c r="AF322" i="9"/>
  <c r="AG322" i="9"/>
  <c r="AH322" i="9"/>
  <c r="AI322" i="9"/>
  <c r="AJ322" i="9"/>
  <c r="AK322" i="9"/>
  <c r="AL322" i="9"/>
  <c r="AM322" i="9"/>
  <c r="AN322" i="9"/>
  <c r="AO322" i="9"/>
  <c r="AP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X323" i="9"/>
  <c r="Y323" i="9"/>
  <c r="Z323" i="9"/>
  <c r="AA323" i="9"/>
  <c r="AB323" i="9"/>
  <c r="AC323" i="9"/>
  <c r="AD323" i="9"/>
  <c r="AE323" i="9"/>
  <c r="AF323" i="9"/>
  <c r="AG323" i="9"/>
  <c r="AH323" i="9"/>
  <c r="AI323" i="9"/>
  <c r="AJ323" i="9"/>
  <c r="AK323" i="9"/>
  <c r="AL323" i="9"/>
  <c r="AM323" i="9"/>
  <c r="AN323" i="9"/>
  <c r="AO323" i="9"/>
  <c r="AP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X324" i="9"/>
  <c r="Y324" i="9"/>
  <c r="Z324" i="9"/>
  <c r="AA324" i="9"/>
  <c r="AB324" i="9"/>
  <c r="AC324" i="9"/>
  <c r="AD324" i="9"/>
  <c r="AE324" i="9"/>
  <c r="AF324" i="9"/>
  <c r="AG324" i="9"/>
  <c r="AH324" i="9"/>
  <c r="AI324" i="9"/>
  <c r="AJ324" i="9"/>
  <c r="AK324" i="9"/>
  <c r="AL324" i="9"/>
  <c r="AM324" i="9"/>
  <c r="AN324" i="9"/>
  <c r="AO324" i="9"/>
  <c r="AP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X325" i="9"/>
  <c r="Y325" i="9"/>
  <c r="Z325" i="9"/>
  <c r="AA325" i="9"/>
  <c r="AB325" i="9"/>
  <c r="AC325" i="9"/>
  <c r="AD325" i="9"/>
  <c r="AE325" i="9"/>
  <c r="AF325" i="9"/>
  <c r="AG325" i="9"/>
  <c r="AH325" i="9"/>
  <c r="AI325" i="9"/>
  <c r="AJ325" i="9"/>
  <c r="AK325" i="9"/>
  <c r="AL325" i="9"/>
  <c r="AM325" i="9"/>
  <c r="AN325" i="9"/>
  <c r="AO325" i="9"/>
  <c r="AP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X326" i="9"/>
  <c r="Y326" i="9"/>
  <c r="Z326" i="9"/>
  <c r="AA326" i="9"/>
  <c r="AB326" i="9"/>
  <c r="AC326" i="9"/>
  <c r="AD326" i="9"/>
  <c r="AE326" i="9"/>
  <c r="AF326" i="9"/>
  <c r="AG326" i="9"/>
  <c r="AH326" i="9"/>
  <c r="AI326" i="9"/>
  <c r="AJ326" i="9"/>
  <c r="AK326" i="9"/>
  <c r="AL326" i="9"/>
  <c r="AM326" i="9"/>
  <c r="AN326" i="9"/>
  <c r="AO326" i="9"/>
  <c r="AP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X327" i="9"/>
  <c r="Y327" i="9"/>
  <c r="Z327" i="9"/>
  <c r="AA327" i="9"/>
  <c r="AB327" i="9"/>
  <c r="AC327" i="9"/>
  <c r="AD327" i="9"/>
  <c r="AE327" i="9"/>
  <c r="AF327" i="9"/>
  <c r="AG327" i="9"/>
  <c r="AH327" i="9"/>
  <c r="AI327" i="9"/>
  <c r="AJ327" i="9"/>
  <c r="AK327" i="9"/>
  <c r="AL327" i="9"/>
  <c r="AM327" i="9"/>
  <c r="AN327" i="9"/>
  <c r="AO327" i="9"/>
  <c r="AP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X328" i="9"/>
  <c r="Y328" i="9"/>
  <c r="Z328" i="9"/>
  <c r="AA328" i="9"/>
  <c r="AB328" i="9"/>
  <c r="AC328" i="9"/>
  <c r="AD328" i="9"/>
  <c r="AE328" i="9"/>
  <c r="AF328" i="9"/>
  <c r="AG328" i="9"/>
  <c r="AH328" i="9"/>
  <c r="AI328" i="9"/>
  <c r="AJ328" i="9"/>
  <c r="AK328" i="9"/>
  <c r="AL328" i="9"/>
  <c r="AM328" i="9"/>
  <c r="AN328" i="9"/>
  <c r="AO328" i="9"/>
  <c r="AP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X329" i="9"/>
  <c r="Y329" i="9"/>
  <c r="Z329" i="9"/>
  <c r="AA329" i="9"/>
  <c r="AB329" i="9"/>
  <c r="AC329" i="9"/>
  <c r="AD329" i="9"/>
  <c r="AE329" i="9"/>
  <c r="AF329" i="9"/>
  <c r="AG329" i="9"/>
  <c r="AH329" i="9"/>
  <c r="AI329" i="9"/>
  <c r="AJ329" i="9"/>
  <c r="AK329" i="9"/>
  <c r="AL329" i="9"/>
  <c r="AM329" i="9"/>
  <c r="AN329" i="9"/>
  <c r="AO329" i="9"/>
  <c r="AP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X330" i="9"/>
  <c r="Y330" i="9"/>
  <c r="Z330" i="9"/>
  <c r="AA330" i="9"/>
  <c r="AB330" i="9"/>
  <c r="AC330" i="9"/>
  <c r="AD330" i="9"/>
  <c r="AE330" i="9"/>
  <c r="AF330" i="9"/>
  <c r="AG330" i="9"/>
  <c r="AH330" i="9"/>
  <c r="AI330" i="9"/>
  <c r="AJ330" i="9"/>
  <c r="AK330" i="9"/>
  <c r="AL330" i="9"/>
  <c r="AM330" i="9"/>
  <c r="AN330" i="9"/>
  <c r="AO330" i="9"/>
  <c r="AP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X331" i="9"/>
  <c r="Y331" i="9"/>
  <c r="Z331" i="9"/>
  <c r="AA331" i="9"/>
  <c r="AB331" i="9"/>
  <c r="AC331" i="9"/>
  <c r="AD331" i="9"/>
  <c r="AE331" i="9"/>
  <c r="AF331" i="9"/>
  <c r="AG331" i="9"/>
  <c r="AH331" i="9"/>
  <c r="AI331" i="9"/>
  <c r="AJ331" i="9"/>
  <c r="AK331" i="9"/>
  <c r="AL331" i="9"/>
  <c r="AM331" i="9"/>
  <c r="AN331" i="9"/>
  <c r="AO331" i="9"/>
  <c r="AP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X332" i="9"/>
  <c r="Y332" i="9"/>
  <c r="Z332" i="9"/>
  <c r="AA332" i="9"/>
  <c r="AB332" i="9"/>
  <c r="AC332" i="9"/>
  <c r="AD332" i="9"/>
  <c r="AE332" i="9"/>
  <c r="AF332" i="9"/>
  <c r="AG332" i="9"/>
  <c r="AH332" i="9"/>
  <c r="AI332" i="9"/>
  <c r="AJ332" i="9"/>
  <c r="AK332" i="9"/>
  <c r="AL332" i="9"/>
  <c r="AM332" i="9"/>
  <c r="AN332" i="9"/>
  <c r="AO332" i="9"/>
  <c r="AP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X333" i="9"/>
  <c r="Y333" i="9"/>
  <c r="Z333" i="9"/>
  <c r="AA333" i="9"/>
  <c r="AB333" i="9"/>
  <c r="AC333" i="9"/>
  <c r="AD333" i="9"/>
  <c r="AE333" i="9"/>
  <c r="AF333" i="9"/>
  <c r="AG333" i="9"/>
  <c r="AH333" i="9"/>
  <c r="AI333" i="9"/>
  <c r="AJ333" i="9"/>
  <c r="AK333" i="9"/>
  <c r="AL333" i="9"/>
  <c r="AM333" i="9"/>
  <c r="AN333" i="9"/>
  <c r="AO333" i="9"/>
  <c r="AP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X334" i="9"/>
  <c r="Y334" i="9"/>
  <c r="Z334" i="9"/>
  <c r="AA334" i="9"/>
  <c r="AB334" i="9"/>
  <c r="AC334" i="9"/>
  <c r="AD334" i="9"/>
  <c r="AE334" i="9"/>
  <c r="AF334" i="9"/>
  <c r="AG334" i="9"/>
  <c r="AH334" i="9"/>
  <c r="AI334" i="9"/>
  <c r="AJ334" i="9"/>
  <c r="AK334" i="9"/>
  <c r="AL334" i="9"/>
  <c r="AM334" i="9"/>
  <c r="AN334" i="9"/>
  <c r="AO334" i="9"/>
  <c r="AP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X335" i="9"/>
  <c r="Y335" i="9"/>
  <c r="Z335" i="9"/>
  <c r="AA335" i="9"/>
  <c r="AB335" i="9"/>
  <c r="AC335" i="9"/>
  <c r="AD335" i="9"/>
  <c r="AE335" i="9"/>
  <c r="AF335" i="9"/>
  <c r="AG335" i="9"/>
  <c r="AH335" i="9"/>
  <c r="AI335" i="9"/>
  <c r="AJ335" i="9"/>
  <c r="AK335" i="9"/>
  <c r="AL335" i="9"/>
  <c r="AM335" i="9"/>
  <c r="AN335" i="9"/>
  <c r="AO335" i="9"/>
  <c r="AP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X336" i="9"/>
  <c r="Y336" i="9"/>
  <c r="Z336" i="9"/>
  <c r="AA336" i="9"/>
  <c r="AB336" i="9"/>
  <c r="AC336" i="9"/>
  <c r="AD336" i="9"/>
  <c r="AE336" i="9"/>
  <c r="AF336" i="9"/>
  <c r="AG336" i="9"/>
  <c r="AH336" i="9"/>
  <c r="AI336" i="9"/>
  <c r="AJ336" i="9"/>
  <c r="AK336" i="9"/>
  <c r="AL336" i="9"/>
  <c r="AM336" i="9"/>
  <c r="AN336" i="9"/>
  <c r="AO336" i="9"/>
  <c r="AP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X337" i="9"/>
  <c r="Y337" i="9"/>
  <c r="Z337" i="9"/>
  <c r="AA337" i="9"/>
  <c r="AB337" i="9"/>
  <c r="AC337" i="9"/>
  <c r="AD337" i="9"/>
  <c r="AE337" i="9"/>
  <c r="AF337" i="9"/>
  <c r="AG337" i="9"/>
  <c r="AH337" i="9"/>
  <c r="AI337" i="9"/>
  <c r="AJ337" i="9"/>
  <c r="AK337" i="9"/>
  <c r="AL337" i="9"/>
  <c r="AM337" i="9"/>
  <c r="AN337" i="9"/>
  <c r="AO337" i="9"/>
  <c r="AP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X338" i="9"/>
  <c r="Y338" i="9"/>
  <c r="Z338" i="9"/>
  <c r="AA338" i="9"/>
  <c r="AB338" i="9"/>
  <c r="AC338" i="9"/>
  <c r="AD338" i="9"/>
  <c r="AE338" i="9"/>
  <c r="AF338" i="9"/>
  <c r="AG338" i="9"/>
  <c r="AH338" i="9"/>
  <c r="AI338" i="9"/>
  <c r="AJ338" i="9"/>
  <c r="AK338" i="9"/>
  <c r="AL338" i="9"/>
  <c r="AM338" i="9"/>
  <c r="AN338" i="9"/>
  <c r="AO338" i="9"/>
  <c r="AP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X339" i="9"/>
  <c r="Y339" i="9"/>
  <c r="Z339" i="9"/>
  <c r="AA339" i="9"/>
  <c r="AB339" i="9"/>
  <c r="AC339" i="9"/>
  <c r="AD339" i="9"/>
  <c r="AE339" i="9"/>
  <c r="AF339" i="9"/>
  <c r="AG339" i="9"/>
  <c r="AH339" i="9"/>
  <c r="AI339" i="9"/>
  <c r="AJ339" i="9"/>
  <c r="AK339" i="9"/>
  <c r="AL339" i="9"/>
  <c r="AM339" i="9"/>
  <c r="AN339" i="9"/>
  <c r="AO339" i="9"/>
  <c r="AP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X340" i="9"/>
  <c r="Y340" i="9"/>
  <c r="Z340" i="9"/>
  <c r="AA340" i="9"/>
  <c r="AB340" i="9"/>
  <c r="AC340" i="9"/>
  <c r="AD340" i="9"/>
  <c r="AE340" i="9"/>
  <c r="AF340" i="9"/>
  <c r="AG340" i="9"/>
  <c r="AH340" i="9"/>
  <c r="AI340" i="9"/>
  <c r="AJ340" i="9"/>
  <c r="AK340" i="9"/>
  <c r="AL340" i="9"/>
  <c r="AM340" i="9"/>
  <c r="AN340" i="9"/>
  <c r="AO340" i="9"/>
  <c r="AP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X341" i="9"/>
  <c r="Y341" i="9"/>
  <c r="Z341" i="9"/>
  <c r="AA341" i="9"/>
  <c r="AB341" i="9"/>
  <c r="AC341" i="9"/>
  <c r="AD341" i="9"/>
  <c r="AE341" i="9"/>
  <c r="AF341" i="9"/>
  <c r="AG341" i="9"/>
  <c r="AH341" i="9"/>
  <c r="AI341" i="9"/>
  <c r="AJ341" i="9"/>
  <c r="AK341" i="9"/>
  <c r="AL341" i="9"/>
  <c r="AM341" i="9"/>
  <c r="AN341" i="9"/>
  <c r="AO341" i="9"/>
  <c r="AP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X342" i="9"/>
  <c r="Y342" i="9"/>
  <c r="Z342" i="9"/>
  <c r="AA342" i="9"/>
  <c r="AB342" i="9"/>
  <c r="AC342" i="9"/>
  <c r="AD342" i="9"/>
  <c r="AE342" i="9"/>
  <c r="AF342" i="9"/>
  <c r="AG342" i="9"/>
  <c r="AH342" i="9"/>
  <c r="AI342" i="9"/>
  <c r="AJ342" i="9"/>
  <c r="AK342" i="9"/>
  <c r="AL342" i="9"/>
  <c r="AM342" i="9"/>
  <c r="AN342" i="9"/>
  <c r="AO342" i="9"/>
  <c r="AP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X343" i="9"/>
  <c r="Y343" i="9"/>
  <c r="Z343" i="9"/>
  <c r="AA343" i="9"/>
  <c r="AB343" i="9"/>
  <c r="AC343" i="9"/>
  <c r="AD343" i="9"/>
  <c r="AE343" i="9"/>
  <c r="AF343" i="9"/>
  <c r="AG343" i="9"/>
  <c r="AH343" i="9"/>
  <c r="AI343" i="9"/>
  <c r="AJ343" i="9"/>
  <c r="AK343" i="9"/>
  <c r="AL343" i="9"/>
  <c r="AM343" i="9"/>
  <c r="AN343" i="9"/>
  <c r="AO343" i="9"/>
  <c r="AP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X344" i="9"/>
  <c r="Y344" i="9"/>
  <c r="Z344" i="9"/>
  <c r="AA344" i="9"/>
  <c r="AB344" i="9"/>
  <c r="AC344" i="9"/>
  <c r="AD344" i="9"/>
  <c r="AE344" i="9"/>
  <c r="AF344" i="9"/>
  <c r="AG344" i="9"/>
  <c r="AH344" i="9"/>
  <c r="AI344" i="9"/>
  <c r="AJ344" i="9"/>
  <c r="AK344" i="9"/>
  <c r="AL344" i="9"/>
  <c r="AM344" i="9"/>
  <c r="AN344" i="9"/>
  <c r="AO344" i="9"/>
  <c r="AP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X345" i="9"/>
  <c r="Y345" i="9"/>
  <c r="Z345" i="9"/>
  <c r="AA345" i="9"/>
  <c r="AB345" i="9"/>
  <c r="AC345" i="9"/>
  <c r="AD345" i="9"/>
  <c r="AE345" i="9"/>
  <c r="AF345" i="9"/>
  <c r="AG345" i="9"/>
  <c r="AH345" i="9"/>
  <c r="AI345" i="9"/>
  <c r="AJ345" i="9"/>
  <c r="AK345" i="9"/>
  <c r="AL345" i="9"/>
  <c r="AM345" i="9"/>
  <c r="AN345" i="9"/>
  <c r="AO345" i="9"/>
  <c r="AP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X346" i="9"/>
  <c r="Y346" i="9"/>
  <c r="Z346" i="9"/>
  <c r="AA346" i="9"/>
  <c r="AB346" i="9"/>
  <c r="AC346" i="9"/>
  <c r="AD346" i="9"/>
  <c r="AE346" i="9"/>
  <c r="AF346" i="9"/>
  <c r="AG346" i="9"/>
  <c r="AH346" i="9"/>
  <c r="AI346" i="9"/>
  <c r="AJ346" i="9"/>
  <c r="AK346" i="9"/>
  <c r="AL346" i="9"/>
  <c r="AM346" i="9"/>
  <c r="AN346" i="9"/>
  <c r="AO346" i="9"/>
  <c r="AP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X347" i="9"/>
  <c r="Y347" i="9"/>
  <c r="Z347" i="9"/>
  <c r="AA347" i="9"/>
  <c r="AB347" i="9"/>
  <c r="AC347" i="9"/>
  <c r="AD347" i="9"/>
  <c r="AE347" i="9"/>
  <c r="AF347" i="9"/>
  <c r="AG347" i="9"/>
  <c r="AH347" i="9"/>
  <c r="AI347" i="9"/>
  <c r="AJ347" i="9"/>
  <c r="AK347" i="9"/>
  <c r="AL347" i="9"/>
  <c r="AM347" i="9"/>
  <c r="AN347" i="9"/>
  <c r="AO347" i="9"/>
  <c r="AP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X348" i="9"/>
  <c r="Y348" i="9"/>
  <c r="Z348" i="9"/>
  <c r="AA348" i="9"/>
  <c r="AB348" i="9"/>
  <c r="AC348" i="9"/>
  <c r="AD348" i="9"/>
  <c r="AE348" i="9"/>
  <c r="AF348" i="9"/>
  <c r="AG348" i="9"/>
  <c r="AH348" i="9"/>
  <c r="AI348" i="9"/>
  <c r="AJ348" i="9"/>
  <c r="AK348" i="9"/>
  <c r="AL348" i="9"/>
  <c r="AM348" i="9"/>
  <c r="AN348" i="9"/>
  <c r="AO348" i="9"/>
  <c r="AP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X349" i="9"/>
  <c r="Y349" i="9"/>
  <c r="Z349" i="9"/>
  <c r="AA349" i="9"/>
  <c r="AB349" i="9"/>
  <c r="AC349" i="9"/>
  <c r="AD349" i="9"/>
  <c r="AE349" i="9"/>
  <c r="AF349" i="9"/>
  <c r="AG349" i="9"/>
  <c r="AH349" i="9"/>
  <c r="AI349" i="9"/>
  <c r="AJ349" i="9"/>
  <c r="AK349" i="9"/>
  <c r="AL349" i="9"/>
  <c r="AM349" i="9"/>
  <c r="AN349" i="9"/>
  <c r="AO349" i="9"/>
  <c r="AP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X350" i="9"/>
  <c r="Y350" i="9"/>
  <c r="Z350" i="9"/>
  <c r="AA350" i="9"/>
  <c r="AB350" i="9"/>
  <c r="AC350" i="9"/>
  <c r="AD350" i="9"/>
  <c r="AE350" i="9"/>
  <c r="AF350" i="9"/>
  <c r="AG350" i="9"/>
  <c r="AH350" i="9"/>
  <c r="AI350" i="9"/>
  <c r="AJ350" i="9"/>
  <c r="AK350" i="9"/>
  <c r="AL350" i="9"/>
  <c r="AM350" i="9"/>
  <c r="AN350" i="9"/>
  <c r="AO350" i="9"/>
  <c r="AP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X351" i="9"/>
  <c r="Y351" i="9"/>
  <c r="Z351" i="9"/>
  <c r="AA351" i="9"/>
  <c r="AB351" i="9"/>
  <c r="AC351" i="9"/>
  <c r="AD351" i="9"/>
  <c r="AE351" i="9"/>
  <c r="AF351" i="9"/>
  <c r="AG351" i="9"/>
  <c r="AH351" i="9"/>
  <c r="AI351" i="9"/>
  <c r="AJ351" i="9"/>
  <c r="AK351" i="9"/>
  <c r="AL351" i="9"/>
  <c r="AM351" i="9"/>
  <c r="AN351" i="9"/>
  <c r="AO351" i="9"/>
  <c r="AP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X352" i="9"/>
  <c r="Y352" i="9"/>
  <c r="Z352" i="9"/>
  <c r="AA352" i="9"/>
  <c r="AB352" i="9"/>
  <c r="AC352" i="9"/>
  <c r="AD352" i="9"/>
  <c r="AE352" i="9"/>
  <c r="AF352" i="9"/>
  <c r="AG352" i="9"/>
  <c r="AH352" i="9"/>
  <c r="AI352" i="9"/>
  <c r="AJ352" i="9"/>
  <c r="AK352" i="9"/>
  <c r="AL352" i="9"/>
  <c r="AM352" i="9"/>
  <c r="AN352" i="9"/>
  <c r="AO352" i="9"/>
  <c r="AP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X353" i="9"/>
  <c r="Y353" i="9"/>
  <c r="Z353" i="9"/>
  <c r="AA353" i="9"/>
  <c r="AB353" i="9"/>
  <c r="AC353" i="9"/>
  <c r="AD353" i="9"/>
  <c r="AE353" i="9"/>
  <c r="AF353" i="9"/>
  <c r="AG353" i="9"/>
  <c r="AH353" i="9"/>
  <c r="AI353" i="9"/>
  <c r="AJ353" i="9"/>
  <c r="AK353" i="9"/>
  <c r="AL353" i="9"/>
  <c r="AM353" i="9"/>
  <c r="AN353" i="9"/>
  <c r="AO353" i="9"/>
  <c r="AP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X354" i="9"/>
  <c r="Y354" i="9"/>
  <c r="Z354" i="9"/>
  <c r="AA354" i="9"/>
  <c r="AB354" i="9"/>
  <c r="AC354" i="9"/>
  <c r="AD354" i="9"/>
  <c r="AE354" i="9"/>
  <c r="AF354" i="9"/>
  <c r="AG354" i="9"/>
  <c r="AH354" i="9"/>
  <c r="AI354" i="9"/>
  <c r="AJ354" i="9"/>
  <c r="AK354" i="9"/>
  <c r="AL354" i="9"/>
  <c r="AM354" i="9"/>
  <c r="AN354" i="9"/>
  <c r="AO354" i="9"/>
  <c r="AP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X355" i="9"/>
  <c r="Y355" i="9"/>
  <c r="Z355" i="9"/>
  <c r="AA355" i="9"/>
  <c r="AB355" i="9"/>
  <c r="AC355" i="9"/>
  <c r="AD355" i="9"/>
  <c r="AE355" i="9"/>
  <c r="AF355" i="9"/>
  <c r="AG355" i="9"/>
  <c r="AH355" i="9"/>
  <c r="AI355" i="9"/>
  <c r="AJ355" i="9"/>
  <c r="AK355" i="9"/>
  <c r="AL355" i="9"/>
  <c r="AM355" i="9"/>
  <c r="AN355" i="9"/>
  <c r="AO355" i="9"/>
  <c r="AP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X356" i="9"/>
  <c r="Y356" i="9"/>
  <c r="Z356" i="9"/>
  <c r="AA356" i="9"/>
  <c r="AB356" i="9"/>
  <c r="AC356" i="9"/>
  <c r="AD356" i="9"/>
  <c r="AE356" i="9"/>
  <c r="AF356" i="9"/>
  <c r="AG356" i="9"/>
  <c r="AH356" i="9"/>
  <c r="AI356" i="9"/>
  <c r="AJ356" i="9"/>
  <c r="AK356" i="9"/>
  <c r="AL356" i="9"/>
  <c r="AM356" i="9"/>
  <c r="AN356" i="9"/>
  <c r="AO356" i="9"/>
  <c r="AP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X357" i="9"/>
  <c r="Y357" i="9"/>
  <c r="Z357" i="9"/>
  <c r="AA357" i="9"/>
  <c r="AB357" i="9"/>
  <c r="AC357" i="9"/>
  <c r="AD357" i="9"/>
  <c r="AE357" i="9"/>
  <c r="AF357" i="9"/>
  <c r="AG357" i="9"/>
  <c r="AH357" i="9"/>
  <c r="AI357" i="9"/>
  <c r="AJ357" i="9"/>
  <c r="AK357" i="9"/>
  <c r="AL357" i="9"/>
  <c r="AM357" i="9"/>
  <c r="AN357" i="9"/>
  <c r="AO357" i="9"/>
  <c r="AP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X358" i="9"/>
  <c r="Y358" i="9"/>
  <c r="Z358" i="9"/>
  <c r="AA358" i="9"/>
  <c r="AB358" i="9"/>
  <c r="AC358" i="9"/>
  <c r="AD358" i="9"/>
  <c r="AE358" i="9"/>
  <c r="AF358" i="9"/>
  <c r="AG358" i="9"/>
  <c r="AH358" i="9"/>
  <c r="AI358" i="9"/>
  <c r="AJ358" i="9"/>
  <c r="AK358" i="9"/>
  <c r="AL358" i="9"/>
  <c r="AM358" i="9"/>
  <c r="AN358" i="9"/>
  <c r="AO358" i="9"/>
  <c r="AP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X359" i="9"/>
  <c r="Y359" i="9"/>
  <c r="Z359" i="9"/>
  <c r="AA359" i="9"/>
  <c r="AB359" i="9"/>
  <c r="AC359" i="9"/>
  <c r="AD359" i="9"/>
  <c r="AE359" i="9"/>
  <c r="AF359" i="9"/>
  <c r="AG359" i="9"/>
  <c r="AH359" i="9"/>
  <c r="AI359" i="9"/>
  <c r="AJ359" i="9"/>
  <c r="AK359" i="9"/>
  <c r="AL359" i="9"/>
  <c r="AM359" i="9"/>
  <c r="AN359" i="9"/>
  <c r="AO359" i="9"/>
  <c r="AP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X360" i="9"/>
  <c r="Y360" i="9"/>
  <c r="Z360" i="9"/>
  <c r="AA360" i="9"/>
  <c r="AB360" i="9"/>
  <c r="AC360" i="9"/>
  <c r="AD360" i="9"/>
  <c r="AE360" i="9"/>
  <c r="AF360" i="9"/>
  <c r="AG360" i="9"/>
  <c r="AH360" i="9"/>
  <c r="AI360" i="9"/>
  <c r="AJ360" i="9"/>
  <c r="AK360" i="9"/>
  <c r="AL360" i="9"/>
  <c r="AM360" i="9"/>
  <c r="AN360" i="9"/>
  <c r="AO360" i="9"/>
  <c r="AP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X361" i="9"/>
  <c r="Y361" i="9"/>
  <c r="Z361" i="9"/>
  <c r="AA361" i="9"/>
  <c r="AB361" i="9"/>
  <c r="AC361" i="9"/>
  <c r="AD361" i="9"/>
  <c r="AE361" i="9"/>
  <c r="AF361" i="9"/>
  <c r="AG361" i="9"/>
  <c r="AH361" i="9"/>
  <c r="AI361" i="9"/>
  <c r="AJ361" i="9"/>
  <c r="AK361" i="9"/>
  <c r="AL361" i="9"/>
  <c r="AM361" i="9"/>
  <c r="AN361" i="9"/>
  <c r="AO361" i="9"/>
  <c r="AP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X362" i="9"/>
  <c r="Y362" i="9"/>
  <c r="Z362" i="9"/>
  <c r="AA362" i="9"/>
  <c r="AB362" i="9"/>
  <c r="AC362" i="9"/>
  <c r="AD362" i="9"/>
  <c r="AE362" i="9"/>
  <c r="AF362" i="9"/>
  <c r="AG362" i="9"/>
  <c r="AH362" i="9"/>
  <c r="AI362" i="9"/>
  <c r="AJ362" i="9"/>
  <c r="AK362" i="9"/>
  <c r="AL362" i="9"/>
  <c r="AM362" i="9"/>
  <c r="AN362" i="9"/>
  <c r="AO362" i="9"/>
  <c r="AP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X363" i="9"/>
  <c r="Y363" i="9"/>
  <c r="Z363" i="9"/>
  <c r="AA363" i="9"/>
  <c r="AB363" i="9"/>
  <c r="AC363" i="9"/>
  <c r="AD363" i="9"/>
  <c r="AE363" i="9"/>
  <c r="AF363" i="9"/>
  <c r="AG363" i="9"/>
  <c r="AH363" i="9"/>
  <c r="AI363" i="9"/>
  <c r="AJ363" i="9"/>
  <c r="AK363" i="9"/>
  <c r="AL363" i="9"/>
  <c r="AM363" i="9"/>
  <c r="AN363" i="9"/>
  <c r="AO363" i="9"/>
  <c r="AP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X364" i="9"/>
  <c r="Y364" i="9"/>
  <c r="Z364" i="9"/>
  <c r="AA364" i="9"/>
  <c r="AB364" i="9"/>
  <c r="AC364" i="9"/>
  <c r="AD364" i="9"/>
  <c r="AE364" i="9"/>
  <c r="AF364" i="9"/>
  <c r="AG364" i="9"/>
  <c r="AH364" i="9"/>
  <c r="AI364" i="9"/>
  <c r="AJ364" i="9"/>
  <c r="AK364" i="9"/>
  <c r="AL364" i="9"/>
  <c r="AM364" i="9"/>
  <c r="AN364" i="9"/>
  <c r="AO364" i="9"/>
  <c r="AP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X365" i="9"/>
  <c r="Y365" i="9"/>
  <c r="Z365" i="9"/>
  <c r="AA365" i="9"/>
  <c r="AB365" i="9"/>
  <c r="AC365" i="9"/>
  <c r="AD365" i="9"/>
  <c r="AE365" i="9"/>
  <c r="AF365" i="9"/>
  <c r="AG365" i="9"/>
  <c r="AH365" i="9"/>
  <c r="AI365" i="9"/>
  <c r="AJ365" i="9"/>
  <c r="AK365" i="9"/>
  <c r="AL365" i="9"/>
  <c r="AM365" i="9"/>
  <c r="AN365" i="9"/>
  <c r="AO365" i="9"/>
  <c r="AP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X366" i="9"/>
  <c r="Y366" i="9"/>
  <c r="Z366" i="9"/>
  <c r="AA366" i="9"/>
  <c r="AB366" i="9"/>
  <c r="AC366" i="9"/>
  <c r="AD366" i="9"/>
  <c r="AE366" i="9"/>
  <c r="AF366" i="9"/>
  <c r="AG366" i="9"/>
  <c r="AH366" i="9"/>
  <c r="AI366" i="9"/>
  <c r="AJ366" i="9"/>
  <c r="AK366" i="9"/>
  <c r="AL366" i="9"/>
  <c r="AM366" i="9"/>
  <c r="AN366" i="9"/>
  <c r="AO366" i="9"/>
  <c r="AP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X367" i="9"/>
  <c r="Y367" i="9"/>
  <c r="Z367" i="9"/>
  <c r="AA367" i="9"/>
  <c r="AB367" i="9"/>
  <c r="AC367" i="9"/>
  <c r="AD367" i="9"/>
  <c r="AE367" i="9"/>
  <c r="AF367" i="9"/>
  <c r="AG367" i="9"/>
  <c r="AH367" i="9"/>
  <c r="AI367" i="9"/>
  <c r="AJ367" i="9"/>
  <c r="AK367" i="9"/>
  <c r="AL367" i="9"/>
  <c r="AM367" i="9"/>
  <c r="AN367" i="9"/>
  <c r="AO367" i="9"/>
  <c r="AP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AH368" i="9"/>
  <c r="AI368" i="9"/>
  <c r="AJ368" i="9"/>
  <c r="AK368" i="9"/>
  <c r="AL368" i="9"/>
  <c r="AM368" i="9"/>
  <c r="AN368" i="9"/>
  <c r="AO368" i="9"/>
  <c r="AP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X369" i="9"/>
  <c r="Y369" i="9"/>
  <c r="Z369" i="9"/>
  <c r="AA369" i="9"/>
  <c r="AB369" i="9"/>
  <c r="AC369" i="9"/>
  <c r="AD369" i="9"/>
  <c r="AE369" i="9"/>
  <c r="AF369" i="9"/>
  <c r="AG369" i="9"/>
  <c r="AH369" i="9"/>
  <c r="AI369" i="9"/>
  <c r="AJ369" i="9"/>
  <c r="AK369" i="9"/>
  <c r="AL369" i="9"/>
  <c r="AM369" i="9"/>
  <c r="AN369" i="9"/>
  <c r="AO369" i="9"/>
  <c r="AP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X370" i="9"/>
  <c r="Y370" i="9"/>
  <c r="Z370" i="9"/>
  <c r="AA370" i="9"/>
  <c r="AB370" i="9"/>
  <c r="AC370" i="9"/>
  <c r="AD370" i="9"/>
  <c r="AE370" i="9"/>
  <c r="AF370" i="9"/>
  <c r="AG370" i="9"/>
  <c r="AH370" i="9"/>
  <c r="AI370" i="9"/>
  <c r="AJ370" i="9"/>
  <c r="AK370" i="9"/>
  <c r="AL370" i="9"/>
  <c r="AM370" i="9"/>
  <c r="AN370" i="9"/>
  <c r="AO370" i="9"/>
  <c r="AP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X371" i="9"/>
  <c r="Y371" i="9"/>
  <c r="Z371" i="9"/>
  <c r="AA371" i="9"/>
  <c r="AB371" i="9"/>
  <c r="AC371" i="9"/>
  <c r="AD371" i="9"/>
  <c r="AE371" i="9"/>
  <c r="AF371" i="9"/>
  <c r="AG371" i="9"/>
  <c r="AH371" i="9"/>
  <c r="AI371" i="9"/>
  <c r="AJ371" i="9"/>
  <c r="AK371" i="9"/>
  <c r="AL371" i="9"/>
  <c r="AM371" i="9"/>
  <c r="AN371" i="9"/>
  <c r="AO371" i="9"/>
  <c r="AP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X372" i="9"/>
  <c r="Y372" i="9"/>
  <c r="Z372" i="9"/>
  <c r="AA372" i="9"/>
  <c r="AB372" i="9"/>
  <c r="AC372" i="9"/>
  <c r="AD372" i="9"/>
  <c r="AE372" i="9"/>
  <c r="AF372" i="9"/>
  <c r="AG372" i="9"/>
  <c r="AH372" i="9"/>
  <c r="AI372" i="9"/>
  <c r="AJ372" i="9"/>
  <c r="AK372" i="9"/>
  <c r="AL372" i="9"/>
  <c r="AM372" i="9"/>
  <c r="AN372" i="9"/>
  <c r="AO372" i="9"/>
  <c r="AP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X373" i="9"/>
  <c r="Y373" i="9"/>
  <c r="Z373" i="9"/>
  <c r="AA373" i="9"/>
  <c r="AB373" i="9"/>
  <c r="AC373" i="9"/>
  <c r="AD373" i="9"/>
  <c r="AE373" i="9"/>
  <c r="AF373" i="9"/>
  <c r="AG373" i="9"/>
  <c r="AH373" i="9"/>
  <c r="AI373" i="9"/>
  <c r="AJ373" i="9"/>
  <c r="AK373" i="9"/>
  <c r="AL373" i="9"/>
  <c r="AM373" i="9"/>
  <c r="AN373" i="9"/>
  <c r="AO373" i="9"/>
  <c r="AP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X374" i="9"/>
  <c r="Y374" i="9"/>
  <c r="Z374" i="9"/>
  <c r="AA374" i="9"/>
  <c r="AB374" i="9"/>
  <c r="AC374" i="9"/>
  <c r="AD374" i="9"/>
  <c r="AE374" i="9"/>
  <c r="AF374" i="9"/>
  <c r="AG374" i="9"/>
  <c r="AH374" i="9"/>
  <c r="AI374" i="9"/>
  <c r="AJ374" i="9"/>
  <c r="AK374" i="9"/>
  <c r="AL374" i="9"/>
  <c r="AM374" i="9"/>
  <c r="AN374" i="9"/>
  <c r="AO374" i="9"/>
  <c r="AP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X375" i="9"/>
  <c r="Y375" i="9"/>
  <c r="Z375" i="9"/>
  <c r="AA375" i="9"/>
  <c r="AB375" i="9"/>
  <c r="AC375" i="9"/>
  <c r="AD375" i="9"/>
  <c r="AE375" i="9"/>
  <c r="AF375" i="9"/>
  <c r="AG375" i="9"/>
  <c r="AH375" i="9"/>
  <c r="AI375" i="9"/>
  <c r="AJ375" i="9"/>
  <c r="AK375" i="9"/>
  <c r="AL375" i="9"/>
  <c r="AM375" i="9"/>
  <c r="AN375" i="9"/>
  <c r="AO375" i="9"/>
  <c r="AP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AH376" i="9"/>
  <c r="AI376" i="9"/>
  <c r="AJ376" i="9"/>
  <c r="AK376" i="9"/>
  <c r="AL376" i="9"/>
  <c r="AM376" i="9"/>
  <c r="AN376" i="9"/>
  <c r="AO376" i="9"/>
  <c r="AP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AH377" i="9"/>
  <c r="AI377" i="9"/>
  <c r="AJ377" i="9"/>
  <c r="AK377" i="9"/>
  <c r="AL377" i="9"/>
  <c r="AM377" i="9"/>
  <c r="AN377" i="9"/>
  <c r="AO377" i="9"/>
  <c r="AP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AH378" i="9"/>
  <c r="AI378" i="9"/>
  <c r="AJ378" i="9"/>
  <c r="AK378" i="9"/>
  <c r="AL378" i="9"/>
  <c r="AM378" i="9"/>
  <c r="AN378" i="9"/>
  <c r="AO378" i="9"/>
  <c r="AP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H379" i="9"/>
  <c r="AI379" i="9"/>
  <c r="AJ379" i="9"/>
  <c r="AK379" i="9"/>
  <c r="AL379" i="9"/>
  <c r="AM379" i="9"/>
  <c r="AN379" i="9"/>
  <c r="AO379" i="9"/>
  <c r="AP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X380" i="9"/>
  <c r="Y380" i="9"/>
  <c r="Z380" i="9"/>
  <c r="AA380" i="9"/>
  <c r="AB380" i="9"/>
  <c r="AC380" i="9"/>
  <c r="AD380" i="9"/>
  <c r="AE380" i="9"/>
  <c r="AF380" i="9"/>
  <c r="AG380" i="9"/>
  <c r="AH380" i="9"/>
  <c r="AI380" i="9"/>
  <c r="AJ380" i="9"/>
  <c r="AK380" i="9"/>
  <c r="AL380" i="9"/>
  <c r="AM380" i="9"/>
  <c r="AN380" i="9"/>
  <c r="AO380" i="9"/>
  <c r="AP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X381" i="9"/>
  <c r="Y381" i="9"/>
  <c r="Z381" i="9"/>
  <c r="AA381" i="9"/>
  <c r="AB381" i="9"/>
  <c r="AC381" i="9"/>
  <c r="AD381" i="9"/>
  <c r="AE381" i="9"/>
  <c r="AF381" i="9"/>
  <c r="AG381" i="9"/>
  <c r="AH381" i="9"/>
  <c r="AI381" i="9"/>
  <c r="AJ381" i="9"/>
  <c r="AK381" i="9"/>
  <c r="AL381" i="9"/>
  <c r="AM381" i="9"/>
  <c r="AN381" i="9"/>
  <c r="AO381" i="9"/>
  <c r="AP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X382" i="9"/>
  <c r="Y382" i="9"/>
  <c r="Z382" i="9"/>
  <c r="AA382" i="9"/>
  <c r="AB382" i="9"/>
  <c r="AC382" i="9"/>
  <c r="AD382" i="9"/>
  <c r="AE382" i="9"/>
  <c r="AF382" i="9"/>
  <c r="AG382" i="9"/>
  <c r="AH382" i="9"/>
  <c r="AI382" i="9"/>
  <c r="AJ382" i="9"/>
  <c r="AK382" i="9"/>
  <c r="AL382" i="9"/>
  <c r="AM382" i="9"/>
  <c r="AN382" i="9"/>
  <c r="AO382" i="9"/>
  <c r="AP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X383" i="9"/>
  <c r="Y383" i="9"/>
  <c r="Z383" i="9"/>
  <c r="AA383" i="9"/>
  <c r="AB383" i="9"/>
  <c r="AC383" i="9"/>
  <c r="AD383" i="9"/>
  <c r="AE383" i="9"/>
  <c r="AF383" i="9"/>
  <c r="AG383" i="9"/>
  <c r="AH383" i="9"/>
  <c r="AI383" i="9"/>
  <c r="AJ383" i="9"/>
  <c r="AK383" i="9"/>
  <c r="AL383" i="9"/>
  <c r="AM383" i="9"/>
  <c r="AN383" i="9"/>
  <c r="AO383" i="9"/>
  <c r="AP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X384" i="9"/>
  <c r="Y384" i="9"/>
  <c r="Z384" i="9"/>
  <c r="AA384" i="9"/>
  <c r="AB384" i="9"/>
  <c r="AC384" i="9"/>
  <c r="AD384" i="9"/>
  <c r="AE384" i="9"/>
  <c r="AF384" i="9"/>
  <c r="AG384" i="9"/>
  <c r="AH384" i="9"/>
  <c r="AI384" i="9"/>
  <c r="AJ384" i="9"/>
  <c r="AK384" i="9"/>
  <c r="AL384" i="9"/>
  <c r="AM384" i="9"/>
  <c r="AN384" i="9"/>
  <c r="AO384" i="9"/>
  <c r="AP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X385" i="9"/>
  <c r="Y385" i="9"/>
  <c r="Z385" i="9"/>
  <c r="AA385" i="9"/>
  <c r="AB385" i="9"/>
  <c r="AC385" i="9"/>
  <c r="AD385" i="9"/>
  <c r="AE385" i="9"/>
  <c r="AF385" i="9"/>
  <c r="AG385" i="9"/>
  <c r="AH385" i="9"/>
  <c r="AI385" i="9"/>
  <c r="AJ385" i="9"/>
  <c r="AK385" i="9"/>
  <c r="AL385" i="9"/>
  <c r="AM385" i="9"/>
  <c r="AN385" i="9"/>
  <c r="AO385" i="9"/>
  <c r="AP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X386" i="9"/>
  <c r="Y386" i="9"/>
  <c r="Z386" i="9"/>
  <c r="AA386" i="9"/>
  <c r="AB386" i="9"/>
  <c r="AC386" i="9"/>
  <c r="AD386" i="9"/>
  <c r="AE386" i="9"/>
  <c r="AF386" i="9"/>
  <c r="AG386" i="9"/>
  <c r="AH386" i="9"/>
  <c r="AI386" i="9"/>
  <c r="AJ386" i="9"/>
  <c r="AK386" i="9"/>
  <c r="AL386" i="9"/>
  <c r="AM386" i="9"/>
  <c r="AN386" i="9"/>
  <c r="AO386" i="9"/>
  <c r="AP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X387" i="9"/>
  <c r="Y387" i="9"/>
  <c r="Z387" i="9"/>
  <c r="AA387" i="9"/>
  <c r="AB387" i="9"/>
  <c r="AC387" i="9"/>
  <c r="AD387" i="9"/>
  <c r="AE387" i="9"/>
  <c r="AF387" i="9"/>
  <c r="AG387" i="9"/>
  <c r="AH387" i="9"/>
  <c r="AI387" i="9"/>
  <c r="AJ387" i="9"/>
  <c r="AK387" i="9"/>
  <c r="AL387" i="9"/>
  <c r="AM387" i="9"/>
  <c r="AN387" i="9"/>
  <c r="AO387" i="9"/>
  <c r="AP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X388" i="9"/>
  <c r="Y388" i="9"/>
  <c r="Z388" i="9"/>
  <c r="AA388" i="9"/>
  <c r="AB388" i="9"/>
  <c r="AC388" i="9"/>
  <c r="AD388" i="9"/>
  <c r="AE388" i="9"/>
  <c r="AF388" i="9"/>
  <c r="AG388" i="9"/>
  <c r="AH388" i="9"/>
  <c r="AI388" i="9"/>
  <c r="AJ388" i="9"/>
  <c r="AK388" i="9"/>
  <c r="AL388" i="9"/>
  <c r="AM388" i="9"/>
  <c r="AN388" i="9"/>
  <c r="AO388" i="9"/>
  <c r="AP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X389" i="9"/>
  <c r="Y389" i="9"/>
  <c r="Z389" i="9"/>
  <c r="AA389" i="9"/>
  <c r="AB389" i="9"/>
  <c r="AC389" i="9"/>
  <c r="AD389" i="9"/>
  <c r="AE389" i="9"/>
  <c r="AF389" i="9"/>
  <c r="AG389" i="9"/>
  <c r="AH389" i="9"/>
  <c r="AI389" i="9"/>
  <c r="AJ389" i="9"/>
  <c r="AK389" i="9"/>
  <c r="AL389" i="9"/>
  <c r="AM389" i="9"/>
  <c r="AN389" i="9"/>
  <c r="AO389" i="9"/>
  <c r="AP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X390" i="9"/>
  <c r="Y390" i="9"/>
  <c r="Z390" i="9"/>
  <c r="AA390" i="9"/>
  <c r="AB390" i="9"/>
  <c r="AC390" i="9"/>
  <c r="AD390" i="9"/>
  <c r="AE390" i="9"/>
  <c r="AF390" i="9"/>
  <c r="AG390" i="9"/>
  <c r="AH390" i="9"/>
  <c r="AI390" i="9"/>
  <c r="AJ390" i="9"/>
  <c r="AK390" i="9"/>
  <c r="AL390" i="9"/>
  <c r="AM390" i="9"/>
  <c r="AN390" i="9"/>
  <c r="AO390" i="9"/>
  <c r="AP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X391" i="9"/>
  <c r="Y391" i="9"/>
  <c r="Z391" i="9"/>
  <c r="AA391" i="9"/>
  <c r="AB391" i="9"/>
  <c r="AC391" i="9"/>
  <c r="AD391" i="9"/>
  <c r="AE391" i="9"/>
  <c r="AF391" i="9"/>
  <c r="AG391" i="9"/>
  <c r="AH391" i="9"/>
  <c r="AI391" i="9"/>
  <c r="AJ391" i="9"/>
  <c r="AK391" i="9"/>
  <c r="AL391" i="9"/>
  <c r="AM391" i="9"/>
  <c r="AN391" i="9"/>
  <c r="AO391" i="9"/>
  <c r="AP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X392" i="9"/>
  <c r="Y392" i="9"/>
  <c r="Z392" i="9"/>
  <c r="AA392" i="9"/>
  <c r="AB392" i="9"/>
  <c r="AC392" i="9"/>
  <c r="AD392" i="9"/>
  <c r="AE392" i="9"/>
  <c r="AF392" i="9"/>
  <c r="AG392" i="9"/>
  <c r="AH392" i="9"/>
  <c r="AI392" i="9"/>
  <c r="AJ392" i="9"/>
  <c r="AK392" i="9"/>
  <c r="AL392" i="9"/>
  <c r="AM392" i="9"/>
  <c r="AN392" i="9"/>
  <c r="AO392" i="9"/>
  <c r="AP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X393" i="9"/>
  <c r="Y393" i="9"/>
  <c r="Z393" i="9"/>
  <c r="AA393" i="9"/>
  <c r="AB393" i="9"/>
  <c r="AC393" i="9"/>
  <c r="AD393" i="9"/>
  <c r="AE393" i="9"/>
  <c r="AF393" i="9"/>
  <c r="AG393" i="9"/>
  <c r="AH393" i="9"/>
  <c r="AI393" i="9"/>
  <c r="AJ393" i="9"/>
  <c r="AK393" i="9"/>
  <c r="AL393" i="9"/>
  <c r="AM393" i="9"/>
  <c r="AN393" i="9"/>
  <c r="AO393" i="9"/>
  <c r="AP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X394" i="9"/>
  <c r="Y394" i="9"/>
  <c r="Z394" i="9"/>
  <c r="AA394" i="9"/>
  <c r="AB394" i="9"/>
  <c r="AC394" i="9"/>
  <c r="AD394" i="9"/>
  <c r="AE394" i="9"/>
  <c r="AF394" i="9"/>
  <c r="AG394" i="9"/>
  <c r="AH394" i="9"/>
  <c r="AI394" i="9"/>
  <c r="AJ394" i="9"/>
  <c r="AK394" i="9"/>
  <c r="AL394" i="9"/>
  <c r="AM394" i="9"/>
  <c r="AN394" i="9"/>
  <c r="AO394" i="9"/>
  <c r="AP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X395" i="9"/>
  <c r="Y395" i="9"/>
  <c r="Z395" i="9"/>
  <c r="AA395" i="9"/>
  <c r="AB395" i="9"/>
  <c r="AC395" i="9"/>
  <c r="AD395" i="9"/>
  <c r="AE395" i="9"/>
  <c r="AF395" i="9"/>
  <c r="AG395" i="9"/>
  <c r="AH395" i="9"/>
  <c r="AI395" i="9"/>
  <c r="AJ395" i="9"/>
  <c r="AK395" i="9"/>
  <c r="AL395" i="9"/>
  <c r="AM395" i="9"/>
  <c r="AN395" i="9"/>
  <c r="AO395" i="9"/>
  <c r="AP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AH396" i="9"/>
  <c r="AI396" i="9"/>
  <c r="AJ396" i="9"/>
  <c r="AK396" i="9"/>
  <c r="AL396" i="9"/>
  <c r="AM396" i="9"/>
  <c r="AN396" i="9"/>
  <c r="AO396" i="9"/>
  <c r="AP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H397" i="9"/>
  <c r="AI397" i="9"/>
  <c r="AJ397" i="9"/>
  <c r="AK397" i="9"/>
  <c r="AL397" i="9"/>
  <c r="AM397" i="9"/>
  <c r="AN397" i="9"/>
  <c r="AO397" i="9"/>
  <c r="AP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H398" i="9"/>
  <c r="AI398" i="9"/>
  <c r="AJ398" i="9"/>
  <c r="AK398" i="9"/>
  <c r="AL398" i="9"/>
  <c r="AM398" i="9"/>
  <c r="AN398" i="9"/>
  <c r="AO398" i="9"/>
  <c r="AP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H399" i="9"/>
  <c r="AI399" i="9"/>
  <c r="AJ399" i="9"/>
  <c r="AK399" i="9"/>
  <c r="AL399" i="9"/>
  <c r="AM399" i="9"/>
  <c r="AN399" i="9"/>
  <c r="AO399" i="9"/>
  <c r="AP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H400" i="9"/>
  <c r="AI400" i="9"/>
  <c r="AJ400" i="9"/>
  <c r="AK400" i="9"/>
  <c r="AL400" i="9"/>
  <c r="AM400" i="9"/>
  <c r="AN400" i="9"/>
  <c r="AO400" i="9"/>
  <c r="AP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H401" i="9"/>
  <c r="AI401" i="9"/>
  <c r="AJ401" i="9"/>
  <c r="AK401" i="9"/>
  <c r="AL401" i="9"/>
  <c r="AM401" i="9"/>
  <c r="AN401" i="9"/>
  <c r="AO401" i="9"/>
  <c r="AP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X402" i="9"/>
  <c r="Y402" i="9"/>
  <c r="Z402" i="9"/>
  <c r="AA402" i="9"/>
  <c r="AB402" i="9"/>
  <c r="AC402" i="9"/>
  <c r="AD402" i="9"/>
  <c r="AE402" i="9"/>
  <c r="AF402" i="9"/>
  <c r="AG402" i="9"/>
  <c r="AH402" i="9"/>
  <c r="AI402" i="9"/>
  <c r="AJ402" i="9"/>
  <c r="AK402" i="9"/>
  <c r="AL402" i="9"/>
  <c r="AM402" i="9"/>
  <c r="AN402" i="9"/>
  <c r="AO402" i="9"/>
  <c r="AP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X403" i="9"/>
  <c r="Y403" i="9"/>
  <c r="Z403" i="9"/>
  <c r="AA403" i="9"/>
  <c r="AB403" i="9"/>
  <c r="AC403" i="9"/>
  <c r="AD403" i="9"/>
  <c r="AE403" i="9"/>
  <c r="AF403" i="9"/>
  <c r="AG403" i="9"/>
  <c r="AH403" i="9"/>
  <c r="AI403" i="9"/>
  <c r="AJ403" i="9"/>
  <c r="AK403" i="9"/>
  <c r="AL403" i="9"/>
  <c r="AM403" i="9"/>
  <c r="AN403" i="9"/>
  <c r="AO403" i="9"/>
  <c r="AP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X404" i="9"/>
  <c r="Y404" i="9"/>
  <c r="Z404" i="9"/>
  <c r="AA404" i="9"/>
  <c r="AB404" i="9"/>
  <c r="AC404" i="9"/>
  <c r="AD404" i="9"/>
  <c r="AE404" i="9"/>
  <c r="AF404" i="9"/>
  <c r="AG404" i="9"/>
  <c r="AH404" i="9"/>
  <c r="AI404" i="9"/>
  <c r="AJ404" i="9"/>
  <c r="AK404" i="9"/>
  <c r="AL404" i="9"/>
  <c r="AM404" i="9"/>
  <c r="AN404" i="9"/>
  <c r="AO404" i="9"/>
  <c r="AP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X405" i="9"/>
  <c r="Y405" i="9"/>
  <c r="Z405" i="9"/>
  <c r="AA405" i="9"/>
  <c r="AB405" i="9"/>
  <c r="AC405" i="9"/>
  <c r="AD405" i="9"/>
  <c r="AE405" i="9"/>
  <c r="AF405" i="9"/>
  <c r="AG405" i="9"/>
  <c r="AH405" i="9"/>
  <c r="AI405" i="9"/>
  <c r="AJ405" i="9"/>
  <c r="AK405" i="9"/>
  <c r="AL405" i="9"/>
  <c r="AM405" i="9"/>
  <c r="AN405" i="9"/>
  <c r="AO405" i="9"/>
  <c r="AP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X406" i="9"/>
  <c r="Y406" i="9"/>
  <c r="Z406" i="9"/>
  <c r="AA406" i="9"/>
  <c r="AB406" i="9"/>
  <c r="AC406" i="9"/>
  <c r="AD406" i="9"/>
  <c r="AE406" i="9"/>
  <c r="AF406" i="9"/>
  <c r="AG406" i="9"/>
  <c r="AH406" i="9"/>
  <c r="AI406" i="9"/>
  <c r="AJ406" i="9"/>
  <c r="AK406" i="9"/>
  <c r="AL406" i="9"/>
  <c r="AM406" i="9"/>
  <c r="AN406" i="9"/>
  <c r="AO406" i="9"/>
  <c r="AP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X407" i="9"/>
  <c r="Y407" i="9"/>
  <c r="Z407" i="9"/>
  <c r="AA407" i="9"/>
  <c r="AB407" i="9"/>
  <c r="AC407" i="9"/>
  <c r="AD407" i="9"/>
  <c r="AE407" i="9"/>
  <c r="AF407" i="9"/>
  <c r="AG407" i="9"/>
  <c r="AH407" i="9"/>
  <c r="AI407" i="9"/>
  <c r="AJ407" i="9"/>
  <c r="AK407" i="9"/>
  <c r="AL407" i="9"/>
  <c r="AM407" i="9"/>
  <c r="AN407" i="9"/>
  <c r="AO407" i="9"/>
  <c r="AP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X408" i="9"/>
  <c r="Y408" i="9"/>
  <c r="Z408" i="9"/>
  <c r="AA408" i="9"/>
  <c r="AB408" i="9"/>
  <c r="AC408" i="9"/>
  <c r="AD408" i="9"/>
  <c r="AE408" i="9"/>
  <c r="AF408" i="9"/>
  <c r="AG408" i="9"/>
  <c r="AH408" i="9"/>
  <c r="AI408" i="9"/>
  <c r="AJ408" i="9"/>
  <c r="AK408" i="9"/>
  <c r="AL408" i="9"/>
  <c r="AM408" i="9"/>
  <c r="AN408" i="9"/>
  <c r="AO408" i="9"/>
  <c r="AP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X409" i="9"/>
  <c r="Y409" i="9"/>
  <c r="Z409" i="9"/>
  <c r="AA409" i="9"/>
  <c r="AB409" i="9"/>
  <c r="AC409" i="9"/>
  <c r="AD409" i="9"/>
  <c r="AE409" i="9"/>
  <c r="AF409" i="9"/>
  <c r="AG409" i="9"/>
  <c r="AH409" i="9"/>
  <c r="AI409" i="9"/>
  <c r="AJ409" i="9"/>
  <c r="AK409" i="9"/>
  <c r="AL409" i="9"/>
  <c r="AM409" i="9"/>
  <c r="AN409" i="9"/>
  <c r="AO409" i="9"/>
  <c r="AP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X410" i="9"/>
  <c r="Y410" i="9"/>
  <c r="Z410" i="9"/>
  <c r="AA410" i="9"/>
  <c r="AB410" i="9"/>
  <c r="AC410" i="9"/>
  <c r="AD410" i="9"/>
  <c r="AE410" i="9"/>
  <c r="AF410" i="9"/>
  <c r="AG410" i="9"/>
  <c r="AH410" i="9"/>
  <c r="AI410" i="9"/>
  <c r="AJ410" i="9"/>
  <c r="AK410" i="9"/>
  <c r="AL410" i="9"/>
  <c r="AM410" i="9"/>
  <c r="AN410" i="9"/>
  <c r="AO410" i="9"/>
  <c r="AP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X411" i="9"/>
  <c r="Y411" i="9"/>
  <c r="Z411" i="9"/>
  <c r="AA411" i="9"/>
  <c r="AB411" i="9"/>
  <c r="AC411" i="9"/>
  <c r="AD411" i="9"/>
  <c r="AE411" i="9"/>
  <c r="AF411" i="9"/>
  <c r="AG411" i="9"/>
  <c r="AH411" i="9"/>
  <c r="AI411" i="9"/>
  <c r="AJ411" i="9"/>
  <c r="AK411" i="9"/>
  <c r="AL411" i="9"/>
  <c r="AM411" i="9"/>
  <c r="AN411" i="9"/>
  <c r="AO411" i="9"/>
  <c r="AP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X412" i="9"/>
  <c r="Y412" i="9"/>
  <c r="Z412" i="9"/>
  <c r="AA412" i="9"/>
  <c r="AB412" i="9"/>
  <c r="AC412" i="9"/>
  <c r="AD412" i="9"/>
  <c r="AE412" i="9"/>
  <c r="AF412" i="9"/>
  <c r="AG412" i="9"/>
  <c r="AH412" i="9"/>
  <c r="AI412" i="9"/>
  <c r="AJ412" i="9"/>
  <c r="AK412" i="9"/>
  <c r="AL412" i="9"/>
  <c r="AM412" i="9"/>
  <c r="AN412" i="9"/>
  <c r="AO412" i="9"/>
  <c r="AP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X413" i="9"/>
  <c r="Y413" i="9"/>
  <c r="Z413" i="9"/>
  <c r="AA413" i="9"/>
  <c r="AB413" i="9"/>
  <c r="AC413" i="9"/>
  <c r="AD413" i="9"/>
  <c r="AE413" i="9"/>
  <c r="AF413" i="9"/>
  <c r="AG413" i="9"/>
  <c r="AH413" i="9"/>
  <c r="AI413" i="9"/>
  <c r="AJ413" i="9"/>
  <c r="AK413" i="9"/>
  <c r="AL413" i="9"/>
  <c r="AM413" i="9"/>
  <c r="AN413" i="9"/>
  <c r="AO413" i="9"/>
  <c r="AP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X414" i="9"/>
  <c r="Y414" i="9"/>
  <c r="Z414" i="9"/>
  <c r="AA414" i="9"/>
  <c r="AB414" i="9"/>
  <c r="AC414" i="9"/>
  <c r="AD414" i="9"/>
  <c r="AE414" i="9"/>
  <c r="AF414" i="9"/>
  <c r="AG414" i="9"/>
  <c r="AH414" i="9"/>
  <c r="AI414" i="9"/>
  <c r="AJ414" i="9"/>
  <c r="AK414" i="9"/>
  <c r="AL414" i="9"/>
  <c r="AM414" i="9"/>
  <c r="AN414" i="9"/>
  <c r="AO414" i="9"/>
  <c r="AP414" i="9"/>
  <c r="DL2" i="9"/>
  <c r="DL3" i="9"/>
  <c r="DL4" i="9"/>
  <c r="DL5" i="9"/>
  <c r="DL6" i="9"/>
  <c r="DL7" i="9"/>
  <c r="DL8" i="9"/>
  <c r="DL9" i="9"/>
  <c r="DL10" i="9"/>
  <c r="DL11" i="9"/>
  <c r="DL12" i="9"/>
  <c r="DL13" i="9"/>
  <c r="DL14" i="9"/>
  <c r="DL15" i="9"/>
  <c r="DL16" i="9"/>
  <c r="DL17" i="9"/>
  <c r="DL18" i="9"/>
  <c r="DL19" i="9"/>
  <c r="DL20" i="9"/>
  <c r="DL21" i="9"/>
  <c r="DL22" i="9"/>
  <c r="DI2" i="9"/>
  <c r="DI3" i="9"/>
  <c r="DI4" i="9"/>
  <c r="DI5" i="9"/>
  <c r="DI6" i="9"/>
  <c r="DI7" i="9"/>
  <c r="DI8" i="9"/>
  <c r="DI9" i="9"/>
  <c r="DI10" i="9"/>
  <c r="DI11" i="9"/>
  <c r="DI12" i="9"/>
  <c r="DI13" i="9"/>
  <c r="DI14" i="9"/>
  <c r="DI15" i="9"/>
  <c r="DI16" i="9"/>
  <c r="DI17" i="9"/>
  <c r="DI18" i="9"/>
  <c r="DI19" i="9"/>
  <c r="DI20" i="9"/>
  <c r="DI21" i="9"/>
  <c r="DI22" i="9"/>
  <c r="DB2" i="9"/>
  <c r="DB3" i="9"/>
  <c r="DB4" i="9"/>
  <c r="DB5" i="9"/>
  <c r="DB6" i="9"/>
  <c r="DB7" i="9"/>
  <c r="DB8" i="9"/>
  <c r="DB9" i="9"/>
  <c r="DB10" i="9"/>
  <c r="DB11" i="9"/>
  <c r="DB12" i="9"/>
  <c r="DB13" i="9"/>
  <c r="DB14" i="9"/>
  <c r="DB15" i="9"/>
  <c r="DB16" i="9"/>
  <c r="DB17" i="9"/>
  <c r="DB18" i="9"/>
  <c r="DB19" i="9"/>
  <c r="DB20" i="9"/>
  <c r="DB21" i="9"/>
  <c r="DB22" i="9"/>
  <c r="CU2" i="9"/>
  <c r="CU3" i="9"/>
  <c r="CU4" i="9"/>
  <c r="CU5" i="9"/>
  <c r="CU6" i="9"/>
  <c r="CU7" i="9"/>
  <c r="CU8" i="9"/>
  <c r="CU9" i="9"/>
  <c r="CU10" i="9"/>
  <c r="CU11" i="9"/>
  <c r="CU12" i="9"/>
  <c r="CU13" i="9"/>
  <c r="CU14" i="9"/>
  <c r="CU15" i="9"/>
  <c r="CU16" i="9"/>
  <c r="CU17" i="9"/>
  <c r="CU18" i="9"/>
  <c r="CU19" i="9"/>
  <c r="CU20" i="9"/>
  <c r="CU21" i="9"/>
  <c r="CU22" i="9"/>
  <c r="CR2" i="9"/>
  <c r="CR3" i="9"/>
  <c r="CR4" i="9"/>
  <c r="CR5" i="9"/>
  <c r="CR6" i="9"/>
  <c r="CR7" i="9"/>
  <c r="CR8" i="9"/>
  <c r="CR9" i="9"/>
  <c r="CR10" i="9"/>
  <c r="CR11" i="9"/>
  <c r="CR12" i="9"/>
  <c r="CR13" i="9"/>
  <c r="CR14" i="9"/>
  <c r="CR15" i="9"/>
  <c r="CR16" i="9"/>
  <c r="CR17" i="9"/>
  <c r="CR18" i="9"/>
  <c r="CR19" i="9"/>
  <c r="CR20" i="9"/>
  <c r="CR21" i="9"/>
  <c r="CR22" i="9"/>
  <c r="CE2" i="9"/>
  <c r="CE3" i="9"/>
  <c r="CE4" i="9"/>
  <c r="CE5" i="9"/>
  <c r="CE6" i="9"/>
  <c r="CE7" i="9"/>
  <c r="CE8" i="9"/>
  <c r="CE9" i="9"/>
  <c r="CE10" i="9"/>
  <c r="CE11" i="9"/>
  <c r="CE12" i="9"/>
  <c r="CE13" i="9"/>
  <c r="CE14" i="9"/>
  <c r="CE15" i="9"/>
  <c r="CE16" i="9"/>
  <c r="CE17" i="9"/>
  <c r="CE18" i="9"/>
  <c r="CE19" i="9"/>
  <c r="CE20" i="9"/>
  <c r="CE21" i="9"/>
  <c r="CE22" i="9"/>
  <c r="BX2" i="9"/>
  <c r="BX3" i="9"/>
  <c r="BX4" i="9"/>
  <c r="BX5" i="9"/>
  <c r="BX6" i="9"/>
  <c r="BX7" i="9"/>
  <c r="BX8" i="9"/>
  <c r="BX9" i="9"/>
  <c r="BX10" i="9"/>
  <c r="BX11" i="9"/>
  <c r="BX12" i="9"/>
  <c r="BX13" i="9"/>
  <c r="BX14" i="9"/>
  <c r="BX15" i="9"/>
  <c r="BX16" i="9"/>
  <c r="BX17" i="9"/>
  <c r="BX18" i="9"/>
  <c r="BX19" i="9"/>
  <c r="BX20" i="9"/>
  <c r="BX21" i="9"/>
  <c r="BX22" i="9"/>
  <c r="BQ2" i="9"/>
  <c r="BQ3" i="9"/>
  <c r="BQ4" i="9"/>
  <c r="BQ5" i="9"/>
  <c r="BQ6" i="9"/>
  <c r="BQ7" i="9"/>
  <c r="BQ8" i="9"/>
  <c r="BQ9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J2" i="9"/>
  <c r="BJ3" i="9"/>
  <c r="BJ4" i="9"/>
  <c r="BJ5" i="9"/>
  <c r="BJ6" i="9"/>
  <c r="BJ7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C2" i="9"/>
  <c r="BC3" i="9"/>
  <c r="BC4" i="9"/>
  <c r="BC5" i="9"/>
  <c r="BC6" i="9"/>
  <c r="BC7" i="9"/>
  <c r="BC8" i="9"/>
  <c r="BC9" i="9"/>
  <c r="BC10" i="9"/>
  <c r="BC11" i="9"/>
  <c r="BC12" i="9"/>
  <c r="BC13" i="9"/>
  <c r="BC14" i="9"/>
  <c r="BC15" i="9"/>
  <c r="BC16" i="9"/>
  <c r="BC17" i="9"/>
  <c r="BC18" i="9"/>
  <c r="BC19" i="9"/>
  <c r="BC20" i="9"/>
  <c r="BC21" i="9"/>
  <c r="BC22" i="9"/>
  <c r="AX21" i="9"/>
  <c r="AX20" i="9"/>
  <c r="AX19" i="9"/>
  <c r="AX18" i="9"/>
  <c r="AX17" i="9"/>
  <c r="AX16" i="9"/>
  <c r="AX15" i="9"/>
  <c r="AX14" i="9"/>
  <c r="AX13" i="9"/>
  <c r="AX12" i="9"/>
  <c r="AX11" i="9"/>
  <c r="AX10" i="9"/>
  <c r="AX9" i="9"/>
  <c r="AX8" i="9"/>
  <c r="AX7" i="9"/>
  <c r="AX6" i="9"/>
  <c r="AX5" i="9"/>
  <c r="AX4" i="9"/>
  <c r="AX3" i="9"/>
  <c r="AX2" i="9"/>
  <c r="BN14" i="9"/>
  <c r="BM8" i="9"/>
  <c r="BG14" i="9"/>
  <c r="BF8" i="9"/>
  <c r="AM2" i="9"/>
  <c r="AP2" i="9" s="1"/>
  <c r="AL2" i="9"/>
  <c r="AK2" i="9"/>
  <c r="AJ2" i="9"/>
  <c r="AI2" i="9"/>
  <c r="AH2" i="9"/>
  <c r="AG2" i="9"/>
  <c r="AF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M2" i="9"/>
  <c r="L2" i="9"/>
  <c r="K2" i="9"/>
  <c r="O2" i="9" s="1"/>
  <c r="J2" i="9"/>
  <c r="N2" i="9" s="1"/>
  <c r="AE100" i="9" s="1"/>
  <c r="AE105" i="9" l="1"/>
  <c r="AE117" i="9"/>
  <c r="AE113" i="9"/>
  <c r="AE109" i="9"/>
  <c r="AE118" i="9"/>
  <c r="AE114" i="9"/>
  <c r="AE110" i="9"/>
  <c r="AE106" i="9"/>
  <c r="AE102" i="9"/>
  <c r="AE115" i="9"/>
  <c r="AE111" i="9"/>
  <c r="AE107" i="9"/>
  <c r="AE103" i="9"/>
  <c r="AE99" i="9"/>
  <c r="AN86" i="9"/>
  <c r="AO115" i="9"/>
  <c r="AO111" i="9"/>
  <c r="AO107" i="9"/>
  <c r="AO103" i="9"/>
  <c r="AO99" i="9"/>
  <c r="AN23" i="9"/>
  <c r="AE116" i="9"/>
  <c r="AE112" i="9"/>
  <c r="AE108" i="9"/>
  <c r="AE104" i="9"/>
  <c r="AN90" i="9"/>
  <c r="AN60" i="9"/>
  <c r="AN33" i="9"/>
  <c r="AN29" i="9"/>
  <c r="AN83" i="9"/>
  <c r="AN47" i="9"/>
  <c r="AN88" i="9"/>
  <c r="AN94" i="9"/>
  <c r="AN82" i="9"/>
  <c r="AN53" i="9"/>
  <c r="AN35" i="9"/>
  <c r="AN27" i="9"/>
  <c r="AN98" i="9"/>
  <c r="AN92" i="9"/>
  <c r="AN87" i="9"/>
  <c r="AN41" i="9"/>
  <c r="AO86" i="9"/>
  <c r="AN64" i="9"/>
  <c r="AN89" i="9"/>
  <c r="AN93" i="9"/>
  <c r="AN72" i="9"/>
  <c r="AN55" i="9"/>
  <c r="AN49" i="9"/>
  <c r="AN43" i="9"/>
  <c r="AN37" i="9"/>
  <c r="AN31" i="9"/>
  <c r="AN25" i="9"/>
  <c r="AN95" i="9"/>
  <c r="AN19" i="9"/>
  <c r="AN4" i="9"/>
  <c r="AN17" i="9"/>
  <c r="AN79" i="9"/>
  <c r="AN97" i="9"/>
  <c r="AO94" i="9"/>
  <c r="AO82" i="9"/>
  <c r="AN61" i="9"/>
  <c r="AN13" i="9"/>
  <c r="AN85" i="9"/>
  <c r="AN67" i="9"/>
  <c r="AN51" i="9"/>
  <c r="AN45" i="9"/>
  <c r="AN39" i="9"/>
  <c r="AN96" i="9"/>
  <c r="AN21" i="9"/>
  <c r="AN91" i="9"/>
  <c r="AN84" i="9"/>
  <c r="AN76" i="9"/>
  <c r="AN15" i="9"/>
  <c r="AE84" i="9"/>
  <c r="AE87" i="9"/>
  <c r="AE95" i="9"/>
  <c r="AE83" i="9"/>
  <c r="AE91" i="9"/>
  <c r="AE89" i="9"/>
  <c r="AE93" i="9"/>
  <c r="AE97" i="9"/>
  <c r="AE85" i="9"/>
  <c r="AN6" i="9"/>
  <c r="AO4" i="9"/>
  <c r="AN74" i="9"/>
  <c r="AN65" i="9"/>
  <c r="AN8" i="9"/>
  <c r="AO97" i="9"/>
  <c r="AO93" i="9"/>
  <c r="AO89" i="9"/>
  <c r="AO85" i="9"/>
  <c r="AN63" i="9"/>
  <c r="AE3" i="9"/>
  <c r="AE98" i="9"/>
  <c r="AE94" i="9"/>
  <c r="AE90" i="9"/>
  <c r="AE86" i="9"/>
  <c r="AE82" i="9"/>
  <c r="AO79" i="9"/>
  <c r="AN70" i="9"/>
  <c r="AO55" i="9"/>
  <c r="AO51" i="9"/>
  <c r="AO47" i="9"/>
  <c r="AO43" i="9"/>
  <c r="AO39" i="9"/>
  <c r="AO35" i="9"/>
  <c r="AO31" i="9"/>
  <c r="AO27" i="9"/>
  <c r="AO23" i="9"/>
  <c r="AO19" i="9"/>
  <c r="AO15" i="9"/>
  <c r="AN68" i="9"/>
  <c r="AN59" i="9"/>
  <c r="AP3" i="9"/>
  <c r="AN81" i="9"/>
  <c r="AN66" i="9"/>
  <c r="AN57" i="9"/>
  <c r="AN77" i="9"/>
  <c r="AN62" i="9"/>
  <c r="AN11" i="9"/>
  <c r="AN9" i="9"/>
  <c r="AO95" i="9"/>
  <c r="AO91" i="9"/>
  <c r="AO87" i="9"/>
  <c r="AO83" i="9"/>
  <c r="AN75" i="9"/>
  <c r="AN7" i="9"/>
  <c r="AN5" i="9"/>
  <c r="AE96" i="9"/>
  <c r="AE92" i="9"/>
  <c r="AE88" i="9"/>
  <c r="AN73" i="9"/>
  <c r="AO67" i="9"/>
  <c r="AN58" i="9"/>
  <c r="AN80" i="9"/>
  <c r="AN71" i="9"/>
  <c r="AO65" i="9"/>
  <c r="AN56" i="9"/>
  <c r="AN50" i="9"/>
  <c r="AN46" i="9"/>
  <c r="AN42" i="9"/>
  <c r="AN38" i="9"/>
  <c r="AN34" i="9"/>
  <c r="AN30" i="9"/>
  <c r="AN26" i="9"/>
  <c r="AN22" i="9"/>
  <c r="AN18" i="9"/>
  <c r="AN16" i="9"/>
  <c r="AN14" i="9"/>
  <c r="AN78" i="9"/>
  <c r="AN69" i="9"/>
  <c r="AO63" i="9"/>
  <c r="AN54" i="9"/>
  <c r="AN52" i="9"/>
  <c r="AN48" i="9"/>
  <c r="AN44" i="9"/>
  <c r="AN40" i="9"/>
  <c r="AN36" i="9"/>
  <c r="AN32" i="9"/>
  <c r="AN28" i="9"/>
  <c r="AN24" i="9"/>
  <c r="AN20" i="9"/>
  <c r="AN12" i="9"/>
  <c r="AN10" i="9"/>
  <c r="AE6" i="9"/>
  <c r="AE10" i="9"/>
  <c r="AE14" i="9"/>
  <c r="AE18" i="9"/>
  <c r="AE22" i="9"/>
  <c r="AE26" i="9"/>
  <c r="AE30" i="9"/>
  <c r="AE34" i="9"/>
  <c r="AE38" i="9"/>
  <c r="AE42" i="9"/>
  <c r="AE46" i="9"/>
  <c r="AE50" i="9"/>
  <c r="AE54" i="9"/>
  <c r="AE58" i="9"/>
  <c r="AE62" i="9"/>
  <c r="AE66" i="9"/>
  <c r="AE70" i="9"/>
  <c r="AE74" i="9"/>
  <c r="AE78" i="9"/>
  <c r="AE5" i="9"/>
  <c r="AE9" i="9"/>
  <c r="AE13" i="9"/>
  <c r="AE17" i="9"/>
  <c r="AE21" i="9"/>
  <c r="AE25" i="9"/>
  <c r="AE29" i="9"/>
  <c r="AE33" i="9"/>
  <c r="AE37" i="9"/>
  <c r="AE41" i="9"/>
  <c r="AE45" i="9"/>
  <c r="AE49" i="9"/>
  <c r="AE53" i="9"/>
  <c r="AE57" i="9"/>
  <c r="AE61" i="9"/>
  <c r="AE65" i="9"/>
  <c r="AE69" i="9"/>
  <c r="AE73" i="9"/>
  <c r="AE77" i="9"/>
  <c r="AE81" i="9"/>
  <c r="AE4" i="9"/>
  <c r="AE8" i="9"/>
  <c r="AE12" i="9"/>
  <c r="AE16" i="9"/>
  <c r="AE20" i="9"/>
  <c r="AE24" i="9"/>
  <c r="AE28" i="9"/>
  <c r="AE32" i="9"/>
  <c r="AE36" i="9"/>
  <c r="AE40" i="9"/>
  <c r="AE44" i="9"/>
  <c r="AE48" i="9"/>
  <c r="AE52" i="9"/>
  <c r="AE56" i="9"/>
  <c r="AE60" i="9"/>
  <c r="AE64" i="9"/>
  <c r="AE68" i="9"/>
  <c r="AE72" i="9"/>
  <c r="AE76" i="9"/>
  <c r="AE80" i="9"/>
  <c r="AE7" i="9"/>
  <c r="AE11" i="9"/>
  <c r="AE15" i="9"/>
  <c r="AE19" i="9"/>
  <c r="AE23" i="9"/>
  <c r="AE27" i="9"/>
  <c r="AE31" i="9"/>
  <c r="AE35" i="9"/>
  <c r="AE39" i="9"/>
  <c r="AE43" i="9"/>
  <c r="AE47" i="9"/>
  <c r="AE51" i="9"/>
  <c r="AE55" i="9"/>
  <c r="AE59" i="9"/>
  <c r="AE63" i="9"/>
  <c r="AE67" i="9"/>
  <c r="AE71" i="9"/>
  <c r="AE75" i="9"/>
  <c r="AE79" i="9"/>
  <c r="AP50" i="9"/>
  <c r="AP46" i="9"/>
  <c r="AP42" i="9"/>
  <c r="AP38" i="9"/>
  <c r="AP34" i="9"/>
  <c r="AP30" i="9"/>
  <c r="AP26" i="9"/>
  <c r="AP22" i="9"/>
  <c r="AP18" i="9"/>
  <c r="AP14" i="9"/>
  <c r="AP10" i="9"/>
  <c r="AP6" i="9"/>
  <c r="AP16" i="9"/>
  <c r="AO53" i="9"/>
  <c r="AO49" i="9"/>
  <c r="AO45" i="9"/>
  <c r="AO41" i="9"/>
  <c r="AO37" i="9"/>
  <c r="AO33" i="9"/>
  <c r="AO29" i="9"/>
  <c r="AO25" i="9"/>
  <c r="AO21" i="9"/>
  <c r="AO17" i="9"/>
  <c r="AO13" i="9"/>
  <c r="AO9" i="9"/>
  <c r="AO5" i="9"/>
  <c r="AE2" i="9"/>
  <c r="AO2" i="9"/>
  <c r="AN2" i="9"/>
  <c r="F2" i="58" l="1"/>
  <c r="E2" i="58"/>
  <c r="C7" i="58" l="1"/>
  <c r="C6" i="58"/>
  <c r="C5" i="58"/>
  <c r="C4" i="58"/>
  <c r="DD11" i="9" l="1"/>
  <c r="DF2" i="9" a="1"/>
  <c r="DF2" i="9" s="1"/>
  <c r="DF3" i="9" a="1"/>
  <c r="DF3" i="9" s="1"/>
  <c r="DF4" i="9" a="1"/>
  <c r="DF4" i="9" s="1"/>
  <c r="DF5" i="9" a="1"/>
  <c r="DF5" i="9" s="1"/>
  <c r="DF6" i="9" a="1"/>
  <c r="DF6" i="9" s="1"/>
  <c r="DF7" i="9" a="1"/>
  <c r="DF7" i="9" s="1"/>
  <c r="DF8" i="9" a="1"/>
  <c r="DF8" i="9" s="1"/>
  <c r="DF9" i="9" a="1"/>
  <c r="DF9" i="9" s="1"/>
  <c r="DF10" i="9" a="1"/>
  <c r="DF10" i="9" s="1"/>
  <c r="DF11" i="9" a="1"/>
  <c r="DF11" i="9" s="1"/>
  <c r="DF12" i="9" a="1"/>
  <c r="DF12" i="9" s="1"/>
  <c r="DF13" i="9" a="1"/>
  <c r="DF13" i="9" s="1"/>
  <c r="DF14" i="9" a="1"/>
  <c r="DF14" i="9" s="1"/>
  <c r="DF15" i="9" a="1"/>
  <c r="DF15" i="9" s="1"/>
  <c r="DF16" i="9" a="1"/>
  <c r="DF16" i="9" s="1"/>
  <c r="DF17" i="9" a="1"/>
  <c r="DF17" i="9" s="1"/>
  <c r="DF18" i="9" a="1"/>
  <c r="DF18" i="9" s="1"/>
  <c r="DF19" i="9" a="1"/>
  <c r="DF19" i="9" s="1"/>
  <c r="DF20" i="9" a="1"/>
  <c r="DF20" i="9" s="1"/>
  <c r="DF21" i="9" a="1"/>
  <c r="DF21" i="9" s="1"/>
  <c r="DC8" i="9"/>
  <c r="DC5" i="9"/>
  <c r="DC13" i="9"/>
  <c r="DC15" i="9"/>
  <c r="DC17" i="9"/>
  <c r="DC9" i="9"/>
  <c r="DC10" i="9"/>
  <c r="DC11" i="9"/>
  <c r="DC6" i="9"/>
  <c r="DC21" i="9"/>
  <c r="DC7" i="9"/>
  <c r="DC19" i="9"/>
  <c r="DC12" i="9"/>
  <c r="DC16" i="9"/>
  <c r="DC18" i="9"/>
  <c r="DC20" i="9"/>
  <c r="DC2" i="9"/>
  <c r="DC3" i="9"/>
  <c r="DC14" i="9"/>
  <c r="DD6" i="9"/>
  <c r="DD5" i="9"/>
  <c r="DD20" i="9"/>
  <c r="DD2" i="9"/>
  <c r="DD16" i="9"/>
  <c r="DD19" i="9"/>
  <c r="DD4" i="9"/>
  <c r="DD18" i="9"/>
  <c r="DD8" i="9"/>
  <c r="DD12" i="9"/>
  <c r="DD14" i="9"/>
  <c r="DD3" i="9"/>
  <c r="DD15" i="9"/>
  <c r="DD13" i="9"/>
  <c r="DD9" i="9"/>
  <c r="DD17" i="9"/>
  <c r="DD21" i="9"/>
  <c r="DD7" i="9"/>
  <c r="DD10" i="9"/>
  <c r="A29" i="57"/>
  <c r="D16" i="57"/>
  <c r="D14" i="57"/>
  <c r="A35" i="57"/>
  <c r="E21" i="57"/>
  <c r="D22" i="57"/>
  <c r="H8" i="57"/>
  <c r="D15" i="57"/>
  <c r="B37" i="57"/>
  <c r="E20" i="57"/>
  <c r="D17" i="57"/>
  <c r="B31" i="57"/>
  <c r="E15" i="57"/>
  <c r="D11" i="57"/>
  <c r="D20" i="57"/>
  <c r="D21" i="57"/>
  <c r="B33" i="57"/>
  <c r="D31" i="57"/>
  <c r="E12" i="57"/>
  <c r="C31" i="57"/>
  <c r="A31" i="57"/>
  <c r="E17" i="57"/>
  <c r="D29" i="57"/>
  <c r="E19" i="57"/>
  <c r="E16" i="57"/>
  <c r="D13" i="57"/>
  <c r="B29" i="57"/>
  <c r="C29" i="57"/>
  <c r="E14" i="57"/>
  <c r="A37" i="57"/>
  <c r="D12" i="57"/>
  <c r="B35" i="57"/>
  <c r="E22" i="57"/>
  <c r="D19" i="57"/>
  <c r="A33" i="57"/>
  <c r="E13" i="57"/>
  <c r="E11" i="57"/>
  <c r="H7" i="57"/>
  <c r="DH6" i="9" l="1"/>
  <c r="D3" i="57"/>
  <c r="D4" i="57" s="1"/>
  <c r="F3" i="57"/>
  <c r="F4" i="57" s="1"/>
  <c r="E3" i="57"/>
  <c r="E4" i="57" s="1"/>
  <c r="DH10" i="9"/>
  <c r="F29" i="57"/>
  <c r="DH14" i="9"/>
  <c r="DH18" i="9"/>
  <c r="DH3" i="9"/>
  <c r="H17" i="57"/>
  <c r="H15" i="57"/>
  <c r="H16" i="57"/>
  <c r="DH7" i="9"/>
  <c r="DH15" i="9"/>
  <c r="DH4" i="9"/>
  <c r="DH12" i="9"/>
  <c r="DH8" i="9"/>
  <c r="DH16" i="9"/>
  <c r="DH17" i="9"/>
  <c r="DH21" i="9"/>
  <c r="DH9" i="9"/>
  <c r="DH20" i="9"/>
  <c r="DH13" i="9"/>
  <c r="DH19" i="9"/>
  <c r="DH5" i="9"/>
  <c r="DC4" i="9"/>
  <c r="DC22" i="9" s="1"/>
  <c r="DE2" i="9" a="1"/>
  <c r="DE2" i="9" s="1"/>
  <c r="DG2" i="9" s="1"/>
  <c r="DE3" i="9" a="1"/>
  <c r="DE3" i="9" s="1"/>
  <c r="DG3" i="9" s="1"/>
  <c r="DE4" i="9" a="1"/>
  <c r="DE4" i="9" s="1"/>
  <c r="DE5" i="9" a="1"/>
  <c r="DE5" i="9" s="1"/>
  <c r="DG5" i="9" s="1"/>
  <c r="DE6" i="9" a="1"/>
  <c r="DE6" i="9" s="1"/>
  <c r="DG6" i="9" s="1"/>
  <c r="DE7" i="9" a="1"/>
  <c r="DE7" i="9" s="1"/>
  <c r="DG7" i="9" s="1"/>
  <c r="DE8" i="9" a="1"/>
  <c r="DE8" i="9" s="1"/>
  <c r="DG8" i="9" s="1"/>
  <c r="DE9" i="9" a="1"/>
  <c r="DE9" i="9" s="1"/>
  <c r="DG9" i="9" s="1"/>
  <c r="DE10" i="9" a="1"/>
  <c r="DE10" i="9" s="1"/>
  <c r="DG10" i="9" s="1"/>
  <c r="DE11" i="9" a="1"/>
  <c r="DE11" i="9" s="1"/>
  <c r="DG11" i="9" s="1"/>
  <c r="DE12" i="9" a="1"/>
  <c r="DE12" i="9" s="1"/>
  <c r="DG12" i="9" s="1"/>
  <c r="DE13" i="9" a="1"/>
  <c r="DE13" i="9" s="1"/>
  <c r="DG13" i="9" s="1"/>
  <c r="DE14" i="9" a="1"/>
  <c r="DE14" i="9" s="1"/>
  <c r="DG14" i="9" s="1"/>
  <c r="DE15" i="9" a="1"/>
  <c r="DE15" i="9" s="1"/>
  <c r="DG15" i="9" s="1"/>
  <c r="DE16" i="9" a="1"/>
  <c r="DE16" i="9" s="1"/>
  <c r="DG16" i="9" s="1"/>
  <c r="DE17" i="9" a="1"/>
  <c r="DE17" i="9" s="1"/>
  <c r="DG17" i="9" s="1"/>
  <c r="DE18" i="9" a="1"/>
  <c r="DE18" i="9" s="1"/>
  <c r="DG18" i="9" s="1"/>
  <c r="DE19" i="9" a="1"/>
  <c r="DE19" i="9" s="1"/>
  <c r="DG19" i="9" s="1"/>
  <c r="DE20" i="9" a="1"/>
  <c r="DE20" i="9" s="1"/>
  <c r="DG20" i="9" s="1"/>
  <c r="DE21" i="9" a="1"/>
  <c r="DE21" i="9" s="1"/>
  <c r="DG21" i="9" s="1"/>
  <c r="DF22" i="9"/>
  <c r="DH11" i="9"/>
  <c r="DH2" i="9"/>
  <c r="DD22" i="9"/>
  <c r="H2" i="57"/>
  <c r="F22" i="57" l="1"/>
  <c r="DH22" i="9"/>
  <c r="DE22" i="9"/>
  <c r="DG4" i="9"/>
  <c r="DG22" i="9" s="1"/>
  <c r="I16" i="57" l="1"/>
  <c r="G31" i="57"/>
  <c r="G37" i="57"/>
  <c r="G35" i="57"/>
  <c r="G33" i="57"/>
  <c r="H13" i="57" l="1"/>
  <c r="CB3" i="9" a="1"/>
  <c r="CB3" i="9" s="1"/>
  <c r="CB4" i="9" a="1"/>
  <c r="CB4" i="9" s="1"/>
  <c r="CB5" i="9" a="1"/>
  <c r="CB5" i="9" s="1"/>
  <c r="CB6" i="9" a="1"/>
  <c r="CB6" i="9" s="1"/>
  <c r="CB7" i="9" a="1"/>
  <c r="CB7" i="9" s="1"/>
  <c r="CB8" i="9" a="1"/>
  <c r="CB8" i="9" s="1"/>
  <c r="CB9" i="9" a="1"/>
  <c r="CB9" i="9" s="1"/>
  <c r="CB10" i="9" a="1"/>
  <c r="CB10" i="9" s="1"/>
  <c r="CB11" i="9" a="1"/>
  <c r="CB11" i="9" s="1"/>
  <c r="CB12" i="9" a="1"/>
  <c r="CB12" i="9" s="1"/>
  <c r="CB13" i="9" a="1"/>
  <c r="CB13" i="9" s="1"/>
  <c r="CB14" i="9" a="1"/>
  <c r="CB14" i="9" s="1"/>
  <c r="CB15" i="9" a="1"/>
  <c r="CB15" i="9" s="1"/>
  <c r="CB16" i="9" a="1"/>
  <c r="CB16" i="9" s="1"/>
  <c r="CB17" i="9" a="1"/>
  <c r="CB17" i="9" s="1"/>
  <c r="CB18" i="9" a="1"/>
  <c r="CB18" i="9" s="1"/>
  <c r="CB19" i="9" a="1"/>
  <c r="CB19" i="9" s="1"/>
  <c r="CB20" i="9" a="1"/>
  <c r="CB20" i="9" s="1"/>
  <c r="CB21" i="9" a="1"/>
  <c r="CB21" i="9" s="1"/>
  <c r="CB2" i="9" a="1"/>
  <c r="CB2" i="9" s="1"/>
  <c r="CA3" i="9" a="1"/>
  <c r="CA3" i="9" s="1"/>
  <c r="CA4" i="9" a="1"/>
  <c r="CA4" i="9" s="1"/>
  <c r="CA5" i="9" a="1"/>
  <c r="CA5" i="9" s="1"/>
  <c r="CA6" i="9" a="1"/>
  <c r="CA6" i="9" s="1"/>
  <c r="CA7" i="9" a="1"/>
  <c r="CA7" i="9" s="1"/>
  <c r="CA8" i="9" a="1"/>
  <c r="CA8" i="9" s="1"/>
  <c r="CA9" i="9" a="1"/>
  <c r="CA9" i="9" s="1"/>
  <c r="CA10" i="9" a="1"/>
  <c r="CA10" i="9" s="1"/>
  <c r="CA11" i="9" a="1"/>
  <c r="CA11" i="9" s="1"/>
  <c r="CA12" i="9" a="1"/>
  <c r="CA12" i="9" s="1"/>
  <c r="CA13" i="9" a="1"/>
  <c r="CA13" i="9" s="1"/>
  <c r="CA14" i="9" a="1"/>
  <c r="CA14" i="9" s="1"/>
  <c r="CA15" i="9" a="1"/>
  <c r="CA15" i="9" s="1"/>
  <c r="CA16" i="9" a="1"/>
  <c r="CA16" i="9" s="1"/>
  <c r="CA17" i="9" a="1"/>
  <c r="CA17" i="9" s="1"/>
  <c r="CA18" i="9" a="1"/>
  <c r="CA18" i="9" s="1"/>
  <c r="CA19" i="9" a="1"/>
  <c r="CA19" i="9" s="1"/>
  <c r="CA20" i="9" a="1"/>
  <c r="CA20" i="9" s="1"/>
  <c r="CA21" i="9" a="1"/>
  <c r="CA21" i="9" s="1"/>
  <c r="CA2" i="9" a="1"/>
  <c r="CA2" i="9" s="1"/>
  <c r="BZ3" i="9"/>
  <c r="BZ4" i="9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" i="9"/>
  <c r="BY3" i="9"/>
  <c r="BY4" i="9"/>
  <c r="BY5" i="9"/>
  <c r="BY6" i="9"/>
  <c r="BY7" i="9"/>
  <c r="BY8" i="9"/>
  <c r="BY9" i="9"/>
  <c r="BY10" i="9"/>
  <c r="BY11" i="9"/>
  <c r="BY12" i="9"/>
  <c r="BY13" i="9"/>
  <c r="BY14" i="9"/>
  <c r="BY15" i="9"/>
  <c r="BY16" i="9"/>
  <c r="BY17" i="9"/>
  <c r="BY18" i="9"/>
  <c r="BY19" i="9"/>
  <c r="BY20" i="9"/>
  <c r="BY21" i="9"/>
  <c r="BY2" i="9"/>
  <c r="BN3" i="9" a="1"/>
  <c r="BN3" i="9" s="1"/>
  <c r="BN4" i="9" a="1"/>
  <c r="BN4" i="9" s="1"/>
  <c r="BN5" i="9" a="1"/>
  <c r="BN5" i="9" s="1"/>
  <c r="BN6" i="9" a="1"/>
  <c r="BN6" i="9" s="1"/>
  <c r="BN7" i="9" a="1"/>
  <c r="BN7" i="9" s="1"/>
  <c r="BN8" i="9" a="1"/>
  <c r="BN8" i="9" s="1"/>
  <c r="BN9" i="9" a="1"/>
  <c r="BN9" i="9" s="1"/>
  <c r="BN10" i="9" a="1"/>
  <c r="BN10" i="9" s="1"/>
  <c r="BN11" i="9" a="1"/>
  <c r="BN11" i="9" s="1"/>
  <c r="BN12" i="9" a="1"/>
  <c r="BN12" i="9" s="1"/>
  <c r="BN13" i="9" a="1"/>
  <c r="BN13" i="9" s="1"/>
  <c r="BN15" i="9" a="1"/>
  <c r="BN15" i="9" s="1"/>
  <c r="BN16" i="9" a="1"/>
  <c r="BN16" i="9" s="1"/>
  <c r="BN17" i="9" a="1"/>
  <c r="BN17" i="9" s="1"/>
  <c r="BN18" i="9" a="1"/>
  <c r="BN18" i="9" s="1"/>
  <c r="BN19" i="9" a="1"/>
  <c r="BN19" i="9" s="1"/>
  <c r="BN20" i="9" a="1"/>
  <c r="BN20" i="9" s="1"/>
  <c r="BN21" i="9" a="1"/>
  <c r="BN21" i="9" s="1"/>
  <c r="BN2" i="9" a="1"/>
  <c r="BN2" i="9" s="1"/>
  <c r="BM3" i="9" a="1"/>
  <c r="BM3" i="9" s="1"/>
  <c r="BM4" i="9" a="1"/>
  <c r="BM4" i="9" s="1"/>
  <c r="BM5" i="9" a="1"/>
  <c r="BM5" i="9" s="1"/>
  <c r="BM6" i="9" a="1"/>
  <c r="BM6" i="9" s="1"/>
  <c r="BM7" i="9" a="1"/>
  <c r="BM7" i="9" s="1"/>
  <c r="BM9" i="9" a="1"/>
  <c r="BM9" i="9" s="1"/>
  <c r="BM10" i="9" a="1"/>
  <c r="BM10" i="9" s="1"/>
  <c r="BM11" i="9" a="1"/>
  <c r="BM11" i="9" s="1"/>
  <c r="BM12" i="9" a="1"/>
  <c r="BM12" i="9" s="1"/>
  <c r="BM13" i="9" a="1"/>
  <c r="BM13" i="9" s="1"/>
  <c r="BM14" i="9" a="1"/>
  <c r="BM14" i="9" s="1"/>
  <c r="BM15" i="9" a="1"/>
  <c r="BM15" i="9" s="1"/>
  <c r="BM16" i="9" a="1"/>
  <c r="BM16" i="9" s="1"/>
  <c r="BM17" i="9" a="1"/>
  <c r="BM17" i="9" s="1"/>
  <c r="BM18" i="9" a="1"/>
  <c r="BM18" i="9" s="1"/>
  <c r="BM19" i="9" a="1"/>
  <c r="BM19" i="9" s="1"/>
  <c r="BM20" i="9" a="1"/>
  <c r="BM20" i="9" s="1"/>
  <c r="BM21" i="9" a="1"/>
  <c r="BM21" i="9" s="1"/>
  <c r="BM2" i="9" a="1"/>
  <c r="BM2" i="9" s="1"/>
  <c r="BL3" i="9"/>
  <c r="BL4" i="9"/>
  <c r="BL5" i="9"/>
  <c r="BL6" i="9"/>
  <c r="BL7" i="9"/>
  <c r="BL8" i="9"/>
  <c r="BL9" i="9"/>
  <c r="BL10" i="9"/>
  <c r="BL11" i="9"/>
  <c r="BL12" i="9"/>
  <c r="BL13" i="9"/>
  <c r="BL14" i="9"/>
  <c r="BP14" i="9" s="1"/>
  <c r="BL15" i="9"/>
  <c r="BL16" i="9"/>
  <c r="BL17" i="9"/>
  <c r="BL18" i="9"/>
  <c r="BL19" i="9"/>
  <c r="BL20" i="9"/>
  <c r="BL21" i="9"/>
  <c r="BL2" i="9"/>
  <c r="BK3" i="9"/>
  <c r="BK4" i="9"/>
  <c r="BK5" i="9"/>
  <c r="BK6" i="9"/>
  <c r="BK7" i="9"/>
  <c r="BK8" i="9"/>
  <c r="BK9" i="9"/>
  <c r="BK10" i="9"/>
  <c r="BK11" i="9"/>
  <c r="BK12" i="9"/>
  <c r="BK13" i="9"/>
  <c r="BK14" i="9"/>
  <c r="BK15" i="9"/>
  <c r="BK16" i="9"/>
  <c r="BK17" i="9"/>
  <c r="BK18" i="9"/>
  <c r="BK19" i="9"/>
  <c r="BK20" i="9"/>
  <c r="BK21" i="9"/>
  <c r="BK2" i="9"/>
  <c r="BG3" i="9" a="1"/>
  <c r="BG3" i="9" s="1"/>
  <c r="BG4" i="9" a="1"/>
  <c r="BG4" i="9" s="1"/>
  <c r="BG5" i="9" a="1"/>
  <c r="BG5" i="9" s="1"/>
  <c r="BG6" i="9" a="1"/>
  <c r="BG6" i="9" s="1"/>
  <c r="BG7" i="9" a="1"/>
  <c r="BG7" i="9" s="1"/>
  <c r="BG8" i="9" a="1"/>
  <c r="BG8" i="9" s="1"/>
  <c r="BG9" i="9" a="1"/>
  <c r="BG9" i="9" s="1"/>
  <c r="BG10" i="9" a="1"/>
  <c r="BG10" i="9" s="1"/>
  <c r="BG11" i="9" a="1"/>
  <c r="BG11" i="9" s="1"/>
  <c r="BG12" i="9" a="1"/>
  <c r="BG12" i="9" s="1"/>
  <c r="BG13" i="9" a="1"/>
  <c r="BG13" i="9" s="1"/>
  <c r="BG15" i="9" a="1"/>
  <c r="BG15" i="9" s="1"/>
  <c r="BG16" i="9" a="1"/>
  <c r="BG16" i="9" s="1"/>
  <c r="BG17" i="9" a="1"/>
  <c r="BG17" i="9" s="1"/>
  <c r="BG18" i="9" a="1"/>
  <c r="BG18" i="9" s="1"/>
  <c r="BG19" i="9" a="1"/>
  <c r="BG19" i="9" s="1"/>
  <c r="BG20" i="9" a="1"/>
  <c r="BG20" i="9" s="1"/>
  <c r="BG21" i="9" a="1"/>
  <c r="BG21" i="9" s="1"/>
  <c r="BG2" i="9" a="1"/>
  <c r="BG2" i="9" s="1"/>
  <c r="BF3" i="9" a="1"/>
  <c r="BF3" i="9" s="1"/>
  <c r="BF4" i="9" a="1"/>
  <c r="BF4" i="9" s="1"/>
  <c r="BF5" i="9" a="1"/>
  <c r="BF5" i="9" s="1"/>
  <c r="BF6" i="9" a="1"/>
  <c r="BF6" i="9" s="1"/>
  <c r="BF7" i="9" a="1"/>
  <c r="BF7" i="9" s="1"/>
  <c r="BF9" i="9" a="1"/>
  <c r="BF9" i="9" s="1"/>
  <c r="BF10" i="9" a="1"/>
  <c r="BF10" i="9" s="1"/>
  <c r="BF11" i="9" a="1"/>
  <c r="BF11" i="9" s="1"/>
  <c r="BF12" i="9" a="1"/>
  <c r="BF12" i="9" s="1"/>
  <c r="BF13" i="9" a="1"/>
  <c r="BF13" i="9" s="1"/>
  <c r="BF14" i="9" a="1"/>
  <c r="BF14" i="9" s="1"/>
  <c r="BF15" i="9" a="1"/>
  <c r="BF15" i="9" s="1"/>
  <c r="BF16" i="9" a="1"/>
  <c r="BF16" i="9" s="1"/>
  <c r="BF17" i="9" a="1"/>
  <c r="BF17" i="9" s="1"/>
  <c r="BF18" i="9" a="1"/>
  <c r="BF18" i="9" s="1"/>
  <c r="BF19" i="9" a="1"/>
  <c r="BF19" i="9" s="1"/>
  <c r="BF20" i="9" a="1"/>
  <c r="BF20" i="9" s="1"/>
  <c r="BF21" i="9" a="1"/>
  <c r="BF21" i="9" s="1"/>
  <c r="BF2" i="9" a="1"/>
  <c r="BF2" i="9" s="1"/>
  <c r="BE3" i="9"/>
  <c r="BE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8" i="9"/>
  <c r="BE19" i="9"/>
  <c r="BE20" i="9"/>
  <c r="BE21" i="9"/>
  <c r="BE2" i="9"/>
  <c r="BD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" i="9"/>
  <c r="I13" i="57"/>
  <c r="H12" i="57"/>
  <c r="H9" i="57"/>
  <c r="BI4" i="9" l="1"/>
  <c r="BO20" i="9"/>
  <c r="BI15" i="9"/>
  <c r="BI12" i="9"/>
  <c r="BO7" i="9"/>
  <c r="I12" i="57"/>
  <c r="D5" i="57" l="1"/>
  <c r="E5" i="57"/>
  <c r="H11" i="57"/>
  <c r="E31" i="57"/>
  <c r="BN22" i="9"/>
  <c r="D37" i="57" s="1"/>
  <c r="BM22" i="9"/>
  <c r="C37" i="57" s="1"/>
  <c r="BL22" i="9"/>
  <c r="BG22" i="9"/>
  <c r="D35" i="57" s="1"/>
  <c r="BF22" i="9"/>
  <c r="C35" i="57" s="1"/>
  <c r="BE22" i="9"/>
  <c r="BD22" i="9"/>
  <c r="I11" i="57"/>
  <c r="E8" i="57" l="1"/>
  <c r="D8" i="57"/>
  <c r="AU2" i="9" a="1"/>
  <c r="AU2" i="9" s="1"/>
  <c r="AU3" i="9" a="1"/>
  <c r="AU3" i="9" s="1"/>
  <c r="AU4" i="9" a="1"/>
  <c r="AU4" i="9" s="1"/>
  <c r="AU5" i="9" a="1"/>
  <c r="AU5" i="9" s="1"/>
  <c r="AU6" i="9" a="1"/>
  <c r="AU6" i="9" s="1"/>
  <c r="AU7" i="9" a="1"/>
  <c r="AU7" i="9" s="1"/>
  <c r="AU8" i="9" a="1"/>
  <c r="AU8" i="9" s="1"/>
  <c r="AU9" i="9" a="1"/>
  <c r="AU9" i="9" s="1"/>
  <c r="AU10" i="9" a="1"/>
  <c r="AU10" i="9" s="1"/>
  <c r="AU11" i="9" a="1"/>
  <c r="AU11" i="9" s="1"/>
  <c r="AU12" i="9" a="1"/>
  <c r="AU12" i="9" s="1"/>
  <c r="AU13" i="9" a="1"/>
  <c r="AU13" i="9" s="1"/>
  <c r="AU14" i="9" a="1"/>
  <c r="AU14" i="9" s="1"/>
  <c r="AU15" i="9" a="1"/>
  <c r="AU15" i="9" s="1"/>
  <c r="AU16" i="9" a="1"/>
  <c r="AU16" i="9" s="1"/>
  <c r="AU17" i="9" a="1"/>
  <c r="AU17" i="9" s="1"/>
  <c r="AU18" i="9" a="1"/>
  <c r="AU18" i="9" s="1"/>
  <c r="AU19" i="9" a="1"/>
  <c r="AU19" i="9" s="1"/>
  <c r="AU20" i="9" a="1"/>
  <c r="AU20" i="9" s="1"/>
  <c r="AU21" i="9" a="1"/>
  <c r="AU21" i="9" s="1"/>
  <c r="AT2" i="9" a="1"/>
  <c r="AT2" i="9" s="1"/>
  <c r="AT3" i="9" a="1"/>
  <c r="AT3" i="9" s="1"/>
  <c r="AT4" i="9" a="1"/>
  <c r="AT4" i="9" s="1"/>
  <c r="AT5" i="9" a="1"/>
  <c r="AT5" i="9" s="1"/>
  <c r="AT6" i="9" a="1"/>
  <c r="AT6" i="9" s="1"/>
  <c r="AT7" i="9" a="1"/>
  <c r="AT7" i="9" s="1"/>
  <c r="AT8" i="9" a="1"/>
  <c r="AT8" i="9" s="1"/>
  <c r="AT9" i="9" a="1"/>
  <c r="AT9" i="9" s="1"/>
  <c r="AT10" i="9" a="1"/>
  <c r="AT10" i="9" s="1"/>
  <c r="AT11" i="9" a="1"/>
  <c r="AT11" i="9" s="1"/>
  <c r="AT12" i="9" a="1"/>
  <c r="AT12" i="9" s="1"/>
  <c r="AT13" i="9" a="1"/>
  <c r="AT13" i="9" s="1"/>
  <c r="AT14" i="9" a="1"/>
  <c r="AT14" i="9" s="1"/>
  <c r="AT15" i="9" a="1"/>
  <c r="AT15" i="9" s="1"/>
  <c r="AT16" i="9" a="1"/>
  <c r="AT16" i="9" s="1"/>
  <c r="AT17" i="9" a="1"/>
  <c r="AT17" i="9" s="1"/>
  <c r="AT18" i="9" a="1"/>
  <c r="AT18" i="9" s="1"/>
  <c r="AT19" i="9" a="1"/>
  <c r="AT19" i="9" s="1"/>
  <c r="AT20" i="9" a="1"/>
  <c r="AT20" i="9" s="1"/>
  <c r="AT21" i="9" a="1"/>
  <c r="AT21" i="9" s="1"/>
  <c r="CY2" i="9" a="1"/>
  <c r="CY2" i="9" s="1"/>
  <c r="CY3" i="9" a="1"/>
  <c r="CY3" i="9" s="1"/>
  <c r="CY4" i="9" a="1"/>
  <c r="CY4" i="9" s="1"/>
  <c r="CY5" i="9" a="1"/>
  <c r="CY5" i="9" s="1"/>
  <c r="CY6" i="9" a="1"/>
  <c r="CY6" i="9" s="1"/>
  <c r="CY7" i="9" a="1"/>
  <c r="CY7" i="9" s="1"/>
  <c r="CY8" i="9" a="1"/>
  <c r="CY8" i="9" s="1"/>
  <c r="CY9" i="9" a="1"/>
  <c r="CY9" i="9" s="1"/>
  <c r="CY10" i="9" a="1"/>
  <c r="CY10" i="9" s="1"/>
  <c r="CY11" i="9" a="1"/>
  <c r="CY11" i="9" s="1"/>
  <c r="CY12" i="9" a="1"/>
  <c r="CY12" i="9" s="1"/>
  <c r="CY13" i="9" a="1"/>
  <c r="CY13" i="9" s="1"/>
  <c r="CY14" i="9" a="1"/>
  <c r="CY14" i="9" s="1"/>
  <c r="CY15" i="9" a="1"/>
  <c r="CY15" i="9" s="1"/>
  <c r="CY16" i="9" a="1"/>
  <c r="CY16" i="9" s="1"/>
  <c r="CY17" i="9" a="1"/>
  <c r="CY17" i="9" s="1"/>
  <c r="CY18" i="9" a="1"/>
  <c r="CY18" i="9" s="1"/>
  <c r="CY19" i="9" a="1"/>
  <c r="CY19" i="9" s="1"/>
  <c r="CY20" i="9" a="1"/>
  <c r="CY20" i="9" s="1"/>
  <c r="CY21" i="9" a="1"/>
  <c r="CY21" i="9" s="1"/>
  <c r="CX2" i="9" a="1"/>
  <c r="CX2" i="9" s="1"/>
  <c r="CX3" i="9" a="1"/>
  <c r="CX3" i="9" s="1"/>
  <c r="CX4" i="9" a="1"/>
  <c r="CX4" i="9" s="1"/>
  <c r="CX5" i="9" a="1"/>
  <c r="CX5" i="9" s="1"/>
  <c r="CX6" i="9" a="1"/>
  <c r="CX6" i="9" s="1"/>
  <c r="CX7" i="9" a="1"/>
  <c r="CX7" i="9" s="1"/>
  <c r="CX8" i="9" a="1"/>
  <c r="CX8" i="9" s="1"/>
  <c r="CX9" i="9" a="1"/>
  <c r="CX9" i="9" s="1"/>
  <c r="CX10" i="9" a="1"/>
  <c r="CX10" i="9" s="1"/>
  <c r="CX11" i="9" a="1"/>
  <c r="CX11" i="9" s="1"/>
  <c r="CX12" i="9" a="1"/>
  <c r="CX12" i="9" s="1"/>
  <c r="CX13" i="9" a="1"/>
  <c r="CX13" i="9" s="1"/>
  <c r="CX14" i="9" a="1"/>
  <c r="CX14" i="9" s="1"/>
  <c r="CX15" i="9" a="1"/>
  <c r="CX15" i="9" s="1"/>
  <c r="CX16" i="9" a="1"/>
  <c r="CX16" i="9" s="1"/>
  <c r="CX17" i="9" a="1"/>
  <c r="CX17" i="9" s="1"/>
  <c r="CX18" i="9" a="1"/>
  <c r="CX18" i="9" s="1"/>
  <c r="CX19" i="9" a="1"/>
  <c r="CX19" i="9" s="1"/>
  <c r="CX20" i="9" a="1"/>
  <c r="CX20" i="9" s="1"/>
  <c r="CX21" i="9" a="1"/>
  <c r="CX21" i="9" s="1"/>
  <c r="CW9" i="9"/>
  <c r="CV15" i="9"/>
  <c r="CT7" i="9"/>
  <c r="CS9" i="9"/>
  <c r="CT15" i="9"/>
  <c r="CS17" i="9"/>
  <c r="CT4" i="9"/>
  <c r="CS8" i="9"/>
  <c r="CT5" i="9"/>
  <c r="CS3" i="9"/>
  <c r="CT21" i="9"/>
  <c r="CS13" i="9"/>
  <c r="CT11" i="9"/>
  <c r="CS20" i="9"/>
  <c r="CT14" i="9"/>
  <c r="CS12" i="9"/>
  <c r="CT6" i="9"/>
  <c r="CS10" i="9"/>
  <c r="CT18" i="9"/>
  <c r="CS2" i="9"/>
  <c r="CT19" i="9"/>
  <c r="CS16" i="9"/>
  <c r="CT8" i="9"/>
  <c r="CS18" i="9"/>
  <c r="CT3" i="9"/>
  <c r="CS21" i="9"/>
  <c r="CT2" i="9"/>
  <c r="CS6" i="9"/>
  <c r="CT12" i="9"/>
  <c r="CS15" i="9"/>
  <c r="CT10" i="9"/>
  <c r="CS7" i="9"/>
  <c r="CT17" i="9"/>
  <c r="CS5" i="9"/>
  <c r="CT16" i="9"/>
  <c r="CS11" i="9"/>
  <c r="CT9" i="9"/>
  <c r="CS19" i="9"/>
  <c r="CT13" i="9"/>
  <c r="CS4" i="9"/>
  <c r="CT20" i="9"/>
  <c r="CS14" i="9"/>
  <c r="CQ7" i="9"/>
  <c r="CP9" i="9"/>
  <c r="CQ15" i="9"/>
  <c r="CP17" i="9"/>
  <c r="CQ4" i="9"/>
  <c r="CP8" i="9"/>
  <c r="CQ5" i="9"/>
  <c r="CP3" i="9"/>
  <c r="CQ21" i="9"/>
  <c r="CP13" i="9"/>
  <c r="CQ11" i="9"/>
  <c r="CP20" i="9"/>
  <c r="CQ14" i="9"/>
  <c r="CP12" i="9"/>
  <c r="CQ6" i="9"/>
  <c r="CP10" i="9"/>
  <c r="CQ18" i="9"/>
  <c r="CP2" i="9"/>
  <c r="CQ19" i="9"/>
  <c r="CP16" i="9"/>
  <c r="CQ8" i="9"/>
  <c r="CP18" i="9"/>
  <c r="CQ3" i="9"/>
  <c r="CP21" i="9"/>
  <c r="CQ2" i="9"/>
  <c r="CP6" i="9"/>
  <c r="CQ12" i="9"/>
  <c r="CP15" i="9"/>
  <c r="CQ10" i="9"/>
  <c r="CP7" i="9"/>
  <c r="CQ17" i="9"/>
  <c r="CP5" i="9"/>
  <c r="CQ16" i="9"/>
  <c r="CP11" i="9"/>
  <c r="CQ9" i="9"/>
  <c r="CP19" i="9"/>
  <c r="CQ13" i="9"/>
  <c r="CP4" i="9"/>
  <c r="CQ20" i="9"/>
  <c r="CP14" i="9"/>
  <c r="CO7" i="9"/>
  <c r="CN9" i="9"/>
  <c r="CO15" i="9"/>
  <c r="CN17" i="9"/>
  <c r="CO4" i="9"/>
  <c r="CN8" i="9"/>
  <c r="CO5" i="9"/>
  <c r="CN3" i="9"/>
  <c r="CO21" i="9"/>
  <c r="CN13" i="9"/>
  <c r="CO11" i="9"/>
  <c r="CN20" i="9"/>
  <c r="CO14" i="9"/>
  <c r="CN12" i="9"/>
  <c r="CO6" i="9"/>
  <c r="CN10" i="9"/>
  <c r="CO18" i="9"/>
  <c r="CN2" i="9"/>
  <c r="CO19" i="9"/>
  <c r="CN16" i="9"/>
  <c r="CO8" i="9"/>
  <c r="CN18" i="9"/>
  <c r="CO3" i="9"/>
  <c r="CN21" i="9"/>
  <c r="CO2" i="9"/>
  <c r="CN6" i="9"/>
  <c r="CO12" i="9"/>
  <c r="CN15" i="9"/>
  <c r="CO10" i="9"/>
  <c r="CN7" i="9"/>
  <c r="CO17" i="9"/>
  <c r="CN5" i="9"/>
  <c r="CO16" i="9"/>
  <c r="CN11" i="9"/>
  <c r="CO9" i="9"/>
  <c r="CN19" i="9"/>
  <c r="CO13" i="9"/>
  <c r="CN4" i="9"/>
  <c r="CO20" i="9"/>
  <c r="CN14" i="9"/>
  <c r="CM7" i="9"/>
  <c r="CL9" i="9"/>
  <c r="CM15" i="9"/>
  <c r="CL17" i="9"/>
  <c r="CM4" i="9"/>
  <c r="CL8" i="9"/>
  <c r="CM5" i="9"/>
  <c r="CL3" i="9"/>
  <c r="CM21" i="9"/>
  <c r="CL13" i="9"/>
  <c r="CM11" i="9"/>
  <c r="CL20" i="9"/>
  <c r="CM14" i="9"/>
  <c r="CL12" i="9"/>
  <c r="CM6" i="9"/>
  <c r="CL10" i="9"/>
  <c r="CM18" i="9"/>
  <c r="CL2" i="9"/>
  <c r="CM19" i="9"/>
  <c r="CL16" i="9"/>
  <c r="CM8" i="9"/>
  <c r="CL18" i="9"/>
  <c r="CM3" i="9"/>
  <c r="CL21" i="9"/>
  <c r="CM2" i="9"/>
  <c r="CL6" i="9"/>
  <c r="CM12" i="9"/>
  <c r="CL15" i="9"/>
  <c r="CM10" i="9"/>
  <c r="CL7" i="9"/>
  <c r="CM17" i="9"/>
  <c r="CL5" i="9"/>
  <c r="CM16" i="9"/>
  <c r="CL11" i="9"/>
  <c r="CM9" i="9"/>
  <c r="CL19" i="9"/>
  <c r="CM13" i="9"/>
  <c r="CL4" i="9"/>
  <c r="CM20" i="9"/>
  <c r="CL14" i="9"/>
  <c r="CK7" i="9"/>
  <c r="CJ9" i="9"/>
  <c r="CK15" i="9"/>
  <c r="CJ17" i="9"/>
  <c r="CK4" i="9"/>
  <c r="CJ8" i="9"/>
  <c r="CK5" i="9"/>
  <c r="CJ3" i="9"/>
  <c r="CK21" i="9"/>
  <c r="CJ13" i="9"/>
  <c r="CK11" i="9"/>
  <c r="CJ20" i="9"/>
  <c r="CK14" i="9"/>
  <c r="CJ12" i="9"/>
  <c r="CK6" i="9"/>
  <c r="CJ10" i="9"/>
  <c r="CK18" i="9"/>
  <c r="CJ2" i="9"/>
  <c r="CK19" i="9"/>
  <c r="CJ16" i="9"/>
  <c r="CK8" i="9"/>
  <c r="CJ18" i="9"/>
  <c r="CK3" i="9"/>
  <c r="CJ21" i="9"/>
  <c r="CK2" i="9"/>
  <c r="CJ6" i="9"/>
  <c r="CK12" i="9"/>
  <c r="CJ15" i="9"/>
  <c r="CK10" i="9"/>
  <c r="CJ7" i="9"/>
  <c r="CK17" i="9"/>
  <c r="CJ5" i="9"/>
  <c r="CK16" i="9"/>
  <c r="CJ11" i="9"/>
  <c r="CK9" i="9"/>
  <c r="CJ19" i="9"/>
  <c r="CK13" i="9"/>
  <c r="CJ4" i="9"/>
  <c r="CK20" i="9"/>
  <c r="CJ14" i="9"/>
  <c r="CI7" i="9"/>
  <c r="CH9" i="9"/>
  <c r="CI15" i="9"/>
  <c r="CH17" i="9"/>
  <c r="CI4" i="9"/>
  <c r="CH8" i="9"/>
  <c r="CI5" i="9"/>
  <c r="CH3" i="9"/>
  <c r="CI21" i="9"/>
  <c r="CH13" i="9"/>
  <c r="CI11" i="9"/>
  <c r="CH20" i="9"/>
  <c r="CI14" i="9"/>
  <c r="CH12" i="9"/>
  <c r="CI6" i="9"/>
  <c r="CH10" i="9"/>
  <c r="CI18" i="9"/>
  <c r="CH2" i="9"/>
  <c r="CI19" i="9"/>
  <c r="CH16" i="9"/>
  <c r="CI8" i="9"/>
  <c r="CH18" i="9"/>
  <c r="CI3" i="9"/>
  <c r="CH21" i="9"/>
  <c r="CI2" i="9"/>
  <c r="CH6" i="9"/>
  <c r="CI12" i="9"/>
  <c r="CH15" i="9"/>
  <c r="CI10" i="9"/>
  <c r="CH7" i="9"/>
  <c r="CI17" i="9"/>
  <c r="CH5" i="9"/>
  <c r="CI16" i="9"/>
  <c r="CH11" i="9"/>
  <c r="CI9" i="9"/>
  <c r="CH19" i="9"/>
  <c r="CI13" i="9"/>
  <c r="CH4" i="9"/>
  <c r="CI20" i="9"/>
  <c r="CH14" i="9"/>
  <c r="CG7" i="9"/>
  <c r="CF9" i="9"/>
  <c r="CG15" i="9"/>
  <c r="CF17" i="9"/>
  <c r="CG4" i="9"/>
  <c r="CF8" i="9"/>
  <c r="CG5" i="9"/>
  <c r="CF3" i="9"/>
  <c r="CG21" i="9"/>
  <c r="CF13" i="9"/>
  <c r="CG11" i="9"/>
  <c r="CF20" i="9"/>
  <c r="CG14" i="9"/>
  <c r="CF12" i="9"/>
  <c r="CG6" i="9"/>
  <c r="CF10" i="9"/>
  <c r="CG18" i="9"/>
  <c r="CF2" i="9"/>
  <c r="CG19" i="9"/>
  <c r="CF16" i="9"/>
  <c r="CG8" i="9"/>
  <c r="CF18" i="9"/>
  <c r="CG3" i="9"/>
  <c r="CF21" i="9"/>
  <c r="CG2" i="9"/>
  <c r="CF6" i="9"/>
  <c r="CG12" i="9"/>
  <c r="CF15" i="9"/>
  <c r="CG10" i="9"/>
  <c r="CF7" i="9"/>
  <c r="CG17" i="9"/>
  <c r="CF5" i="9"/>
  <c r="CG16" i="9"/>
  <c r="CF11" i="9"/>
  <c r="CG9" i="9"/>
  <c r="CF19" i="9"/>
  <c r="CG13" i="9"/>
  <c r="CF4" i="9"/>
  <c r="CG20" i="9"/>
  <c r="CF14" i="9"/>
  <c r="AZ9" i="9"/>
  <c r="BA4" i="9"/>
  <c r="BA5" i="9"/>
  <c r="BA6" i="9"/>
  <c r="AZ10" i="9"/>
  <c r="BA19" i="9"/>
  <c r="BA8" i="9"/>
  <c r="AZ21" i="9"/>
  <c r="AZ7" i="9"/>
  <c r="BA13" i="9"/>
  <c r="AZ14" i="9"/>
  <c r="AY9" i="9"/>
  <c r="BB4" i="9"/>
  <c r="BB5" i="9"/>
  <c r="BB6" i="9"/>
  <c r="AY10" i="9"/>
  <c r="BB19" i="9"/>
  <c r="BB8" i="9"/>
  <c r="AY21" i="9"/>
  <c r="AY7" i="9"/>
  <c r="BB13" i="9"/>
  <c r="AY14" i="9"/>
  <c r="DO9" i="9"/>
  <c r="DP4" i="9"/>
  <c r="DP5" i="9"/>
  <c r="DP6" i="9"/>
  <c r="DO10" i="9"/>
  <c r="DP19" i="9"/>
  <c r="DP8" i="9"/>
  <c r="DO21" i="9"/>
  <c r="DO7" i="9"/>
  <c r="DP13" i="9"/>
  <c r="DO14" i="9"/>
  <c r="DN4" i="9"/>
  <c r="DN5" i="9"/>
  <c r="DN6" i="9"/>
  <c r="DN19" i="9"/>
  <c r="DN8" i="9"/>
  <c r="DN13" i="9"/>
  <c r="DM9" i="9"/>
  <c r="DM10" i="9"/>
  <c r="DM21" i="9"/>
  <c r="DM7" i="9"/>
  <c r="DM14" i="9"/>
  <c r="CW7" i="9"/>
  <c r="CW15" i="9"/>
  <c r="CW4" i="9"/>
  <c r="CW5" i="9"/>
  <c r="CW21" i="9"/>
  <c r="CW11" i="9"/>
  <c r="DA11" i="9" s="1"/>
  <c r="CW14" i="9"/>
  <c r="DA14" i="9" s="1"/>
  <c r="CW6" i="9"/>
  <c r="CW18" i="9"/>
  <c r="CW19" i="9"/>
  <c r="CW8" i="9"/>
  <c r="CW3" i="9"/>
  <c r="DA3" i="9" s="1"/>
  <c r="CW2" i="9"/>
  <c r="DA2" i="9" s="1"/>
  <c r="CW12" i="9"/>
  <c r="CW10" i="9"/>
  <c r="DA10" i="9" s="1"/>
  <c r="CW17" i="9"/>
  <c r="CW16" i="9"/>
  <c r="CW13" i="9"/>
  <c r="DA13" i="9" s="1"/>
  <c r="CW20" i="9"/>
  <c r="CV9" i="9"/>
  <c r="CV17" i="9"/>
  <c r="CV8" i="9"/>
  <c r="CV3" i="9"/>
  <c r="CV13" i="9"/>
  <c r="CV20" i="9"/>
  <c r="CV12" i="9"/>
  <c r="CV10" i="9"/>
  <c r="CV2" i="9"/>
  <c r="CZ2" i="9" s="1"/>
  <c r="CV16" i="9"/>
  <c r="CV18" i="9"/>
  <c r="CV21" i="9"/>
  <c r="CV6" i="9"/>
  <c r="CZ6" i="9" s="1"/>
  <c r="CV7" i="9"/>
  <c r="CV5" i="9"/>
  <c r="CV11" i="9"/>
  <c r="CV19" i="9"/>
  <c r="CV4" i="9"/>
  <c r="CZ4" i="9" s="1"/>
  <c r="CV14" i="9"/>
  <c r="AS4" i="9"/>
  <c r="AS5" i="9"/>
  <c r="AS6" i="9"/>
  <c r="AS19" i="9"/>
  <c r="AS8" i="9"/>
  <c r="AS13" i="9"/>
  <c r="AR9" i="9"/>
  <c r="AR10" i="9"/>
  <c r="AR21" i="9"/>
  <c r="AR7" i="9"/>
  <c r="AR14" i="9"/>
  <c r="AS18" i="9"/>
  <c r="DM5" i="9"/>
  <c r="DP18" i="9"/>
  <c r="BB18" i="9"/>
  <c r="BA18" i="9"/>
  <c r="AR11" i="9"/>
  <c r="DN9" i="9"/>
  <c r="DO11" i="9"/>
  <c r="AY11" i="9"/>
  <c r="AZ11" i="9"/>
  <c r="AR17" i="9"/>
  <c r="AS15" i="9"/>
  <c r="AR12" i="9"/>
  <c r="DN16" i="9"/>
  <c r="DO12" i="9"/>
  <c r="AY12" i="9"/>
  <c r="AZ12" i="9"/>
  <c r="DN14" i="9"/>
  <c r="DM8" i="9"/>
  <c r="AS20" i="9"/>
  <c r="DM20" i="9"/>
  <c r="DP20" i="9"/>
  <c r="BB20" i="9"/>
  <c r="BA20" i="9"/>
  <c r="AR16" i="9"/>
  <c r="AS3" i="9"/>
  <c r="AR2" i="9"/>
  <c r="DN17" i="9"/>
  <c r="DO2" i="9"/>
  <c r="AY2" i="9"/>
  <c r="AZ2" i="9"/>
  <c r="DM6" i="9"/>
  <c r="DN11" i="9"/>
  <c r="DA16" i="9" l="1"/>
  <c r="CZ14" i="9"/>
  <c r="CZ18" i="9"/>
  <c r="CZ10" i="9"/>
  <c r="DA18" i="9"/>
  <c r="DA6" i="9"/>
  <c r="CZ19" i="9"/>
  <c r="DA7" i="9"/>
  <c r="CZ5" i="9"/>
  <c r="CZ16" i="9"/>
  <c r="CZ20" i="9"/>
  <c r="CZ11" i="9"/>
  <c r="DA15" i="9"/>
  <c r="CZ15" i="9"/>
  <c r="DA19" i="9"/>
  <c r="CZ7" i="9"/>
  <c r="CZ3" i="9"/>
  <c r="DA21" i="9"/>
  <c r="CZ17" i="9"/>
  <c r="CZ9" i="9"/>
  <c r="DA5" i="9"/>
  <c r="CZ13" i="9"/>
  <c r="DA17" i="9"/>
  <c r="CZ21" i="9"/>
  <c r="DA9" i="9"/>
  <c r="CZ12" i="9"/>
  <c r="CZ8" i="9"/>
  <c r="DA12" i="9"/>
  <c r="DA20" i="9"/>
  <c r="DA8" i="9"/>
  <c r="DA4" i="9"/>
  <c r="AW20" i="9"/>
  <c r="AW19" i="9"/>
  <c r="AW18" i="9"/>
  <c r="AW15" i="9"/>
  <c r="AW13" i="9"/>
  <c r="AW8" i="9"/>
  <c r="AW6" i="9"/>
  <c r="AW5" i="9"/>
  <c r="AW4" i="9"/>
  <c r="AW3" i="9"/>
  <c r="AU22" i="9"/>
  <c r="AV21" i="9"/>
  <c r="AV17" i="9"/>
  <c r="AV16" i="9"/>
  <c r="AV14" i="9"/>
  <c r="AV12" i="9"/>
  <c r="AV11" i="9"/>
  <c r="AV10" i="9"/>
  <c r="AV9" i="9"/>
  <c r="AV7" i="9"/>
  <c r="AT22" i="9"/>
  <c r="AV2" i="9"/>
  <c r="CX22" i="9"/>
  <c r="CY22" i="9"/>
  <c r="DM18" i="9"/>
  <c r="DM2" i="9"/>
  <c r="AZ16" i="9"/>
  <c r="BA3" i="9"/>
  <c r="AY16" i="9"/>
  <c r="BB3" i="9"/>
  <c r="DO16" i="9"/>
  <c r="DP3" i="9"/>
  <c r="DN21" i="9"/>
  <c r="DN3" i="9"/>
  <c r="DM15" i="9"/>
  <c r="DM16" i="9"/>
  <c r="DN12" i="9"/>
  <c r="DN20" i="9"/>
  <c r="DN10" i="9"/>
  <c r="DM19" i="9"/>
  <c r="DM4" i="9"/>
  <c r="DM12" i="9"/>
  <c r="BA15" i="9"/>
  <c r="AZ17" i="9"/>
  <c r="BB15" i="9"/>
  <c r="AY17" i="9"/>
  <c r="DP15" i="9"/>
  <c r="DO17" i="9"/>
  <c r="DN7" i="9"/>
  <c r="DN15" i="9"/>
  <c r="DM13" i="9"/>
  <c r="DM17" i="9"/>
  <c r="DM3" i="9"/>
  <c r="DM11" i="9"/>
  <c r="DN2" i="9"/>
  <c r="DN18" i="9"/>
  <c r="BA11" i="9"/>
  <c r="AZ6" i="9"/>
  <c r="BB11" i="9"/>
  <c r="AY6" i="9"/>
  <c r="DP11" i="9"/>
  <c r="DO6" i="9"/>
  <c r="AS11" i="9"/>
  <c r="AW11" i="9" s="1"/>
  <c r="AR6" i="9"/>
  <c r="AV6" i="9" s="1"/>
  <c r="AZ18" i="9"/>
  <c r="BA17" i="9"/>
  <c r="AY18" i="9"/>
  <c r="BB17" i="9"/>
  <c r="DO18" i="9"/>
  <c r="DP17" i="9"/>
  <c r="AS17" i="9"/>
  <c r="AW17" i="9" s="1"/>
  <c r="AR18" i="9"/>
  <c r="AV18" i="9" s="1"/>
  <c r="BA21" i="9"/>
  <c r="AZ15" i="9"/>
  <c r="BB21" i="9"/>
  <c r="AY15" i="9"/>
  <c r="DP21" i="9"/>
  <c r="DO15" i="9"/>
  <c r="AS21" i="9"/>
  <c r="AW21" i="9" s="1"/>
  <c r="AR15" i="9"/>
  <c r="AV15" i="9" s="1"/>
  <c r="AZ20" i="9"/>
  <c r="BA12" i="9"/>
  <c r="AY20" i="9"/>
  <c r="BB12" i="9"/>
  <c r="DO20" i="9"/>
  <c r="DP12" i="9"/>
  <c r="AS12" i="9"/>
  <c r="AW12" i="9" s="1"/>
  <c r="AR20" i="9"/>
  <c r="AV20" i="9" s="1"/>
  <c r="AZ8" i="9"/>
  <c r="BA10" i="9"/>
  <c r="AY8" i="9"/>
  <c r="BB10" i="9"/>
  <c r="DO8" i="9"/>
  <c r="DP10" i="9"/>
  <c r="AS10" i="9"/>
  <c r="AW10" i="9" s="1"/>
  <c r="AR8" i="9"/>
  <c r="AV8" i="9" s="1"/>
  <c r="BA14" i="9"/>
  <c r="AZ19" i="9"/>
  <c r="BB14" i="9"/>
  <c r="AY19" i="9"/>
  <c r="DP14" i="9"/>
  <c r="DO19" i="9"/>
  <c r="AS14" i="9"/>
  <c r="AW14" i="9" s="1"/>
  <c r="AR19" i="9"/>
  <c r="AV19" i="9" s="1"/>
  <c r="BA16" i="9"/>
  <c r="AZ4" i="9"/>
  <c r="BB16" i="9"/>
  <c r="AY4" i="9"/>
  <c r="DP16" i="9"/>
  <c r="DO4" i="9"/>
  <c r="AS16" i="9"/>
  <c r="AW16" i="9" s="1"/>
  <c r="AR4" i="9"/>
  <c r="AV4" i="9" s="1"/>
  <c r="BA7" i="9"/>
  <c r="AZ13" i="9"/>
  <c r="BB7" i="9"/>
  <c r="AY13" i="9"/>
  <c r="DP7" i="9"/>
  <c r="DO13" i="9"/>
  <c r="AS7" i="9"/>
  <c r="AW7" i="9" s="1"/>
  <c r="AR13" i="9"/>
  <c r="AV13" i="9" s="1"/>
  <c r="AZ3" i="9"/>
  <c r="BA9" i="9"/>
  <c r="AY3" i="9"/>
  <c r="BB9" i="9"/>
  <c r="DO3" i="9"/>
  <c r="DP9" i="9"/>
  <c r="AS9" i="9"/>
  <c r="AW9" i="9" s="1"/>
  <c r="AR3" i="9"/>
  <c r="AV3" i="9" s="1"/>
  <c r="BA2" i="9"/>
  <c r="AZ5" i="9"/>
  <c r="BB2" i="9"/>
  <c r="AY5" i="9"/>
  <c r="DP2" i="9"/>
  <c r="DO5" i="9"/>
  <c r="AS2" i="9"/>
  <c r="AW2" i="9" s="1"/>
  <c r="AR5" i="9"/>
  <c r="AV5" i="9" s="1"/>
  <c r="DA22" i="9" l="1"/>
  <c r="AW22" i="9"/>
  <c r="AR22" i="9"/>
  <c r="CZ22" i="9"/>
  <c r="AS22" i="9"/>
  <c r="AV22" i="9"/>
  <c r="D1" i="57"/>
  <c r="F19" i="57" l="1"/>
  <c r="E29" i="57"/>
  <c r="H4" i="57" l="1"/>
  <c r="E1" i="57"/>
  <c r="E7" i="57" l="1"/>
  <c r="C3" i="58" s="1"/>
  <c r="D7" i="57"/>
  <c r="C2" i="58" s="1"/>
  <c r="D33" i="57"/>
  <c r="F31" i="57"/>
  <c r="C33" i="57"/>
  <c r="E13" i="58" l="1"/>
  <c r="E12" i="58"/>
  <c r="E11" i="58"/>
  <c r="E10" i="58"/>
  <c r="E9" i="58"/>
  <c r="E8" i="58"/>
  <c r="E7" i="58"/>
  <c r="E6" i="58"/>
  <c r="E5" i="58"/>
  <c r="E4" i="58"/>
  <c r="E3" i="58"/>
  <c r="F13" i="58"/>
  <c r="F12" i="58"/>
  <c r="F11" i="58"/>
  <c r="F10" i="58"/>
  <c r="F9" i="58"/>
  <c r="F8" i="58"/>
  <c r="F7" i="58"/>
  <c r="F6" i="58"/>
  <c r="F5" i="58"/>
  <c r="F4" i="58"/>
  <c r="F3" i="58"/>
  <c r="F33" i="57"/>
  <c r="E33" i="57"/>
  <c r="F7" i="57"/>
  <c r="BI10" i="9"/>
  <c r="BI14" i="9"/>
  <c r="J15" i="58" l="1"/>
  <c r="L15" i="58"/>
  <c r="K15" i="58"/>
  <c r="I15" i="58"/>
  <c r="H15" i="58"/>
  <c r="G15" i="58"/>
  <c r="F15" i="58"/>
  <c r="E15" i="58"/>
  <c r="D15" i="58"/>
  <c r="C15" i="58"/>
  <c r="B15" i="58"/>
  <c r="L16" i="58"/>
  <c r="K16" i="58"/>
  <c r="J16" i="58"/>
  <c r="I16" i="58"/>
  <c r="H16" i="58"/>
  <c r="G16" i="58"/>
  <c r="F16" i="58"/>
  <c r="E16" i="58"/>
  <c r="N9" i="58" s="1"/>
  <c r="P9" i="58" s="1"/>
  <c r="D16" i="58"/>
  <c r="N8" i="58" s="1"/>
  <c r="P8" i="58" s="1"/>
  <c r="C16" i="58"/>
  <c r="B16" i="58"/>
  <c r="J17" i="58"/>
  <c r="L17" i="58"/>
  <c r="K17" i="58"/>
  <c r="I17" i="58"/>
  <c r="H17" i="58"/>
  <c r="G17" i="58"/>
  <c r="F17" i="58"/>
  <c r="E17" i="58"/>
  <c r="N13" i="58" s="1"/>
  <c r="P13" i="58" s="1"/>
  <c r="D17" i="58"/>
  <c r="N12" i="58" s="1"/>
  <c r="P12" i="58" s="1"/>
  <c r="C17" i="58"/>
  <c r="N11" i="58" s="1"/>
  <c r="P11" i="58" s="1"/>
  <c r="B17" i="58"/>
  <c r="L18" i="58"/>
  <c r="K18" i="58"/>
  <c r="J18" i="58"/>
  <c r="I18" i="58"/>
  <c r="H18" i="58"/>
  <c r="G18" i="58"/>
  <c r="F18" i="58"/>
  <c r="E18" i="58"/>
  <c r="N17" i="58" s="1"/>
  <c r="P17" i="58" s="1"/>
  <c r="D18" i="58"/>
  <c r="N16" i="58" s="1"/>
  <c r="P16" i="58" s="1"/>
  <c r="C18" i="58"/>
  <c r="N15" i="58" s="1"/>
  <c r="P15" i="58" s="1"/>
  <c r="B18" i="58"/>
  <c r="N14" i="58" s="1"/>
  <c r="P14" i="58" s="1"/>
  <c r="L19" i="58"/>
  <c r="K19" i="58"/>
  <c r="J19" i="58"/>
  <c r="I19" i="58"/>
  <c r="H19" i="58"/>
  <c r="G19" i="58"/>
  <c r="F19" i="58"/>
  <c r="E19" i="58"/>
  <c r="D19" i="58"/>
  <c r="C19" i="58"/>
  <c r="B19" i="58"/>
  <c r="L20" i="58"/>
  <c r="K20" i="58"/>
  <c r="J20" i="58"/>
  <c r="I20" i="58"/>
  <c r="H20" i="58"/>
  <c r="G20" i="58"/>
  <c r="F20" i="58"/>
  <c r="E20" i="58"/>
  <c r="D20" i="58"/>
  <c r="C20" i="58"/>
  <c r="B20" i="58"/>
  <c r="L21" i="58"/>
  <c r="K21" i="58"/>
  <c r="J21" i="58"/>
  <c r="I21" i="58"/>
  <c r="H21" i="58"/>
  <c r="G21" i="58"/>
  <c r="F21" i="58"/>
  <c r="E21" i="58"/>
  <c r="D21" i="58"/>
  <c r="C21" i="58"/>
  <c r="B21" i="58"/>
  <c r="L22" i="58"/>
  <c r="K22" i="58"/>
  <c r="J22" i="58"/>
  <c r="I22" i="58"/>
  <c r="H22" i="58"/>
  <c r="G22" i="58"/>
  <c r="F22" i="58"/>
  <c r="E22" i="58"/>
  <c r="D22" i="58"/>
  <c r="C22" i="58"/>
  <c r="B22" i="58"/>
  <c r="L23" i="58"/>
  <c r="K23" i="58"/>
  <c r="J23" i="58"/>
  <c r="I23" i="58"/>
  <c r="H23" i="58"/>
  <c r="G23" i="58"/>
  <c r="F23" i="58"/>
  <c r="E23" i="58"/>
  <c r="D23" i="58"/>
  <c r="C23" i="58"/>
  <c r="B23" i="58"/>
  <c r="L24" i="58"/>
  <c r="K24" i="58"/>
  <c r="J24" i="58"/>
  <c r="I24" i="58"/>
  <c r="H24" i="58"/>
  <c r="G24" i="58"/>
  <c r="F24" i="58"/>
  <c r="E24" i="58"/>
  <c r="D24" i="58"/>
  <c r="C24" i="58"/>
  <c r="B24" i="58"/>
  <c r="L25" i="58"/>
  <c r="K25" i="58"/>
  <c r="J25" i="58"/>
  <c r="I25" i="58"/>
  <c r="H25" i="58"/>
  <c r="G25" i="58"/>
  <c r="F25" i="58"/>
  <c r="E25" i="58"/>
  <c r="D25" i="58"/>
  <c r="C25" i="58"/>
  <c r="B25" i="58"/>
  <c r="BH3" i="9"/>
  <c r="BI6" i="9"/>
  <c r="CA22" i="9"/>
  <c r="BR18" i="9"/>
  <c r="BK22" i="9"/>
  <c r="BT9" i="9" s="1"/>
  <c r="BS2" i="9"/>
  <c r="CB22" i="9"/>
  <c r="BY22" i="9"/>
  <c r="BZ22" i="9"/>
  <c r="BH7" i="9"/>
  <c r="G5" i="57"/>
  <c r="F13" i="57" s="1"/>
  <c r="CD9" i="9"/>
  <c r="BH11" i="9"/>
  <c r="BI18" i="9"/>
  <c r="DJ6" i="9"/>
  <c r="DK5" i="9"/>
  <c r="DK12" i="9"/>
  <c r="DK18" i="9"/>
  <c r="DK13" i="9"/>
  <c r="DJ4" i="9"/>
  <c r="DJ7" i="9"/>
  <c r="DJ8" i="9"/>
  <c r="DJ10" i="9"/>
  <c r="DJ14" i="9"/>
  <c r="DJ19" i="9"/>
  <c r="DK16" i="9"/>
  <c r="DJ11" i="9"/>
  <c r="DK17" i="9"/>
  <c r="DJ18" i="9"/>
  <c r="DK9" i="9"/>
  <c r="DJ3" i="9"/>
  <c r="DK8" i="9"/>
  <c r="DK11" i="9"/>
  <c r="DK20" i="9"/>
  <c r="DK7" i="9"/>
  <c r="DJ16" i="9"/>
  <c r="DJ17" i="9"/>
  <c r="DJ21" i="9"/>
  <c r="DJ20" i="9"/>
  <c r="DK21" i="9"/>
  <c r="DK3" i="9"/>
  <c r="DJ9" i="9"/>
  <c r="DK10" i="9"/>
  <c r="DJ5" i="9"/>
  <c r="DJ12" i="9"/>
  <c r="DJ13" i="9"/>
  <c r="DJ15" i="9"/>
  <c r="DK4" i="9"/>
  <c r="DK6" i="9"/>
  <c r="DK19" i="9"/>
  <c r="DK14" i="9"/>
  <c r="BH19" i="9"/>
  <c r="CD20" i="9"/>
  <c r="CD18" i="9"/>
  <c r="CD16" i="9"/>
  <c r="CD14" i="9"/>
  <c r="CD12" i="9"/>
  <c r="CD10" i="9"/>
  <c r="CD8" i="9"/>
  <c r="CC21" i="9"/>
  <c r="CC19" i="9"/>
  <c r="CC17" i="9"/>
  <c r="CD21" i="9"/>
  <c r="CD19" i="9"/>
  <c r="CD17" i="9"/>
  <c r="CD15" i="9"/>
  <c r="CD13" i="9"/>
  <c r="CD11" i="9"/>
  <c r="BH15" i="9"/>
  <c r="BO18" i="9"/>
  <c r="BO16" i="9"/>
  <c r="BO14" i="9"/>
  <c r="BO12" i="9"/>
  <c r="BO10" i="9"/>
  <c r="BP21" i="9"/>
  <c r="BP19" i="9"/>
  <c r="BP17" i="9"/>
  <c r="BP15" i="9"/>
  <c r="BP13" i="9"/>
  <c r="BP11" i="9"/>
  <c r="BP9" i="9"/>
  <c r="CD6" i="9"/>
  <c r="CD4" i="9"/>
  <c r="CD7" i="9"/>
  <c r="CD5" i="9"/>
  <c r="CD3" i="9"/>
  <c r="BR12" i="9"/>
  <c r="BH21" i="9"/>
  <c r="BH17" i="9"/>
  <c r="BH13" i="9"/>
  <c r="BH9" i="9"/>
  <c r="BH5" i="9"/>
  <c r="BI20" i="9"/>
  <c r="BI16" i="9"/>
  <c r="BI8" i="9"/>
  <c r="BH20" i="9"/>
  <c r="BH18" i="9"/>
  <c r="BH16" i="9"/>
  <c r="BH14" i="9"/>
  <c r="BH12" i="9"/>
  <c r="BH10" i="9"/>
  <c r="BH8" i="9"/>
  <c r="BH6" i="9"/>
  <c r="BH4" i="9"/>
  <c r="BI21" i="9"/>
  <c r="BI19" i="9"/>
  <c r="BI17" i="9"/>
  <c r="BI13" i="9"/>
  <c r="BI11" i="9"/>
  <c r="BI9" i="9"/>
  <c r="BI7" i="9"/>
  <c r="BI5" i="9"/>
  <c r="BI3" i="9"/>
  <c r="BO8" i="9"/>
  <c r="BO6" i="9"/>
  <c r="BO4" i="9"/>
  <c r="BP7" i="9"/>
  <c r="BP5" i="9"/>
  <c r="BP3" i="9"/>
  <c r="BO21" i="9"/>
  <c r="BO19" i="9"/>
  <c r="BO17" i="9"/>
  <c r="BO15" i="9"/>
  <c r="BO13" i="9"/>
  <c r="BO11" i="9"/>
  <c r="BO9" i="9"/>
  <c r="BO5" i="9"/>
  <c r="BO3" i="9"/>
  <c r="BP20" i="9"/>
  <c r="BP18" i="9"/>
  <c r="BP16" i="9"/>
  <c r="BP12" i="9"/>
  <c r="BP10" i="9"/>
  <c r="BP8" i="9"/>
  <c r="BP6" i="9"/>
  <c r="BP4" i="9"/>
  <c r="CC15" i="9"/>
  <c r="CC13" i="9"/>
  <c r="CC11" i="9"/>
  <c r="CC9" i="9"/>
  <c r="CC7" i="9"/>
  <c r="CC5" i="9"/>
  <c r="CC3" i="9"/>
  <c r="CC20" i="9"/>
  <c r="CC18" i="9"/>
  <c r="CC16" i="9"/>
  <c r="CC14" i="9"/>
  <c r="CC12" i="9"/>
  <c r="CC10" i="9"/>
  <c r="CC8" i="9"/>
  <c r="CC6" i="9"/>
  <c r="CC4" i="9"/>
  <c r="BR11" i="9"/>
  <c r="BH2" i="9"/>
  <c r="BO2" i="9"/>
  <c r="BI2" i="9"/>
  <c r="BP2" i="9"/>
  <c r="BR2" i="9"/>
  <c r="BU2" i="9"/>
  <c r="CD2" i="9"/>
  <c r="CC2" i="9"/>
  <c r="BP22" i="9" l="1"/>
  <c r="F37" i="57" s="1"/>
  <c r="BI22" i="9"/>
  <c r="F35" i="57" s="1"/>
  <c r="BO22" i="9"/>
  <c r="E37" i="57" s="1"/>
  <c r="BH22" i="9"/>
  <c r="E35" i="57" s="1"/>
  <c r="C33" i="58"/>
  <c r="C32" i="58"/>
  <c r="C31" i="58"/>
  <c r="C30" i="58"/>
  <c r="H5" i="58"/>
  <c r="I5" i="58" s="1"/>
  <c r="N18" i="58" s="1"/>
  <c r="P18" i="58" s="1"/>
  <c r="N20" i="58"/>
  <c r="P20" i="58" s="1"/>
  <c r="H49" i="58"/>
  <c r="H48" i="58"/>
  <c r="H47" i="58"/>
  <c r="C37" i="58"/>
  <c r="C36" i="58"/>
  <c r="C35" i="58"/>
  <c r="C34" i="58"/>
  <c r="D33" i="58"/>
  <c r="D32" i="58"/>
  <c r="D31" i="58"/>
  <c r="N10" i="58"/>
  <c r="P10" i="58" s="1"/>
  <c r="H45" i="58"/>
  <c r="H44" i="58"/>
  <c r="H43" i="58"/>
  <c r="C41" i="58"/>
  <c r="C40" i="58"/>
  <c r="C39" i="58"/>
  <c r="C38" i="58"/>
  <c r="D37" i="58"/>
  <c r="D36" i="58"/>
  <c r="D35" i="58"/>
  <c r="N6" i="58"/>
  <c r="P6" i="58" s="1"/>
  <c r="H2" i="58"/>
  <c r="I2" i="58" s="1"/>
  <c r="N7" i="58"/>
  <c r="P7" i="58" s="1"/>
  <c r="H7" i="58"/>
  <c r="I7" i="58" s="1"/>
  <c r="G50" i="58"/>
  <c r="C50" i="58"/>
  <c r="G49" i="58"/>
  <c r="C49" i="58"/>
  <c r="G48" i="58"/>
  <c r="C48" i="58"/>
  <c r="G47" i="58"/>
  <c r="C47" i="58"/>
  <c r="G46" i="58"/>
  <c r="C46" i="58"/>
  <c r="G45" i="58"/>
  <c r="C45" i="58"/>
  <c r="G44" i="58"/>
  <c r="C44" i="58"/>
  <c r="G43" i="58"/>
  <c r="C43" i="58"/>
  <c r="G42" i="58"/>
  <c r="C42" i="58"/>
  <c r="H41" i="58"/>
  <c r="D41" i="58"/>
  <c r="H40" i="58"/>
  <c r="D40" i="58"/>
  <c r="H39" i="58"/>
  <c r="D39" i="58"/>
  <c r="H8" i="58"/>
  <c r="I8" i="58" s="1"/>
  <c r="H3" i="58"/>
  <c r="I3" i="58" s="1"/>
  <c r="N2" i="58"/>
  <c r="P2" i="58" s="1"/>
  <c r="K50" i="58"/>
  <c r="L49" i="58"/>
  <c r="L48" i="58"/>
  <c r="L47" i="58"/>
  <c r="D45" i="58"/>
  <c r="D44" i="58"/>
  <c r="D43" i="58"/>
  <c r="G41" i="58"/>
  <c r="G40" i="58"/>
  <c r="G39" i="58"/>
  <c r="G38" i="58"/>
  <c r="H37" i="58"/>
  <c r="H36" i="58"/>
  <c r="H35" i="58"/>
  <c r="H4" i="58"/>
  <c r="I4" i="58" s="1"/>
  <c r="N3" i="58"/>
  <c r="P3" i="58" s="1"/>
  <c r="K2" i="58"/>
  <c r="L2" i="58" s="1"/>
  <c r="K49" i="58"/>
  <c r="D49" i="58"/>
  <c r="K48" i="58"/>
  <c r="D48" i="58"/>
  <c r="K47" i="58"/>
  <c r="D47" i="58"/>
  <c r="K46" i="58"/>
  <c r="L45" i="58"/>
  <c r="L44" i="58"/>
  <c r="L43" i="58"/>
  <c r="G37" i="58"/>
  <c r="G36" i="58"/>
  <c r="G35" i="58"/>
  <c r="G34" i="58"/>
  <c r="H33" i="58"/>
  <c r="H32" i="58"/>
  <c r="H31" i="58"/>
  <c r="N4" i="58"/>
  <c r="P4" i="58" s="1"/>
  <c r="K3" i="58"/>
  <c r="L3" i="58" s="1"/>
  <c r="K45" i="58"/>
  <c r="K44" i="58"/>
  <c r="K43" i="58"/>
  <c r="K42" i="58"/>
  <c r="L41" i="58"/>
  <c r="L39" i="58"/>
  <c r="G33" i="58"/>
  <c r="G32" i="58"/>
  <c r="G31" i="58"/>
  <c r="G30" i="58"/>
  <c r="N5" i="58"/>
  <c r="P5" i="58" s="1"/>
  <c r="K4" i="58"/>
  <c r="L4" i="58" s="1"/>
  <c r="K41" i="58"/>
  <c r="K40" i="58"/>
  <c r="K39" i="58"/>
  <c r="K38" i="58"/>
  <c r="L37" i="58"/>
  <c r="L36" i="58"/>
  <c r="L35" i="58"/>
  <c r="H6" i="58"/>
  <c r="I6" i="58" s="1"/>
  <c r="N19" i="58" s="1"/>
  <c r="P19" i="58" s="1"/>
  <c r="K5" i="58"/>
  <c r="L5" i="58" s="1"/>
  <c r="K37" i="58"/>
  <c r="K36" i="58"/>
  <c r="K35" i="58"/>
  <c r="K34" i="58"/>
  <c r="L33" i="58"/>
  <c r="L32" i="58"/>
  <c r="L31" i="58"/>
  <c r="K6" i="58"/>
  <c r="L6" i="58" s="1"/>
  <c r="K33" i="58"/>
  <c r="K32" i="58"/>
  <c r="K31" i="58"/>
  <c r="K30" i="58"/>
  <c r="K7" i="58"/>
  <c r="L7" i="58" s="1"/>
  <c r="K8" i="58"/>
  <c r="L8" i="58" s="1"/>
  <c r="DM22" i="9"/>
  <c r="CV22" i="9"/>
  <c r="CW22" i="9"/>
  <c r="CS22" i="9"/>
  <c r="CT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AZ22" i="9"/>
  <c r="BA22" i="9"/>
  <c r="F11" i="57"/>
  <c r="F14" i="57"/>
  <c r="F12" i="57"/>
  <c r="F15" i="57"/>
  <c r="F16" i="57"/>
  <c r="F17" i="57"/>
  <c r="BR3" i="9"/>
  <c r="BR19" i="9"/>
  <c r="BR14" i="9"/>
  <c r="BR7" i="9"/>
  <c r="BR15" i="9"/>
  <c r="BR4" i="9"/>
  <c r="BR20" i="9"/>
  <c r="BR10" i="9"/>
  <c r="BS14" i="9"/>
  <c r="BR5" i="9"/>
  <c r="BR9" i="9"/>
  <c r="BV9" i="9" s="1"/>
  <c r="BR13" i="9"/>
  <c r="BR17" i="9"/>
  <c r="BR21" i="9"/>
  <c r="BR8" i="9"/>
  <c r="BR16" i="9"/>
  <c r="BR6" i="9"/>
  <c r="DJ2" i="9"/>
  <c r="DJ22" i="9" s="1"/>
  <c r="DK2" i="9"/>
  <c r="CC22" i="9"/>
  <c r="CD22" i="9"/>
  <c r="DP22" i="9"/>
  <c r="DO22" i="9"/>
  <c r="DN22" i="9"/>
  <c r="DK15" i="9"/>
  <c r="BT3" i="9"/>
  <c r="BT19" i="9"/>
  <c r="BT15" i="9"/>
  <c r="BT14" i="9"/>
  <c r="BU13" i="9"/>
  <c r="BS12" i="9"/>
  <c r="BT11" i="9"/>
  <c r="BS9" i="9"/>
  <c r="BS7" i="9"/>
  <c r="BT6" i="9"/>
  <c r="BS5" i="9"/>
  <c r="BU4" i="9"/>
  <c r="BU21" i="9"/>
  <c r="BU20" i="9"/>
  <c r="BU19" i="9"/>
  <c r="BU18" i="9"/>
  <c r="BU17" i="9"/>
  <c r="BS16" i="9"/>
  <c r="BS15" i="9"/>
  <c r="BT12" i="9"/>
  <c r="BV12" i="9" s="1"/>
  <c r="BU11" i="9"/>
  <c r="BU10" i="9"/>
  <c r="BU8" i="9"/>
  <c r="BU6" i="9"/>
  <c r="BT21" i="9"/>
  <c r="BT20" i="9"/>
  <c r="BT18" i="9"/>
  <c r="BT17" i="9"/>
  <c r="BT16" i="9"/>
  <c r="BS13" i="9"/>
  <c r="BU12" i="9"/>
  <c r="BT10" i="9"/>
  <c r="BU9" i="9"/>
  <c r="BT8" i="9"/>
  <c r="BU7" i="9"/>
  <c r="BU5" i="9"/>
  <c r="BS4" i="9"/>
  <c r="BS21" i="9"/>
  <c r="BS20" i="9"/>
  <c r="BS19" i="9"/>
  <c r="BS18" i="9"/>
  <c r="BS17" i="9"/>
  <c r="BU16" i="9"/>
  <c r="BU15" i="9"/>
  <c r="BU14" i="9"/>
  <c r="BW14" i="9" s="1"/>
  <c r="BT13" i="9"/>
  <c r="BS11" i="9"/>
  <c r="BS10" i="9"/>
  <c r="BS8" i="9"/>
  <c r="BT7" i="9"/>
  <c r="BS6" i="9"/>
  <c r="BT5" i="9"/>
  <c r="BT4" i="9"/>
  <c r="BS3" i="9"/>
  <c r="BT2" i="9"/>
  <c r="BW2" i="9"/>
  <c r="BU3" i="9"/>
  <c r="E9" i="57" l="1"/>
  <c r="BV3" i="9"/>
  <c r="BV6" i="9"/>
  <c r="BV14" i="9"/>
  <c r="BV15" i="9"/>
  <c r="F21" i="57"/>
  <c r="BB22" i="9"/>
  <c r="DK22" i="9"/>
  <c r="F20" i="57" s="1"/>
  <c r="BR22" i="9"/>
  <c r="BU22" i="9"/>
  <c r="BS22" i="9"/>
  <c r="BT22" i="9"/>
  <c r="AY22" i="9"/>
  <c r="BV19" i="9"/>
  <c r="F8" i="57"/>
  <c r="BV2" i="9"/>
  <c r="BV11" i="9"/>
  <c r="BW11" i="9"/>
  <c r="BW6" i="9"/>
  <c r="BW20" i="9"/>
  <c r="BW4" i="9"/>
  <c r="BW17" i="9"/>
  <c r="BW19" i="9"/>
  <c r="BW21" i="9"/>
  <c r="BW13" i="9"/>
  <c r="BW10" i="9"/>
  <c r="BW8" i="9"/>
  <c r="BW18" i="9"/>
  <c r="BV5" i="9"/>
  <c r="BV13" i="9"/>
  <c r="BW16" i="9"/>
  <c r="BW5" i="9"/>
  <c r="BW7" i="9"/>
  <c r="BW9" i="9"/>
  <c r="BW12" i="9"/>
  <c r="BV16" i="9"/>
  <c r="BV18" i="9"/>
  <c r="BV20" i="9"/>
  <c r="BV4" i="9"/>
  <c r="BV7" i="9"/>
  <c r="BW15" i="9"/>
  <c r="BV8" i="9"/>
  <c r="BV10" i="9"/>
  <c r="BV17" i="9"/>
  <c r="BV21" i="9"/>
  <c r="BW3" i="9"/>
  <c r="BW22" i="9" l="1"/>
  <c r="BV22" i="9"/>
  <c r="E10" i="57"/>
  <c r="D9" i="57"/>
  <c r="D10" i="57" s="1"/>
  <c r="F9" i="57" l="1"/>
  <c r="F10" i="5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4BA70-8127-4B9F-AEC9-911CEE9E67D0}" keepAlive="1" name="Consulta - BRA" description="Conexão com a consulta 'BRA' na pasta de trabalho." type="5" refreshedVersion="8" background="1" saveData="1">
    <dbPr connection="Provider=Microsoft.Mashup.OleDb.1;Data Source=$Workbook$;Location=BRA;Extended Properties=&quot;&quot;" command="SELECT * FROM [BRA]"/>
  </connection>
</connections>
</file>

<file path=xl/sharedStrings.xml><?xml version="1.0" encoding="utf-8"?>
<sst xmlns="http://schemas.openxmlformats.org/spreadsheetml/2006/main" count="1576" uniqueCount="394">
  <si>
    <t>CVODDMV</t>
  </si>
  <si>
    <t>CVODDMC</t>
  </si>
  <si>
    <t>ODDMV</t>
  </si>
  <si>
    <t>ODDMC</t>
  </si>
  <si>
    <t>T5</t>
  </si>
  <si>
    <t>T4</t>
  </si>
  <si>
    <t>T3</t>
  </si>
  <si>
    <t>CVMGSV</t>
  </si>
  <si>
    <t>CVMGSC</t>
  </si>
  <si>
    <t>DPMGSV</t>
  </si>
  <si>
    <t>DPMGSC</t>
  </si>
  <si>
    <t>MGSV</t>
  </si>
  <si>
    <t>MGSC</t>
  </si>
  <si>
    <t>CVMGV</t>
  </si>
  <si>
    <t>CVMGC</t>
  </si>
  <si>
    <t>DPMGV</t>
  </si>
  <si>
    <t>DPMGC</t>
  </si>
  <si>
    <t>MGV</t>
  </si>
  <si>
    <t>MGC</t>
  </si>
  <si>
    <t>MGOLESV</t>
  </si>
  <si>
    <t>MGOLEFV</t>
  </si>
  <si>
    <t>MGOLESC</t>
  </si>
  <si>
    <t>MGOLEFC</t>
  </si>
  <si>
    <t>SLDV</t>
  </si>
  <si>
    <t>SLDC</t>
  </si>
  <si>
    <t>MPTV</t>
  </si>
  <si>
    <t>MPTC</t>
  </si>
  <si>
    <t>T</t>
  </si>
  <si>
    <t>PTV</t>
  </si>
  <si>
    <t>PTC</t>
  </si>
  <si>
    <t>FTAG</t>
  </si>
  <si>
    <t>FTHG</t>
  </si>
  <si>
    <t>AwayTeam</t>
  </si>
  <si>
    <t>HomeTeam</t>
  </si>
  <si>
    <t>Date</t>
  </si>
  <si>
    <t>Rótulos de Linha</t>
  </si>
  <si>
    <t>Total Geral</t>
  </si>
  <si>
    <t>Soma de FTHG</t>
  </si>
  <si>
    <t>FTR</t>
  </si>
  <si>
    <t>FCAtC</t>
  </si>
  <si>
    <t>FCDfC</t>
  </si>
  <si>
    <t>FCDfV</t>
  </si>
  <si>
    <t>FCAtV</t>
  </si>
  <si>
    <t>FCSALDC</t>
  </si>
  <si>
    <t>FCSALDV</t>
  </si>
  <si>
    <t>DPODDMC</t>
  </si>
  <si>
    <t>DPODDMV</t>
  </si>
  <si>
    <t>GOLEAC</t>
  </si>
  <si>
    <t>GOLEAV</t>
  </si>
  <si>
    <t>AMBFT</t>
  </si>
  <si>
    <t>T1</t>
  </si>
  <si>
    <t>T11</t>
  </si>
  <si>
    <t>AMBFTC</t>
  </si>
  <si>
    <t>AMBFTV</t>
  </si>
  <si>
    <t>MÊS</t>
  </si>
  <si>
    <t>CONTAG</t>
  </si>
  <si>
    <t>FAVC</t>
  </si>
  <si>
    <t>FAVV</t>
  </si>
  <si>
    <t>VITC</t>
  </si>
  <si>
    <t>EMP</t>
  </si>
  <si>
    <t>VITV</t>
  </si>
  <si>
    <t>MPT*ODDC</t>
  </si>
  <si>
    <t>MPT*ODDV</t>
  </si>
  <si>
    <t>PLBACKC</t>
  </si>
  <si>
    <t>PLBACKV</t>
  </si>
  <si>
    <t>PLTTBCKC</t>
  </si>
  <si>
    <t>PLTTBCKV</t>
  </si>
  <si>
    <t>Soma de FTAG</t>
  </si>
  <si>
    <t>ODDC</t>
  </si>
  <si>
    <t>ODDV</t>
  </si>
  <si>
    <t>ODDE</t>
  </si>
  <si>
    <t>PLEMP</t>
  </si>
  <si>
    <t>CASA</t>
  </si>
  <si>
    <t>Soma de SLDC</t>
  </si>
  <si>
    <t>Soma de SLDV</t>
  </si>
  <si>
    <t>Soma de PLBACKC</t>
  </si>
  <si>
    <t>Soma de PLBACKV</t>
  </si>
  <si>
    <t>Contagem de FAVC</t>
  </si>
  <si>
    <t>Contagem de FAVV</t>
  </si>
  <si>
    <t>MED VIT CASA</t>
  </si>
  <si>
    <t>Média de VITC</t>
  </si>
  <si>
    <t>Média de EMP</t>
  </si>
  <si>
    <t>Média de VITV</t>
  </si>
  <si>
    <t>Contagem de CONTAG</t>
  </si>
  <si>
    <t>MED VIT VIS</t>
  </si>
  <si>
    <t>MED EMP CASA</t>
  </si>
  <si>
    <t>MED DERR CASA</t>
  </si>
  <si>
    <t>MED EMP VIS</t>
  </si>
  <si>
    <t>MED DERR VIS</t>
  </si>
  <si>
    <t>Odds Bokkie</t>
  </si>
  <si>
    <t>Empate</t>
  </si>
  <si>
    <t>Odds Justas</t>
  </si>
  <si>
    <t>Amostra</t>
  </si>
  <si>
    <t>DesvPad de FTHG2</t>
  </si>
  <si>
    <t>DesvPad de FTAG2</t>
  </si>
  <si>
    <t>MED GOLS CASA</t>
  </si>
  <si>
    <t>MEDIA GOLS VIS</t>
  </si>
  <si>
    <t>Média de FTHG</t>
  </si>
  <si>
    <t>Média de FTAG</t>
  </si>
  <si>
    <t>DP GOLS CASA</t>
  </si>
  <si>
    <t>DP GOLS VIS</t>
  </si>
  <si>
    <t>CV GOLS CASA</t>
  </si>
  <si>
    <t>CV GOLS VIS</t>
  </si>
  <si>
    <t>CV GS CASA</t>
  </si>
  <si>
    <t>CV GS VIS</t>
  </si>
  <si>
    <t>DP AVG G CASA</t>
  </si>
  <si>
    <t>DP AVG G VIS</t>
  </si>
  <si>
    <t>CV AVG G CASA</t>
  </si>
  <si>
    <t>CV AVG G VIS</t>
  </si>
  <si>
    <t>Conf CV</t>
  </si>
  <si>
    <t>Conf DP</t>
  </si>
  <si>
    <t>TT JOGO</t>
  </si>
  <si>
    <t>Conf AVG</t>
  </si>
  <si>
    <t>VISITANTE</t>
  </si>
  <si>
    <t>Média de GOLEAC</t>
  </si>
  <si>
    <t>Média de GOLEAV</t>
  </si>
  <si>
    <t>Média de AMBFT</t>
  </si>
  <si>
    <t>Over 1,5 FT %</t>
  </si>
  <si>
    <t>Over 2,5 FT %</t>
  </si>
  <si>
    <t>Over 3,5 FT %</t>
  </si>
  <si>
    <t>Ambas Marcam</t>
  </si>
  <si>
    <t>Over 0,5 FT %</t>
  </si>
  <si>
    <t>Goleada Casa</t>
  </si>
  <si>
    <t>Goleada Visit</t>
  </si>
  <si>
    <t>do       Mercado</t>
  </si>
  <si>
    <t>Média de ODDC</t>
  </si>
  <si>
    <t>Média de ODDE</t>
  </si>
  <si>
    <t>Média de ODDV</t>
  </si>
  <si>
    <t>Soma de PLEMP</t>
  </si>
  <si>
    <t>PL BACK CASA</t>
  </si>
  <si>
    <t>PL EMP CASA</t>
  </si>
  <si>
    <t>Juice MO %</t>
  </si>
  <si>
    <t>GOLS FT</t>
  </si>
  <si>
    <t>Gols AVG FT</t>
  </si>
  <si>
    <t>Valor das Odds</t>
  </si>
  <si>
    <t xml:space="preserve"> Odd Méd Casa</t>
  </si>
  <si>
    <t xml:space="preserve"> Odd Méd Vis</t>
  </si>
  <si>
    <t xml:space="preserve"> Odd Méd Emp</t>
  </si>
  <si>
    <t xml:space="preserve"> Back Casa</t>
  </si>
  <si>
    <t xml:space="preserve"> Back Visitante</t>
  </si>
  <si>
    <t xml:space="preserve"> Back Empate</t>
  </si>
  <si>
    <t>ROI</t>
  </si>
  <si>
    <t>Tendências</t>
  </si>
  <si>
    <t>Amostra total</t>
  </si>
  <si>
    <t>GC/ODDV</t>
  </si>
  <si>
    <t>GV/ODDC</t>
  </si>
  <si>
    <t>MED GS CASA</t>
  </si>
  <si>
    <t>MED GS VIS</t>
  </si>
  <si>
    <t>DP GS CASA</t>
  </si>
  <si>
    <t>DP GS VIS</t>
  </si>
  <si>
    <t>DPMGLIG CASA</t>
  </si>
  <si>
    <t>DPGMGLIG VIS</t>
  </si>
  <si>
    <t>DPMGSLIG CASA</t>
  </si>
  <si>
    <t>DPMGSLIG VIS</t>
  </si>
  <si>
    <t>CVMGLIG CASA</t>
  </si>
  <si>
    <t>CVMGLIG VIS</t>
  </si>
  <si>
    <t>CVMGSLIG CASA</t>
  </si>
  <si>
    <t>CVMGSLIG VIS</t>
  </si>
  <si>
    <t>oddj</t>
  </si>
  <si>
    <t>oddmerc</t>
  </si>
  <si>
    <t>0x0</t>
  </si>
  <si>
    <t>0X1</t>
  </si>
  <si>
    <t>0X2</t>
  </si>
  <si>
    <t>0X3</t>
  </si>
  <si>
    <t>1X0</t>
  </si>
  <si>
    <t>1X1</t>
  </si>
  <si>
    <t>1X2</t>
  </si>
  <si>
    <t>1X3</t>
  </si>
  <si>
    <t>2X0</t>
  </si>
  <si>
    <t>2X1</t>
  </si>
  <si>
    <t>2X2</t>
  </si>
  <si>
    <t>2X3</t>
  </si>
  <si>
    <t>3X0</t>
  </si>
  <si>
    <t>3X1</t>
  </si>
  <si>
    <t>3X2</t>
  </si>
  <si>
    <t>3x3</t>
  </si>
  <si>
    <t>WR0,5FTC</t>
  </si>
  <si>
    <t>WR0,5FTV</t>
  </si>
  <si>
    <t>WR1,5FTC</t>
  </si>
  <si>
    <t>WR1,5FTV</t>
  </si>
  <si>
    <t>WR2,5FTC</t>
  </si>
  <si>
    <t>WR2,5FTV</t>
  </si>
  <si>
    <t>WR3,5FTC</t>
  </si>
  <si>
    <t>WR3,5FTV</t>
  </si>
  <si>
    <t>WR4,5FTC</t>
  </si>
  <si>
    <t>WR4,5FTV</t>
  </si>
  <si>
    <t>WR5,5FTC</t>
  </si>
  <si>
    <t>WR5,5FTV</t>
  </si>
  <si>
    <t>PESOGV</t>
  </si>
  <si>
    <t>PESOGC</t>
  </si>
  <si>
    <t>PLEMPV</t>
  </si>
  <si>
    <t>PLEMPC</t>
  </si>
  <si>
    <t>0,5FT</t>
  </si>
  <si>
    <t>1,5FT</t>
  </si>
  <si>
    <t>2,5FT</t>
  </si>
  <si>
    <t>3,5FT</t>
  </si>
  <si>
    <t>4,5FT</t>
  </si>
  <si>
    <t>5,5FT</t>
  </si>
  <si>
    <t>Média de 0,5FT</t>
  </si>
  <si>
    <t>Média de 1,5FT</t>
  </si>
  <si>
    <t>Média de 2,5FT</t>
  </si>
  <si>
    <t>Média de 3,5FT</t>
  </si>
  <si>
    <t>Peso Gol</t>
  </si>
  <si>
    <t>Média de PTV</t>
  </si>
  <si>
    <t>Média de PTC</t>
  </si>
  <si>
    <t>Média de GV/ODDC</t>
  </si>
  <si>
    <t>Média de GC/ODDV</t>
  </si>
  <si>
    <t>Média Pts</t>
  </si>
  <si>
    <t>Peso Pts</t>
  </si>
  <si>
    <t>MÉDIA LIGA</t>
  </si>
  <si>
    <t>Odd justa Over/Ambas</t>
  </si>
  <si>
    <t>Over 1,5 FT</t>
  </si>
  <si>
    <t>Over 2,5 FT</t>
  </si>
  <si>
    <t>Big</t>
  </si>
  <si>
    <t>Data</t>
  </si>
  <si>
    <t>Bet</t>
  </si>
  <si>
    <t>PESOPTC</t>
  </si>
  <si>
    <t>PESOPTV</t>
  </si>
  <si>
    <t>Bem Vindo! Tutoriais e Links úteis:</t>
  </si>
  <si>
    <t>Nosso canal no Youtube</t>
  </si>
  <si>
    <t>Grupo Big Data Bet Telegram</t>
  </si>
  <si>
    <t>Atualização com botões para cálculo direto dos filtros dash/ todos jogos</t>
  </si>
  <si>
    <t>Solicite suas planilhas completas e abertas para edição aqui</t>
  </si>
  <si>
    <t>Para solicitar as planilhas Big Data Bet</t>
  </si>
  <si>
    <t>Telegram do desenvolvedor</t>
  </si>
  <si>
    <t>Como habilitar as macros no excel</t>
  </si>
  <si>
    <t xml:space="preserve">OBS: Para usar os recursos de botões para zerar filtros, modo noturno, Copiar </t>
  </si>
  <si>
    <t>médias do dashboard para a aba CS e atualizar somente com macros habilitadas</t>
  </si>
  <si>
    <t>Ligas Disponíveis:</t>
  </si>
  <si>
    <t>England - Premier, Championship, League 1 e League 2</t>
  </si>
  <si>
    <t>Belgium - Pro League</t>
  </si>
  <si>
    <t>Portugal - Primeira Liga</t>
  </si>
  <si>
    <t>Turkey - Superliga</t>
  </si>
  <si>
    <t>Japan - J-League</t>
  </si>
  <si>
    <t>USA - Major League</t>
  </si>
  <si>
    <t>Inseridos botões para copiar esperança de gols do dashboard para aba CS</t>
  </si>
  <si>
    <t>Melhorias na aba FT/HT</t>
  </si>
  <si>
    <t>Melhorias nos filtros do dashboard</t>
  </si>
  <si>
    <t>Melhorias na estrutura e layout do banco de dados</t>
  </si>
  <si>
    <t>Adicionadas ligas extras</t>
  </si>
  <si>
    <t>Adicionado botão de modo noturno no dashboard</t>
  </si>
  <si>
    <t>Adicionado volume de jogos em Handicaps asiáticos</t>
  </si>
  <si>
    <t>Melhorias no layout do dashboard</t>
  </si>
  <si>
    <t>Adicionado valor de odds para match odds e over 2,5 no dashboard</t>
  </si>
  <si>
    <t>Adicionado tendências de mercados ao dashboard</t>
  </si>
  <si>
    <t>Melhorias na especificação das ranges de odds para match odds</t>
  </si>
  <si>
    <t>Adicionado gráfico de evolução dos gols em aba própria</t>
  </si>
  <si>
    <t>bdb</t>
  </si>
  <si>
    <t>Média de PESOPTV</t>
  </si>
  <si>
    <t>Média de PESOPTC</t>
  </si>
  <si>
    <t>PL EMPVIS</t>
  </si>
  <si>
    <t>PL BACK VIS</t>
  </si>
  <si>
    <t>VOL TOTAL</t>
  </si>
  <si>
    <t>(vazio)</t>
  </si>
  <si>
    <t>DPPGC</t>
  </si>
  <si>
    <t>DPPGV</t>
  </si>
  <si>
    <t>CVPGC</t>
  </si>
  <si>
    <t>CVPGV</t>
  </si>
  <si>
    <t>Inserido dados de dispersão do peso do gol na aba BD</t>
  </si>
  <si>
    <t>Ajustes botão "Atualizar" do dashboard</t>
  </si>
  <si>
    <t>CUSTGC</t>
  </si>
  <si>
    <t>CUSTGV</t>
  </si>
  <si>
    <t>p(D)</t>
  </si>
  <si>
    <t>p(H)</t>
  </si>
  <si>
    <t>p(A)</t>
  </si>
  <si>
    <t>JUICE</t>
  </si>
  <si>
    <t>CustGC</t>
  </si>
  <si>
    <t>CustGV</t>
  </si>
  <si>
    <t>DPCGC</t>
  </si>
  <si>
    <t>DPCGV</t>
  </si>
  <si>
    <t>CVCGC</t>
  </si>
  <si>
    <t>CVCGV</t>
  </si>
  <si>
    <t>T2</t>
  </si>
  <si>
    <t>T6</t>
  </si>
  <si>
    <t>T7</t>
  </si>
  <si>
    <t>T8</t>
  </si>
  <si>
    <t>T9</t>
  </si>
  <si>
    <t>T10</t>
  </si>
  <si>
    <t>Ajustes no botão atualizar do dashboard</t>
  </si>
  <si>
    <t>Inserido dados de custo do gol na aba BD</t>
  </si>
  <si>
    <t>Inserido medidas de dispersão do custo do gol na aba BD</t>
  </si>
  <si>
    <t>Inserido probabilidades de match odds na aba BD</t>
  </si>
  <si>
    <t>Inserido Juice dos jogos na aba BD</t>
  </si>
  <si>
    <t>Noruega - Eliteserien</t>
  </si>
  <si>
    <t>Odds de referência:  Pinnacle (Main Leagues), Bet365 (Extra Leagues)</t>
  </si>
  <si>
    <t>Custo Gol</t>
  </si>
  <si>
    <t>Média de CustGC</t>
  </si>
  <si>
    <t>Média de CustGV</t>
  </si>
  <si>
    <t>EMPATE</t>
  </si>
  <si>
    <t>OVER 0,5</t>
  </si>
  <si>
    <t>OVER 1,5</t>
  </si>
  <si>
    <t>OVER 2,5</t>
  </si>
  <si>
    <t>OVER 3,5</t>
  </si>
  <si>
    <t>OVER 4,5</t>
  </si>
  <si>
    <t>HANDICAPS</t>
  </si>
  <si>
    <t>DNB</t>
  </si>
  <si>
    <t>DC</t>
  </si>
  <si>
    <t>ASIAN</t>
  </si>
  <si>
    <t>BACK</t>
  </si>
  <si>
    <t>FULL</t>
  </si>
  <si>
    <t>Melhorias na aba CS - Previsões de mercados pelo Poisson</t>
  </si>
  <si>
    <t>Contagem</t>
  </si>
  <si>
    <t>ou aqui</t>
  </si>
  <si>
    <t>Spain - La Liga e Segunda</t>
  </si>
  <si>
    <t>Brazil - Serie A e B</t>
  </si>
  <si>
    <t>Obs: Novas ligas podem ser adicionadas</t>
  </si>
  <si>
    <t>Adicionado Mapa de Valor para análise de tabela dinâmica</t>
  </si>
  <si>
    <t>VISIT</t>
  </si>
  <si>
    <t>EV</t>
  </si>
  <si>
    <t>Gols Casa</t>
  </si>
  <si>
    <t>Gol Vis</t>
  </si>
  <si>
    <t>Fç At Casa</t>
  </si>
  <si>
    <t>Fç Df Casa</t>
  </si>
  <si>
    <t>GOLE CAS</t>
  </si>
  <si>
    <t>Fç At Vis</t>
  </si>
  <si>
    <t>GOLE VIS</t>
  </si>
  <si>
    <t>Fç Df Vis</t>
  </si>
  <si>
    <t>BTTS</t>
  </si>
  <si>
    <t>OVER 5,5</t>
  </si>
  <si>
    <t>BTTS NÃO</t>
  </si>
  <si>
    <t>OVER 6,5</t>
  </si>
  <si>
    <t>OUTR EMP</t>
  </si>
  <si>
    <t xml:space="preserve"> </t>
  </si>
  <si>
    <t>OVER</t>
  </si>
  <si>
    <t>DPMPTC</t>
  </si>
  <si>
    <t>DPMPTV</t>
  </si>
  <si>
    <t>CVMPTC</t>
  </si>
  <si>
    <t>CVMPTV</t>
  </si>
  <si>
    <t>Germany - Bundesliga 1, 2 e 3</t>
  </si>
  <si>
    <t>Italy - Serie A e B</t>
  </si>
  <si>
    <t>France - Ligue 1, 2 e National</t>
  </si>
  <si>
    <t>Netherlands - Eredivisie e Eerste Divisie</t>
  </si>
  <si>
    <t>Egyto - Premier</t>
  </si>
  <si>
    <t>Atualizações:</t>
  </si>
  <si>
    <t>Aprimoramentos na aba CS Poisson</t>
  </si>
  <si>
    <t>Novas ligas adicionadas (sulamericanas)</t>
  </si>
  <si>
    <t>Adicionado previsão de Goleadas e Handicaps Over na aba CS Poisson</t>
  </si>
  <si>
    <t>Adicionadas medidas de dispersão das médias de pontos na aba BD</t>
  </si>
  <si>
    <t>Aplicados filtros na aba Mapa de Valor</t>
  </si>
  <si>
    <t>Novas ligas adicionadas (Européias inferiores)</t>
  </si>
  <si>
    <t>ODDS CASA</t>
  </si>
  <si>
    <t>Chile - Primeira e segunda</t>
  </si>
  <si>
    <t>Equador - Liga Pro</t>
  </si>
  <si>
    <t>Uruguai - Primeira divisão</t>
  </si>
  <si>
    <t>Paraguai - Primeira divisão</t>
  </si>
  <si>
    <t>Aprimoramentos no botão atualizar do dashboard</t>
  </si>
  <si>
    <t>A</t>
  </si>
  <si>
    <t>H</t>
  </si>
  <si>
    <t>D</t>
  </si>
  <si>
    <t/>
  </si>
  <si>
    <t>Botafogo RJ</t>
  </si>
  <si>
    <t>Sao Paulo</t>
  </si>
  <si>
    <t>Fluminense</t>
  </si>
  <si>
    <t>Palmeiras</t>
  </si>
  <si>
    <t>Internacional</t>
  </si>
  <si>
    <t>Bragantino</t>
  </si>
  <si>
    <t>Bahia</t>
  </si>
  <si>
    <t>Corinthians</t>
  </si>
  <si>
    <t>Cruzeiro</t>
  </si>
  <si>
    <t>Atletico-MG</t>
  </si>
  <si>
    <t>Vasco</t>
  </si>
  <si>
    <t>Gremio</t>
  </si>
  <si>
    <t>Santos</t>
  </si>
  <si>
    <t>Flamengo RJ</t>
  </si>
  <si>
    <t>BRASIL1</t>
  </si>
  <si>
    <t>1,3-1,5</t>
  </si>
  <si>
    <t>1,5-1,7</t>
  </si>
  <si>
    <t>1,7-1,9</t>
  </si>
  <si>
    <t>1,9-2,1</t>
  </si>
  <si>
    <t>2,1-2,3</t>
  </si>
  <si>
    <t>2,3-2,5</t>
  </si>
  <si>
    <t>2,5-2,7</t>
  </si>
  <si>
    <t>2,7-2,9</t>
  </si>
  <si>
    <t>2,9-3,1</t>
  </si>
  <si>
    <t>3,1-3,3</t>
  </si>
  <si>
    <t>3,3-3,5</t>
  </si>
  <si>
    <t>Home</t>
  </si>
  <si>
    <t>Away</t>
  </si>
  <si>
    <t>HG</t>
  </si>
  <si>
    <t>AG</t>
  </si>
  <si>
    <t>Res</t>
  </si>
  <si>
    <t>Vitoria</t>
  </si>
  <si>
    <t>Mirassol</t>
  </si>
  <si>
    <t>&gt;5,1</t>
  </si>
  <si>
    <t>B365CH</t>
  </si>
  <si>
    <t>B365CD</t>
  </si>
  <si>
    <t>B365CA</t>
  </si>
  <si>
    <t>Coritiba</t>
  </si>
  <si>
    <t>Athletico-PR</t>
  </si>
  <si>
    <t>Remo</t>
  </si>
  <si>
    <t>Chapecoense-SC</t>
  </si>
  <si>
    <t>3,7-3,9</t>
  </si>
  <si>
    <t>3,9-4,1</t>
  </si>
  <si>
    <t>4,1-4,3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</si>
</sst>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#,##0.00_ ;\-#,##0.00\ "/>
    <numFmt numFmtId="166" formatCode="0.000"/>
    <numFmt numFmtId="167" formatCode="0.0%"/>
    <numFmt numFmtId="168" formatCode="0.0"/>
    <numFmt numFmtId="169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4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 Black"/>
      <family val="2"/>
    </font>
    <font>
      <sz val="11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8"/>
      <color theme="8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71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9" tint="-0.249977111117893"/>
      </left>
      <right style="double">
        <color theme="1"/>
      </right>
      <top style="medium">
        <color theme="9" tint="-0.249977111117893"/>
      </top>
      <bottom style="medium">
        <color theme="9" tint="-0.249977111117893"/>
      </bottom>
      <diagonal/>
    </border>
    <border>
      <left style="double">
        <color theme="1"/>
      </left>
      <right style="double">
        <color theme="1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double">
        <color theme="1"/>
      </left>
      <right/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9" tint="-0.499984740745262"/>
      </left>
      <right/>
      <top style="thick">
        <color theme="9" tint="-0.499984740745262"/>
      </top>
      <bottom/>
      <diagonal/>
    </border>
    <border>
      <left/>
      <right/>
      <top style="thick">
        <color theme="9" tint="-0.499984740745262"/>
      </top>
      <bottom/>
      <diagonal/>
    </border>
    <border>
      <left/>
      <right style="thick">
        <color theme="9" tint="-0.499984740745262"/>
      </right>
      <top style="thick">
        <color theme="9" tint="-0.499984740745262"/>
      </top>
      <bottom/>
      <diagonal/>
    </border>
    <border>
      <left style="thick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 style="thick">
        <color theme="7" tint="-0.249977111117893"/>
      </left>
      <right/>
      <top style="thick">
        <color theme="7" tint="-0.249977111117893"/>
      </top>
      <bottom/>
      <diagonal/>
    </border>
    <border>
      <left/>
      <right/>
      <top style="thick">
        <color theme="7" tint="-0.249977111117893"/>
      </top>
      <bottom/>
      <diagonal/>
    </border>
    <border>
      <left/>
      <right style="thick">
        <color theme="7" tint="-0.249977111117893"/>
      </right>
      <top style="thick">
        <color theme="7" tint="-0.249977111117893"/>
      </top>
      <bottom/>
      <diagonal/>
    </border>
    <border>
      <left style="thick">
        <color theme="7" tint="-0.249977111117893"/>
      </left>
      <right/>
      <top/>
      <bottom/>
      <diagonal/>
    </border>
    <border>
      <left/>
      <right style="thick">
        <color theme="7" tint="-0.249977111117893"/>
      </right>
      <top/>
      <bottom/>
      <diagonal/>
    </border>
    <border>
      <left style="thick">
        <color theme="7" tint="-0.249977111117893"/>
      </left>
      <right/>
      <top/>
      <bottom style="thick">
        <color theme="7" tint="-0.249977111117893"/>
      </bottom>
      <diagonal/>
    </border>
    <border>
      <left/>
      <right/>
      <top/>
      <bottom style="thick">
        <color theme="7" tint="-0.249977111117893"/>
      </bottom>
      <diagonal/>
    </border>
    <border>
      <left/>
      <right style="thick">
        <color theme="7" tint="-0.249977111117893"/>
      </right>
      <top/>
      <bottom style="thick">
        <color theme="7" tint="-0.249977111117893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46">
    <xf numFmtId="0" fontId="0" fillId="0" borderId="0"/>
    <xf numFmtId="43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8" applyNumberFormat="0" applyFill="0" applyAlignment="0" applyProtection="0"/>
    <xf numFmtId="0" fontId="9" fillId="0" borderId="9" applyNumberFormat="0" applyFill="0" applyAlignment="0" applyProtection="0"/>
    <xf numFmtId="0" fontId="1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11" applyNumberFormat="0" applyAlignment="0" applyProtection="0"/>
    <xf numFmtId="0" fontId="15" fillId="8" borderId="12" applyNumberFormat="0" applyAlignment="0" applyProtection="0"/>
    <xf numFmtId="0" fontId="16" fillId="8" borderId="11" applyNumberFormat="0" applyAlignment="0" applyProtection="0"/>
    <xf numFmtId="0" fontId="17" fillId="0" borderId="13" applyNumberFormat="0" applyFill="0" applyAlignment="0" applyProtection="0"/>
    <xf numFmtId="0" fontId="18" fillId="9" borderId="14" applyNumberFormat="0" applyAlignment="0" applyProtection="0"/>
    <xf numFmtId="0" fontId="19" fillId="0" borderId="0" applyNumberFormat="0" applyFill="0" applyBorder="0" applyAlignment="0" applyProtection="0"/>
    <xf numFmtId="0" fontId="4" fillId="10" borderId="15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1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1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1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1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1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9" fontId="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  <xf numFmtId="0" fontId="0" fillId="37" borderId="0" xfId="0" applyFill="1"/>
    <xf numFmtId="2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0" fontId="0" fillId="3" borderId="0" xfId="0" applyFill="1"/>
    <xf numFmtId="0" fontId="0" fillId="39" borderId="0" xfId="0" applyFill="1" applyAlignment="1">
      <alignment horizontal="center"/>
    </xf>
    <xf numFmtId="0" fontId="0" fillId="39" borderId="0" xfId="0" applyFill="1"/>
    <xf numFmtId="0" fontId="3" fillId="38" borderId="0" xfId="0" applyFont="1" applyFill="1" applyAlignment="1">
      <alignment horizontal="left"/>
    </xf>
    <xf numFmtId="0" fontId="24" fillId="35" borderId="0" xfId="0" applyFont="1" applyFill="1"/>
    <xf numFmtId="0" fontId="24" fillId="36" borderId="0" xfId="0" applyFont="1" applyFill="1" applyAlignment="1">
      <alignment horizontal="center"/>
    </xf>
    <xf numFmtId="0" fontId="0" fillId="40" borderId="0" xfId="0" applyFill="1"/>
    <xf numFmtId="0" fontId="21" fillId="40" borderId="0" xfId="0" applyFont="1" applyFill="1" applyAlignment="1">
      <alignment horizontal="center"/>
    </xf>
    <xf numFmtId="0" fontId="2" fillId="40" borderId="0" xfId="0" applyFont="1" applyFill="1" applyAlignment="1">
      <alignment horizontal="center"/>
    </xf>
    <xf numFmtId="2" fontId="26" fillId="40" borderId="31" xfId="0" applyNumberFormat="1" applyFont="1" applyFill="1" applyBorder="1" applyAlignment="1">
      <alignment horizontal="center"/>
    </xf>
    <xf numFmtId="2" fontId="26" fillId="40" borderId="0" xfId="0" applyNumberFormat="1" applyFont="1" applyFill="1" applyAlignment="1">
      <alignment horizontal="center"/>
    </xf>
    <xf numFmtId="0" fontId="26" fillId="40" borderId="32" xfId="0" applyFont="1" applyFill="1" applyBorder="1" applyAlignment="1">
      <alignment horizontal="center"/>
    </xf>
    <xf numFmtId="2" fontId="26" fillId="40" borderId="24" xfId="0" applyNumberFormat="1" applyFont="1" applyFill="1" applyBorder="1" applyAlignment="1">
      <alignment horizontal="center"/>
    </xf>
    <xf numFmtId="2" fontId="26" fillId="40" borderId="25" xfId="0" applyNumberFormat="1" applyFont="1" applyFill="1" applyBorder="1" applyAlignment="1">
      <alignment horizontal="center"/>
    </xf>
    <xf numFmtId="2" fontId="26" fillId="40" borderId="26" xfId="0" applyNumberFormat="1" applyFont="1" applyFill="1" applyBorder="1" applyAlignment="1">
      <alignment horizontal="center"/>
    </xf>
    <xf numFmtId="2" fontId="26" fillId="40" borderId="27" xfId="0" applyNumberFormat="1" applyFont="1" applyFill="1" applyBorder="1" applyAlignment="1">
      <alignment horizontal="center"/>
    </xf>
    <xf numFmtId="2" fontId="26" fillId="40" borderId="28" xfId="0" applyNumberFormat="1" applyFont="1" applyFill="1" applyBorder="1" applyAlignment="1">
      <alignment horizontal="center"/>
    </xf>
    <xf numFmtId="2" fontId="26" fillId="40" borderId="0" xfId="0" applyNumberFormat="1" applyFont="1" applyFill="1"/>
    <xf numFmtId="0" fontId="2" fillId="40" borderId="0" xfId="0" applyFont="1" applyFill="1"/>
    <xf numFmtId="0" fontId="29" fillId="40" borderId="0" xfId="0" applyFont="1" applyFill="1" applyAlignment="1">
      <alignment horizontal="center"/>
    </xf>
    <xf numFmtId="0" fontId="2" fillId="40" borderId="29" xfId="0" applyFont="1" applyFill="1" applyBorder="1" applyAlignment="1">
      <alignment horizontal="center"/>
    </xf>
    <xf numFmtId="0" fontId="2" fillId="40" borderId="30" xfId="0" applyFont="1" applyFill="1" applyBorder="1" applyAlignment="1">
      <alignment horizontal="center"/>
    </xf>
    <xf numFmtId="2" fontId="2" fillId="40" borderId="0" xfId="0" applyNumberFormat="1" applyFont="1" applyFill="1" applyAlignment="1">
      <alignment horizontal="center"/>
    </xf>
    <xf numFmtId="0" fontId="26" fillId="40" borderId="0" xfId="0" applyFont="1" applyFill="1" applyAlignment="1">
      <alignment horizontal="center"/>
    </xf>
    <xf numFmtId="0" fontId="2" fillId="40" borderId="6" xfId="0" applyFont="1" applyFill="1" applyBorder="1"/>
    <xf numFmtId="2" fontId="2" fillId="40" borderId="5" xfId="0" applyNumberFormat="1" applyFont="1" applyFill="1" applyBorder="1"/>
    <xf numFmtId="0" fontId="2" fillId="40" borderId="4" xfId="0" applyFont="1" applyFill="1" applyBorder="1"/>
    <xf numFmtId="2" fontId="2" fillId="40" borderId="3" xfId="0" applyNumberFormat="1" applyFont="1" applyFill="1" applyBorder="1"/>
    <xf numFmtId="0" fontId="2" fillId="40" borderId="17" xfId="0" applyFont="1" applyFill="1" applyBorder="1"/>
    <xf numFmtId="9" fontId="2" fillId="40" borderId="0" xfId="43" applyFont="1" applyFill="1" applyBorder="1" applyAlignment="1">
      <alignment horizontal="center"/>
    </xf>
    <xf numFmtId="167" fontId="30" fillId="40" borderId="7" xfId="43" applyNumberFormat="1" applyFont="1" applyFill="1" applyBorder="1" applyAlignment="1">
      <alignment horizontal="center"/>
    </xf>
    <xf numFmtId="167" fontId="30" fillId="40" borderId="21" xfId="43" applyNumberFormat="1" applyFont="1" applyFill="1" applyBorder="1" applyAlignment="1">
      <alignment horizontal="center"/>
    </xf>
    <xf numFmtId="167" fontId="30" fillId="40" borderId="22" xfId="43" applyNumberFormat="1" applyFont="1" applyFill="1" applyBorder="1" applyAlignment="1">
      <alignment horizontal="center"/>
    </xf>
    <xf numFmtId="0" fontId="24" fillId="39" borderId="0" xfId="0" applyFont="1" applyFill="1" applyAlignment="1">
      <alignment horizontal="center"/>
    </xf>
    <xf numFmtId="0" fontId="0" fillId="39" borderId="33" xfId="0" applyFill="1" applyBorder="1" applyAlignment="1">
      <alignment horizontal="center"/>
    </xf>
    <xf numFmtId="2" fontId="0" fillId="39" borderId="34" xfId="0" applyNumberFormat="1" applyFill="1" applyBorder="1" applyAlignment="1">
      <alignment horizontal="center"/>
    </xf>
    <xf numFmtId="167" fontId="0" fillId="39" borderId="7" xfId="0" applyNumberFormat="1" applyFill="1" applyBorder="1" applyAlignment="1">
      <alignment horizontal="center"/>
    </xf>
    <xf numFmtId="0" fontId="0" fillId="43" borderId="36" xfId="0" applyFill="1" applyBorder="1" applyAlignment="1">
      <alignment horizontal="center"/>
    </xf>
    <xf numFmtId="167" fontId="0" fillId="39" borderId="21" xfId="0" applyNumberFormat="1" applyFill="1" applyBorder="1" applyAlignment="1">
      <alignment horizontal="center"/>
    </xf>
    <xf numFmtId="0" fontId="0" fillId="43" borderId="37" xfId="0" applyFill="1" applyBorder="1" applyAlignment="1">
      <alignment horizontal="center"/>
    </xf>
    <xf numFmtId="167" fontId="0" fillId="39" borderId="2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67" fontId="30" fillId="40" borderId="0" xfId="43" applyNumberFormat="1" applyFont="1" applyFill="1" applyBorder="1" applyAlignment="1">
      <alignment horizontal="center"/>
    </xf>
    <xf numFmtId="0" fontId="2" fillId="40" borderId="38" xfId="0" applyFont="1" applyFill="1" applyBorder="1"/>
    <xf numFmtId="0" fontId="2" fillId="40" borderId="39" xfId="0" applyFont="1" applyFill="1" applyBorder="1" applyAlignment="1">
      <alignment horizontal="center"/>
    </xf>
    <xf numFmtId="0" fontId="2" fillId="40" borderId="6" xfId="0" applyFont="1" applyFill="1" applyBorder="1" applyAlignment="1">
      <alignment horizontal="center"/>
    </xf>
    <xf numFmtId="0" fontId="26" fillId="40" borderId="6" xfId="0" applyFont="1" applyFill="1" applyBorder="1" applyAlignment="1">
      <alignment horizontal="center"/>
    </xf>
    <xf numFmtId="0" fontId="26" fillId="40" borderId="19" xfId="0" applyFont="1" applyFill="1" applyBorder="1" applyAlignment="1">
      <alignment horizontal="center"/>
    </xf>
    <xf numFmtId="0" fontId="26" fillId="40" borderId="5" xfId="0" applyFont="1" applyFill="1" applyBorder="1" applyAlignment="1">
      <alignment horizontal="center"/>
    </xf>
    <xf numFmtId="2" fontId="2" fillId="40" borderId="3" xfId="0" applyNumberFormat="1" applyFont="1" applyFill="1" applyBorder="1" applyAlignment="1">
      <alignment horizontal="center"/>
    </xf>
    <xf numFmtId="2" fontId="26" fillId="40" borderId="40" xfId="0" applyNumberFormat="1" applyFont="1" applyFill="1" applyBorder="1" applyAlignment="1">
      <alignment horizontal="center"/>
    </xf>
    <xf numFmtId="2" fontId="26" fillId="40" borderId="3" xfId="0" applyNumberFormat="1" applyFont="1" applyFill="1" applyBorder="1" applyAlignment="1">
      <alignment horizontal="center"/>
    </xf>
    <xf numFmtId="9" fontId="2" fillId="40" borderId="3" xfId="43" applyFont="1" applyFill="1" applyBorder="1" applyAlignment="1">
      <alignment horizontal="center"/>
    </xf>
    <xf numFmtId="9" fontId="26" fillId="40" borderId="3" xfId="43" applyFont="1" applyFill="1" applyBorder="1" applyAlignment="1">
      <alignment horizontal="center"/>
    </xf>
    <xf numFmtId="9" fontId="2" fillId="40" borderId="20" xfId="43" applyFont="1" applyFill="1" applyBorder="1" applyAlignment="1">
      <alignment horizontal="center"/>
    </xf>
    <xf numFmtId="9" fontId="2" fillId="40" borderId="18" xfId="43" applyFont="1" applyFill="1" applyBorder="1" applyAlignment="1">
      <alignment horizontal="center"/>
    </xf>
    <xf numFmtId="2" fontId="26" fillId="40" borderId="3" xfId="0" applyNumberFormat="1" applyFont="1" applyFill="1" applyBorder="1"/>
    <xf numFmtId="2" fontId="26" fillId="40" borderId="18" xfId="0" applyNumberFormat="1" applyFont="1" applyFill="1" applyBorder="1"/>
    <xf numFmtId="0" fontId="0" fillId="3" borderId="0" xfId="0" applyFill="1" applyAlignment="1" applyProtection="1">
      <alignment horizontal="center"/>
      <protection hidden="1"/>
    </xf>
    <xf numFmtId="2" fontId="0" fillId="3" borderId="0" xfId="0" applyNumberFormat="1" applyFill="1" applyAlignment="1" applyProtection="1">
      <alignment horizontal="center"/>
      <protection hidden="1"/>
    </xf>
    <xf numFmtId="1" fontId="0" fillId="3" borderId="0" xfId="0" applyNumberFormat="1" applyFill="1" applyAlignment="1" applyProtection="1">
      <alignment horizontal="center"/>
      <protection hidden="1"/>
    </xf>
    <xf numFmtId="1" fontId="2" fillId="3" borderId="0" xfId="0" applyNumberFormat="1" applyFont="1" applyFill="1" applyAlignment="1" applyProtection="1">
      <alignment horizontal="center"/>
      <protection hidden="1"/>
    </xf>
    <xf numFmtId="14" fontId="0" fillId="3" borderId="0" xfId="0" applyNumberFormat="1" applyFill="1" applyAlignment="1" applyProtection="1">
      <alignment horizontal="center"/>
      <protection hidden="1"/>
    </xf>
    <xf numFmtId="164" fontId="0" fillId="3" borderId="0" xfId="1" applyNumberFormat="1" applyFont="1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2" fontId="0" fillId="0" borderId="0" xfId="0" applyNumberFormat="1" applyAlignment="1" applyProtection="1">
      <alignment horizontal="center"/>
      <protection hidden="1"/>
    </xf>
    <xf numFmtId="2" fontId="28" fillId="0" borderId="0" xfId="0" applyNumberFormat="1" applyFont="1" applyAlignment="1" applyProtection="1">
      <alignment horizontal="center"/>
      <protection hidden="1"/>
    </xf>
    <xf numFmtId="2" fontId="0" fillId="0" borderId="6" xfId="0" applyNumberFormat="1" applyBorder="1" applyAlignment="1" applyProtection="1">
      <alignment horizontal="center"/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2" fontId="0" fillId="0" borderId="0" xfId="0" applyNumberFormat="1" applyProtection="1">
      <protection hidden="1"/>
    </xf>
    <xf numFmtId="2" fontId="2" fillId="0" borderId="6" xfId="0" applyNumberFormat="1" applyFont="1" applyBorder="1" applyAlignment="1" applyProtection="1">
      <alignment horizontal="center"/>
      <protection hidden="1"/>
    </xf>
    <xf numFmtId="2" fontId="2" fillId="0" borderId="5" xfId="0" applyNumberFormat="1" applyFont="1" applyBorder="1" applyAlignment="1" applyProtection="1">
      <alignment horizontal="center"/>
      <protection hidden="1"/>
    </xf>
    <xf numFmtId="165" fontId="0" fillId="0" borderId="0" xfId="1" applyNumberFormat="1" applyFont="1" applyAlignment="1" applyProtection="1">
      <alignment horizontal="center"/>
      <protection hidden="1"/>
    </xf>
    <xf numFmtId="165" fontId="0" fillId="0" borderId="0" xfId="0" applyNumberFormat="1" applyAlignment="1" applyProtection="1">
      <alignment horizontal="center"/>
      <protection hidden="1"/>
    </xf>
    <xf numFmtId="2" fontId="0" fillId="0" borderId="4" xfId="0" applyNumberFormat="1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2" fontId="2" fillId="0" borderId="4" xfId="0" applyNumberFormat="1" applyFont="1" applyBorder="1" applyAlignment="1" applyProtection="1">
      <alignment horizontal="center"/>
      <protection hidden="1"/>
    </xf>
    <xf numFmtId="2" fontId="2" fillId="0" borderId="3" xfId="0" applyNumberFormat="1" applyFont="1" applyBorder="1" applyAlignment="1" applyProtection="1">
      <alignment horizontal="center"/>
      <protection hidden="1"/>
    </xf>
    <xf numFmtId="2" fontId="0" fillId="0" borderId="17" xfId="0" applyNumberFormat="1" applyBorder="1" applyAlignment="1" applyProtection="1">
      <alignment horizontal="center"/>
      <protection hidden="1"/>
    </xf>
    <xf numFmtId="2" fontId="0" fillId="0" borderId="18" xfId="0" applyNumberFormat="1" applyBorder="1" applyAlignment="1" applyProtection="1">
      <alignment horizontal="center"/>
      <protection hidden="1"/>
    </xf>
    <xf numFmtId="2" fontId="2" fillId="0" borderId="17" xfId="0" applyNumberFormat="1" applyFont="1" applyBorder="1" applyAlignment="1" applyProtection="1">
      <alignment horizontal="center"/>
      <protection hidden="1"/>
    </xf>
    <xf numFmtId="2" fontId="2" fillId="0" borderId="18" xfId="0" applyNumberFormat="1" applyFont="1" applyBorder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2" fontId="2" fillId="0" borderId="0" xfId="0" applyNumberFormat="1" applyFont="1" applyAlignment="1" applyProtection="1">
      <alignment horizontal="center"/>
      <protection hidden="1"/>
    </xf>
    <xf numFmtId="165" fontId="0" fillId="0" borderId="0" xfId="1" applyNumberFormat="1" applyFont="1" applyBorder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2" fontId="0" fillId="41" borderId="0" xfId="0" applyNumberFormat="1" applyFill="1" applyAlignment="1" applyProtection="1">
      <alignment horizontal="center"/>
      <protection hidden="1"/>
    </xf>
    <xf numFmtId="0" fontId="3" fillId="0" borderId="23" xfId="0" applyFont="1" applyBorder="1" applyAlignment="1" applyProtection="1">
      <alignment horizontal="center"/>
      <protection hidden="1"/>
    </xf>
    <xf numFmtId="0" fontId="3" fillId="42" borderId="0" xfId="0" applyFont="1" applyFill="1" applyAlignment="1" applyProtection="1">
      <alignment horizontal="center"/>
      <protection hidden="1"/>
    </xf>
    <xf numFmtId="0" fontId="6" fillId="41" borderId="0" xfId="0" applyFont="1" applyFill="1" applyAlignment="1" applyProtection="1">
      <alignment horizontal="left"/>
      <protection hidden="1"/>
    </xf>
    <xf numFmtId="0" fontId="3" fillId="41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0" fillId="41" borderId="0" xfId="0" applyFill="1" applyAlignment="1" applyProtection="1">
      <alignment horizontal="center"/>
      <protection hidden="1"/>
    </xf>
    <xf numFmtId="0" fontId="25" fillId="41" borderId="0" xfId="0" applyFont="1" applyFill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2" fontId="1" fillId="41" borderId="0" xfId="0" applyNumberFormat="1" applyFont="1" applyFill="1" applyAlignment="1" applyProtection="1">
      <alignment horizontal="center"/>
      <protection hidden="1"/>
    </xf>
    <xf numFmtId="0" fontId="3" fillId="42" borderId="0" xfId="0" applyFont="1" applyFill="1" applyProtection="1">
      <protection hidden="1"/>
    </xf>
    <xf numFmtId="0" fontId="23" fillId="41" borderId="0" xfId="0" applyFont="1" applyFill="1" applyAlignment="1" applyProtection="1">
      <alignment horizontal="center"/>
      <protection hidden="1"/>
    </xf>
    <xf numFmtId="166" fontId="0" fillId="41" borderId="0" xfId="0" applyNumberFormat="1" applyFill="1" applyAlignment="1" applyProtection="1">
      <alignment horizontal="center"/>
      <protection hidden="1"/>
    </xf>
    <xf numFmtId="167" fontId="0" fillId="41" borderId="0" xfId="43" applyNumberFormat="1" applyFont="1" applyFill="1" applyBorder="1" applyAlignment="1" applyProtection="1">
      <alignment horizontal="center"/>
      <protection hidden="1"/>
    </xf>
    <xf numFmtId="0" fontId="24" fillId="41" borderId="0" xfId="0" applyFont="1" applyFill="1" applyAlignment="1" applyProtection="1">
      <alignment horizontal="center"/>
      <protection hidden="1"/>
    </xf>
    <xf numFmtId="167" fontId="0" fillId="41" borderId="0" xfId="0" applyNumberFormat="1" applyFill="1" applyAlignment="1" applyProtection="1">
      <alignment horizontal="center"/>
      <protection hidden="1"/>
    </xf>
    <xf numFmtId="2" fontId="0" fillId="41" borderId="0" xfId="0" applyNumberFormat="1" applyFill="1" applyAlignment="1" applyProtection="1">
      <alignment horizontal="left"/>
      <protection hidden="1"/>
    </xf>
    <xf numFmtId="0" fontId="6" fillId="42" borderId="0" xfId="0" applyFont="1" applyFill="1" applyAlignment="1" applyProtection="1">
      <alignment horizontal="left"/>
      <protection hidden="1"/>
    </xf>
    <xf numFmtId="0" fontId="0" fillId="41" borderId="0" xfId="0" applyFill="1" applyProtection="1">
      <protection hidden="1"/>
    </xf>
    <xf numFmtId="0" fontId="1" fillId="41" borderId="0" xfId="0" applyFont="1" applyFill="1" applyAlignment="1" applyProtection="1">
      <alignment horizontal="center"/>
      <protection hidden="1"/>
    </xf>
    <xf numFmtId="1" fontId="1" fillId="41" borderId="0" xfId="0" applyNumberFormat="1" applyFont="1" applyFill="1" applyAlignment="1" applyProtection="1">
      <alignment horizontal="center"/>
      <protection hidden="1"/>
    </xf>
    <xf numFmtId="0" fontId="22" fillId="41" borderId="0" xfId="0" applyFont="1" applyFill="1" applyAlignment="1" applyProtection="1">
      <alignment horizontal="center"/>
      <protection hidden="1"/>
    </xf>
    <xf numFmtId="9" fontId="1" fillId="41" borderId="0" xfId="0" applyNumberFormat="1" applyFont="1" applyFill="1" applyAlignment="1" applyProtection="1">
      <alignment horizontal="center"/>
      <protection hidden="1"/>
    </xf>
    <xf numFmtId="3" fontId="0" fillId="41" borderId="0" xfId="0" applyNumberFormat="1" applyFill="1" applyAlignment="1" applyProtection="1">
      <alignment horizontal="center"/>
      <protection hidden="1"/>
    </xf>
    <xf numFmtId="9" fontId="0" fillId="41" borderId="0" xfId="0" applyNumberFormat="1" applyFill="1" applyAlignment="1" applyProtection="1">
      <alignment horizontal="center"/>
      <protection hidden="1"/>
    </xf>
    <xf numFmtId="2" fontId="26" fillId="41" borderId="0" xfId="0" applyNumberFormat="1" applyFont="1" applyFill="1" applyAlignment="1" applyProtection="1">
      <alignment horizontal="center"/>
      <protection hidden="1"/>
    </xf>
    <xf numFmtId="168" fontId="1" fillId="41" borderId="0" xfId="0" applyNumberFormat="1" applyFont="1" applyFill="1" applyAlignment="1" applyProtection="1">
      <alignment horizontal="center"/>
      <protection hidden="1"/>
    </xf>
    <xf numFmtId="2" fontId="2" fillId="41" borderId="0" xfId="0" applyNumberFormat="1" applyFont="1" applyFill="1" applyAlignment="1" applyProtection="1">
      <alignment horizontal="center"/>
      <protection hidden="1"/>
    </xf>
    <xf numFmtId="0" fontId="27" fillId="41" borderId="0" xfId="0" applyFont="1" applyFill="1" applyAlignment="1" applyProtection="1">
      <alignment horizontal="center"/>
      <protection hidden="1"/>
    </xf>
    <xf numFmtId="0" fontId="1" fillId="41" borderId="0" xfId="0" applyFont="1" applyFill="1" applyAlignment="1" applyProtection="1">
      <alignment horizontal="right"/>
      <protection hidden="1"/>
    </xf>
    <xf numFmtId="169" fontId="0" fillId="41" borderId="0" xfId="1" applyNumberFormat="1" applyFont="1" applyFill="1" applyBorder="1" applyAlignment="1" applyProtection="1">
      <alignment horizontal="center"/>
      <protection hidden="1"/>
    </xf>
    <xf numFmtId="0" fontId="27" fillId="41" borderId="0" xfId="0" applyFont="1" applyFill="1" applyAlignment="1" applyProtection="1">
      <alignment horizontal="right"/>
      <protection hidden="1"/>
    </xf>
    <xf numFmtId="0" fontId="26" fillId="42" borderId="0" xfId="0" applyFont="1" applyFill="1" applyAlignment="1" applyProtection="1">
      <alignment horizontal="right"/>
      <protection hidden="1"/>
    </xf>
    <xf numFmtId="0" fontId="1" fillId="42" borderId="0" xfId="0" applyFont="1" applyFill="1" applyAlignment="1" applyProtection="1">
      <alignment horizontal="right"/>
      <protection hidden="1"/>
    </xf>
    <xf numFmtId="0" fontId="31" fillId="40" borderId="0" xfId="0" applyFont="1" applyFill="1" applyAlignment="1">
      <alignment horizontal="center"/>
    </xf>
    <xf numFmtId="0" fontId="2" fillId="40" borderId="6" xfId="0" applyFont="1" applyFill="1" applyBorder="1" applyAlignment="1">
      <alignment horizontal="left"/>
    </xf>
    <xf numFmtId="2" fontId="26" fillId="40" borderId="3" xfId="1" applyNumberFormat="1" applyFont="1" applyFill="1" applyBorder="1" applyAlignment="1">
      <alignment horizontal="center"/>
    </xf>
    <xf numFmtId="2" fontId="26" fillId="40" borderId="18" xfId="0" applyNumberFormat="1" applyFont="1" applyFill="1" applyBorder="1" applyAlignment="1">
      <alignment horizontal="center"/>
    </xf>
    <xf numFmtId="0" fontId="26" fillId="40" borderId="0" xfId="0" applyFont="1" applyFill="1"/>
    <xf numFmtId="2" fontId="26" fillId="40" borderId="19" xfId="0" applyNumberFormat="1" applyFont="1" applyFill="1" applyBorder="1" applyAlignment="1">
      <alignment horizontal="center"/>
    </xf>
    <xf numFmtId="0" fontId="2" fillId="40" borderId="41" xfId="0" applyFont="1" applyFill="1" applyBorder="1" applyAlignment="1">
      <alignment horizontal="center"/>
    </xf>
    <xf numFmtId="2" fontId="2" fillId="40" borderId="42" xfId="0" applyNumberFormat="1" applyFont="1" applyFill="1" applyBorder="1" applyAlignment="1">
      <alignment horizontal="center"/>
    </xf>
    <xf numFmtId="2" fontId="26" fillId="40" borderId="5" xfId="0" applyNumberFormat="1" applyFont="1" applyFill="1" applyBorder="1" applyAlignment="1">
      <alignment horizontal="center"/>
    </xf>
    <xf numFmtId="0" fontId="6" fillId="40" borderId="0" xfId="0" applyFont="1" applyFill="1" applyAlignment="1">
      <alignment horizontal="center"/>
    </xf>
    <xf numFmtId="0" fontId="32" fillId="40" borderId="0" xfId="44" applyFill="1"/>
    <xf numFmtId="0" fontId="22" fillId="40" borderId="0" xfId="0" applyFont="1" applyFill="1"/>
    <xf numFmtId="2" fontId="26" fillId="40" borderId="0" xfId="1" applyNumberFormat="1" applyFont="1" applyFill="1" applyBorder="1" applyAlignment="1">
      <alignment horizontal="center"/>
    </xf>
    <xf numFmtId="2" fontId="26" fillId="40" borderId="18" xfId="1" applyNumberFormat="1" applyFont="1" applyFill="1" applyBorder="1" applyAlignment="1">
      <alignment horizontal="center"/>
    </xf>
    <xf numFmtId="10" fontId="0" fillId="39" borderId="0" xfId="43" applyNumberFormat="1" applyFont="1" applyFill="1" applyAlignment="1">
      <alignment horizontal="center"/>
    </xf>
    <xf numFmtId="2" fontId="26" fillId="40" borderId="43" xfId="0" applyNumberFormat="1" applyFont="1" applyFill="1" applyBorder="1" applyAlignment="1">
      <alignment horizontal="center"/>
    </xf>
    <xf numFmtId="0" fontId="2" fillId="40" borderId="44" xfId="0" applyFont="1" applyFill="1" applyBorder="1"/>
    <xf numFmtId="2" fontId="2" fillId="40" borderId="45" xfId="0" applyNumberFormat="1" applyFont="1" applyFill="1" applyBorder="1"/>
    <xf numFmtId="0" fontId="30" fillId="40" borderId="21" xfId="0" applyFont="1" applyFill="1" applyBorder="1" applyAlignment="1">
      <alignment horizontal="center"/>
    </xf>
    <xf numFmtId="0" fontId="26" fillId="40" borderId="7" xfId="0" applyFont="1" applyFill="1" applyBorder="1" applyAlignment="1">
      <alignment horizontal="center"/>
    </xf>
    <xf numFmtId="0" fontId="33" fillId="40" borderId="21" xfId="0" applyFont="1" applyFill="1" applyBorder="1" applyAlignment="1">
      <alignment horizontal="center"/>
    </xf>
    <xf numFmtId="0" fontId="2" fillId="40" borderId="22" xfId="0" applyFont="1" applyFill="1" applyBorder="1"/>
    <xf numFmtId="0" fontId="2" fillId="40" borderId="0" xfId="0" applyFont="1" applyFill="1" applyAlignment="1">
      <alignment horizontal="left"/>
    </xf>
    <xf numFmtId="2" fontId="26" fillId="40" borderId="20" xfId="43" applyNumberFormat="1" applyFont="1" applyFill="1" applyBorder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10" fontId="0" fillId="3" borderId="47" xfId="0" applyNumberFormat="1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10" fontId="0" fillId="3" borderId="50" xfId="0" applyNumberFormat="1" applyFill="1" applyBorder="1" applyAlignment="1">
      <alignment horizontal="center"/>
    </xf>
    <xf numFmtId="10" fontId="0" fillId="3" borderId="52" xfId="0" applyNumberFormat="1" applyFill="1" applyBorder="1" applyAlignment="1">
      <alignment horizontal="center"/>
    </xf>
    <xf numFmtId="10" fontId="0" fillId="3" borderId="53" xfId="0" applyNumberForma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10" fontId="0" fillId="3" borderId="55" xfId="0" applyNumberFormat="1" applyFill="1" applyBorder="1" applyAlignment="1">
      <alignment horizontal="center"/>
    </xf>
    <xf numFmtId="10" fontId="0" fillId="3" borderId="56" xfId="0" applyNumberFormat="1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10" fontId="0" fillId="3" borderId="58" xfId="0" applyNumberForma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10" fontId="0" fillId="3" borderId="60" xfId="0" applyNumberFormat="1" applyFill="1" applyBorder="1" applyAlignment="1">
      <alignment horizontal="center"/>
    </xf>
    <xf numFmtId="10" fontId="0" fillId="3" borderId="61" xfId="0" applyNumberForma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10" fontId="0" fillId="44" borderId="0" xfId="0" applyNumberFormat="1" applyFill="1" applyAlignment="1">
      <alignment horizontal="center"/>
    </xf>
    <xf numFmtId="10" fontId="0" fillId="44" borderId="50" xfId="0" applyNumberFormat="1" applyFill="1" applyBorder="1" applyAlignment="1">
      <alignment horizontal="center"/>
    </xf>
    <xf numFmtId="0" fontId="0" fillId="44" borderId="57" xfId="0" applyFill="1" applyBorder="1" applyAlignment="1">
      <alignment horizontal="center"/>
    </xf>
    <xf numFmtId="0" fontId="0" fillId="44" borderId="58" xfId="0" applyFill="1" applyBorder="1" applyAlignment="1">
      <alignment horizontal="center"/>
    </xf>
    <xf numFmtId="10" fontId="0" fillId="36" borderId="0" xfId="0" applyNumberFormat="1" applyFill="1" applyAlignment="1">
      <alignment horizontal="center"/>
    </xf>
    <xf numFmtId="10" fontId="0" fillId="36" borderId="50" xfId="0" applyNumberFormat="1" applyFill="1" applyBorder="1" applyAlignment="1">
      <alignment horizontal="center"/>
    </xf>
    <xf numFmtId="0" fontId="0" fillId="36" borderId="57" xfId="0" applyFill="1" applyBorder="1" applyAlignment="1">
      <alignment horizontal="center"/>
    </xf>
    <xf numFmtId="10" fontId="0" fillId="36" borderId="58" xfId="0" applyNumberFormat="1" applyFill="1" applyBorder="1" applyAlignment="1">
      <alignment horizontal="center"/>
    </xf>
    <xf numFmtId="10" fontId="0" fillId="45" borderId="0" xfId="0" applyNumberFormat="1" applyFill="1" applyAlignment="1">
      <alignment horizontal="center"/>
    </xf>
    <xf numFmtId="10" fontId="0" fillId="45" borderId="50" xfId="0" applyNumberFormat="1" applyFill="1" applyBorder="1" applyAlignment="1">
      <alignment horizontal="center"/>
    </xf>
    <xf numFmtId="0" fontId="0" fillId="45" borderId="57" xfId="0" applyFill="1" applyBorder="1" applyAlignment="1">
      <alignment horizontal="center"/>
    </xf>
    <xf numFmtId="10" fontId="0" fillId="45" borderId="58" xfId="0" applyNumberFormat="1" applyFill="1" applyBorder="1" applyAlignment="1">
      <alignment horizontal="center"/>
    </xf>
    <xf numFmtId="0" fontId="0" fillId="35" borderId="0" xfId="0" applyFill="1"/>
    <xf numFmtId="10" fontId="0" fillId="35" borderId="0" xfId="0" applyNumberFormat="1" applyFill="1" applyAlignment="1">
      <alignment horizontal="center"/>
    </xf>
    <xf numFmtId="0" fontId="3" fillId="46" borderId="0" xfId="0" applyFont="1" applyFill="1"/>
    <xf numFmtId="2" fontId="0" fillId="3" borderId="0" xfId="0" applyNumberFormat="1" applyFill="1" applyAlignment="1">
      <alignment horizontal="left"/>
    </xf>
    <xf numFmtId="1" fontId="1" fillId="3" borderId="0" xfId="0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26" fillId="3" borderId="0" xfId="0" applyNumberFormat="1" applyFont="1" applyFill="1" applyAlignment="1">
      <alignment horizontal="left"/>
    </xf>
    <xf numFmtId="0" fontId="0" fillId="35" borderId="0" xfId="0" applyFill="1" applyAlignment="1">
      <alignment horizontal="left"/>
    </xf>
    <xf numFmtId="0" fontId="0" fillId="43" borderId="3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46" borderId="0" xfId="0" applyFont="1" applyFill="1" applyAlignment="1">
      <alignment horizontal="left"/>
    </xf>
    <xf numFmtId="0" fontId="27" fillId="3" borderId="0" xfId="0" applyFont="1" applyFill="1" applyAlignment="1">
      <alignment horizontal="left"/>
    </xf>
    <xf numFmtId="168" fontId="1" fillId="3" borderId="0" xfId="0" applyNumberFormat="1" applyFont="1" applyFill="1" applyAlignment="1">
      <alignment horizontal="left"/>
    </xf>
    <xf numFmtId="0" fontId="0" fillId="43" borderId="62" xfId="0" applyFill="1" applyBorder="1" applyAlignment="1">
      <alignment horizontal="center"/>
    </xf>
    <xf numFmtId="0" fontId="34" fillId="39" borderId="0" xfId="0" applyFont="1" applyFill="1" applyAlignment="1">
      <alignment horizontal="center"/>
    </xf>
    <xf numFmtId="0" fontId="1" fillId="3" borderId="0" xfId="0" applyFont="1" applyFill="1"/>
    <xf numFmtId="0" fontId="35" fillId="3" borderId="0" xfId="0" applyFont="1" applyFill="1" applyAlignment="1">
      <alignment horizontal="left"/>
    </xf>
    <xf numFmtId="10" fontId="0" fillId="3" borderId="0" xfId="0" applyNumberFormat="1" applyFill="1"/>
    <xf numFmtId="0" fontId="1" fillId="3" borderId="0" xfId="0" applyFont="1" applyFill="1" applyAlignment="1">
      <alignment horizontal="left"/>
    </xf>
    <xf numFmtId="0" fontId="0" fillId="3" borderId="46" xfId="0" applyFill="1" applyBorder="1" applyAlignment="1">
      <alignment horizontal="left"/>
    </xf>
    <xf numFmtId="0" fontId="0" fillId="3" borderId="63" xfId="0" applyFill="1" applyBorder="1" applyAlignment="1">
      <alignment horizontal="center"/>
    </xf>
    <xf numFmtId="10" fontId="0" fillId="3" borderId="64" xfId="0" applyNumberFormat="1" applyFill="1" applyBorder="1" applyAlignment="1">
      <alignment horizontal="center"/>
    </xf>
    <xf numFmtId="0" fontId="0" fillId="3" borderId="65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6" xfId="0" applyFill="1" applyBorder="1" applyAlignment="1">
      <alignment horizontal="center"/>
    </xf>
    <xf numFmtId="10" fontId="0" fillId="3" borderId="67" xfId="0" applyNumberFormat="1" applyFill="1" applyBorder="1" applyAlignment="1">
      <alignment horizontal="center"/>
    </xf>
    <xf numFmtId="0" fontId="0" fillId="44" borderId="49" xfId="0" applyFill="1" applyBorder="1" applyAlignment="1">
      <alignment horizontal="left"/>
    </xf>
    <xf numFmtId="0" fontId="0" fillId="36" borderId="49" xfId="0" applyFill="1" applyBorder="1" applyAlignment="1">
      <alignment horizontal="left"/>
    </xf>
    <xf numFmtId="0" fontId="0" fillId="3" borderId="57" xfId="0" applyFill="1" applyBorder="1" applyAlignment="1">
      <alignment horizontal="left"/>
    </xf>
    <xf numFmtId="0" fontId="0" fillId="3" borderId="67" xfId="0" applyFill="1" applyBorder="1" applyAlignment="1">
      <alignment horizontal="center"/>
    </xf>
    <xf numFmtId="0" fontId="0" fillId="45" borderId="49" xfId="0" applyFill="1" applyBorder="1" applyAlignment="1">
      <alignment horizontal="left"/>
    </xf>
    <xf numFmtId="0" fontId="0" fillId="45" borderId="66" xfId="0" applyFill="1" applyBorder="1" applyAlignment="1">
      <alignment horizontal="center"/>
    </xf>
    <xf numFmtId="10" fontId="0" fillId="45" borderId="67" xfId="0" applyNumberFormat="1" applyFill="1" applyBorder="1" applyAlignment="1">
      <alignment horizontal="center"/>
    </xf>
    <xf numFmtId="0" fontId="0" fillId="3" borderId="51" xfId="0" applyFill="1" applyBorder="1" applyAlignment="1">
      <alignment horizontal="left"/>
    </xf>
    <xf numFmtId="0" fontId="0" fillId="3" borderId="68" xfId="0" applyFill="1" applyBorder="1" applyAlignment="1">
      <alignment horizontal="center"/>
    </xf>
    <xf numFmtId="10" fontId="0" fillId="3" borderId="69" xfId="0" applyNumberFormat="1" applyFill="1" applyBorder="1" applyAlignment="1">
      <alignment horizontal="center"/>
    </xf>
    <xf numFmtId="10" fontId="0" fillId="3" borderId="70" xfId="0" applyNumberFormat="1" applyFill="1" applyBorder="1" applyAlignment="1">
      <alignment horizontal="center"/>
    </xf>
    <xf numFmtId="0" fontId="36" fillId="46" borderId="2" xfId="0" applyFont="1" applyFill="1" applyBorder="1" applyAlignment="1">
      <alignment horizontal="center"/>
    </xf>
    <xf numFmtId="14" fontId="0" fillId="39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2" fontId="0" fillId="37" borderId="0" xfId="0" applyNumberFormat="1" applyFill="1"/>
    <xf numFmtId="0" fontId="0" fillId="37" borderId="0" xfId="0" applyFill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40" borderId="0" xfId="0" applyNumberFormat="1" applyFill="1"/>
    <xf numFmtId="0" fontId="0" fillId="0" borderId="2" xfId="0" applyBorder="1"/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4" fontId="0" fillId="0" borderId="0" xfId="0" applyNumberFormat="1" applyAlignment="1">
      <alignment horizontal="left" indent="5"/>
    </xf>
    <xf numFmtId="0" fontId="37" fillId="2" borderId="0" xfId="0" applyFont="1" applyFill="1"/>
    <xf numFmtId="0" fontId="37" fillId="0" borderId="2" xfId="0" applyFont="1" applyBorder="1"/>
    <xf numFmtId="0" fontId="37" fillId="2" borderId="2" xfId="0" applyFont="1" applyFill="1" applyBorder="1"/>
    <xf numFmtId="0" fontId="37" fillId="0" borderId="0" xfId="0" applyFont="1"/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Hiperlink" xfId="44" builtinId="8"/>
    <cellStyle name="Neutro" xfId="9" builtinId="28" customBuiltin="1"/>
    <cellStyle name="Normal" xfId="0" builtinId="0"/>
    <cellStyle name="Nota" xfId="16" builtinId="10" customBuiltin="1"/>
    <cellStyle name="Porcentagem" xfId="43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  <cellStyle name="Vírgula 2" xfId="45" xr:uid="{80419BF2-49C5-40FC-95C1-77171D96FB04}"/>
  </cellStyles>
  <dxfs count="25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165" formatCode="#,##0.00_ ;\-#,##0.00\ 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165" formatCode="#,##0.00_ ;\-#,##0.00\ 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165" formatCode="#,##0.00_ ;\-#,##0.00\ 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_ ;\-#,##0.00\ 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color theme="8" tint="-0.249977111117893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theme="4" tint="-0.249977111117893"/>
        </right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theme="4" tint="-0.249977111117893"/>
        </left>
        <right/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theme="4" tint="-0.249977111117893"/>
        </right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theme="4" tint="-0.249977111117893"/>
        </left>
        <right/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1" hidden="1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numFmt numFmtId="2" formatCode="0.0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  <protection locked="1" hidden="1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9" formatCode="dd/mm/yyyy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1" formatCode="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2" formatCode="0.00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theme="7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sz val="11"/>
        <color theme="1"/>
      </font>
      <fill>
        <patternFill>
          <bgColor theme="6" tint="0.79998168889431442"/>
        </patternFill>
      </fill>
    </dxf>
    <dxf>
      <fill>
        <patternFill patternType="solid">
          <fgColor theme="0"/>
          <bgColor theme="2" tint="-9.9948118533890809E-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ill>
        <patternFill patternType="solid">
          <fgColor theme="0"/>
          <bgColor theme="2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8" defaultTableStyle="TableStyleMedium2" defaultPivotStyle="PivotStyleLight16">
    <tableStyle name="Estilo de Linha do Tempo 1" pivot="0" table="0" count="8" xr9:uid="{6F11BF32-2245-4F24-BC8A-501AEF6434CF}">
      <tableStyleElement type="wholeTable" dxfId="255"/>
      <tableStyleElement type="headerRow" dxfId="254"/>
    </tableStyle>
    <tableStyle name="Estilo de Linha do Tempo 2" pivot="0" table="0" count="8" xr9:uid="{27E186A8-8894-4AE5-AE0B-EE34CDA0F2D0}">
      <tableStyleElement type="wholeTable" dxfId="253"/>
      <tableStyleElement type="headerRow" dxfId="252"/>
    </tableStyle>
    <tableStyle name="Estilo de Linha do Tempo 3" pivot="0" table="0" count="8" xr9:uid="{4F027212-EA02-4EC4-8678-9E1999380C9A}">
      <tableStyleElement type="wholeTable" dxfId="251"/>
      <tableStyleElement type="headerRow" dxfId="250"/>
    </tableStyle>
    <tableStyle name="Estilo de Segmentação de Dados 1" pivot="0" table="0" count="4" xr9:uid="{47CB83E1-E67B-4389-A579-BF0C5944C405}">
      <tableStyleElement type="wholeTable" dxfId="249"/>
      <tableStyleElement type="headerRow" dxfId="248"/>
    </tableStyle>
    <tableStyle name="Estilo de Segmentação de Dados 1 2" pivot="0" table="0" count="4" xr9:uid="{89A92522-B463-45E2-85CA-232640DD692A}">
      <tableStyleElement type="wholeTable" dxfId="247"/>
      <tableStyleElement type="headerRow" dxfId="246"/>
    </tableStyle>
    <tableStyle name="Estilo de Segmentação de Dados 3" pivot="0" table="0" count="4" xr9:uid="{9504EA05-ED58-4FE2-A1D8-BDF7AEF2BF32}">
      <tableStyleElement type="wholeTable" dxfId="245"/>
      <tableStyleElement type="headerRow" dxfId="244"/>
    </tableStyle>
    <tableStyle name="Estilo de Segmentação de Dados 7" pivot="0" table="0" count="4" xr9:uid="{2BCB44E9-865C-4192-8F6D-0BE7442676BB}">
      <tableStyleElement type="wholeTable" dxfId="243"/>
      <tableStyleElement type="headerRow" dxfId="242"/>
    </tableStyle>
    <tableStyle name="Estilo de Segmentação de Dados 8" pivot="0" table="0" count="4" xr9:uid="{F2FF480E-E180-471E-8AB5-13FBB55C1D0E}">
      <tableStyleElement type="wholeTable" dxfId="241"/>
      <tableStyleElement type="headerRow" dxfId="240"/>
    </tableStyle>
  </tableStyles>
  <colors>
    <mruColors>
      <color rgb="FFF25A30"/>
      <color rgb="FF7EE4A7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6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6" tint="-0.24994659260841701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bgColor theme="9" tint="0.79998168889431442"/>
            </patternFill>
          </fill>
        </dxf>
        <dxf>
          <fill>
            <patternFill>
              <bgColor theme="7" tint="0.59996337778862885"/>
            </patternFill>
          </fill>
        </dxf>
        <dxf>
          <fill>
            <patternFill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7" tint="0.79998168889431442"/>
            </patternFill>
          </fill>
        </dxf>
        <dxf>
          <fill>
            <patternFill>
              <bgColor theme="9" tint="0.5999633777886288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9"/>
            <x14:slicerStyleElement type="hoveredSelectedItemWithData" dxfId="8"/>
          </x14:slicerStyleElements>
        </x14:slicerStyle>
        <x14:slicerStyle name="Estilo de Segmentação de Dados 1 2">
          <x14:slicerStyleElements>
            <x14:slicerStyleElement type="selectedItemWithData" dxfId="7"/>
            <x14:slicerStyleElement type="hoveredSelectedItemWithData" dxfId="6"/>
          </x14:slicerStyleElements>
        </x14:slicerStyle>
        <x14:slicerStyle name="Estilo de Segmentação de Dados 3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7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8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6795556505021"/>
              <bgColor theme="7" tint="0.79998168889431442"/>
            </patternFill>
          </fill>
        </dxf>
        <dxf>
          <fill>
            <patternFill patternType="solid">
              <fgColor theme="0"/>
              <bgColor theme="8" tint="-0.24994659260841701"/>
            </patternFill>
          </fill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10"/>
            <color auto="1"/>
            <name val="Calibri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auto="1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Estilo de Linha do Tempo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Linha do Tempo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microsoft.com/office/2007/relationships/slicerCache" Target="slicerCaches/slicerCache3.xml"/><Relationship Id="rId26" Type="http://schemas.openxmlformats.org/officeDocument/2006/relationships/theme" Target="theme/theme1.xml"/><Relationship Id="rId39" Type="http://schemas.openxmlformats.org/officeDocument/2006/relationships/customXml" Target="../customXml/item9.xml"/><Relationship Id="rId21" Type="http://schemas.microsoft.com/office/2007/relationships/slicerCache" Target="slicerCaches/slicerCache6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47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microsoft.com/office/2011/relationships/timelineCache" Target="timelineCaches/timelineCache1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07/relationships/slicerCache" Target="slicerCaches/slicerCache8.xml"/><Relationship Id="rId28" Type="http://schemas.openxmlformats.org/officeDocument/2006/relationships/styles" Target="styles.xml"/><Relationship Id="rId36" Type="http://schemas.openxmlformats.org/officeDocument/2006/relationships/customXml" Target="../customXml/item6.xml"/><Relationship Id="rId10" Type="http://schemas.openxmlformats.org/officeDocument/2006/relationships/externalLink" Target="externalLinks/externalLink2.xml"/><Relationship Id="rId19" Type="http://schemas.microsoft.com/office/2007/relationships/slicerCache" Target="slicerCaches/slicerCache4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3.xml"/><Relationship Id="rId22" Type="http://schemas.microsoft.com/office/2007/relationships/slicerCache" Target="slicerCaches/slicerCache7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2.xml"/><Relationship Id="rId25" Type="http://schemas.microsoft.com/office/2011/relationships/timelineCache" Target="timelineCaches/timelineCache2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46" Type="http://schemas.openxmlformats.org/officeDocument/2006/relationships/customXml" Target="../customXml/item16.xml"/><Relationship Id="rId20" Type="http://schemas.microsoft.com/office/2007/relationships/slicerCache" Target="slicerCaches/slicerCache5.xml"/><Relationship Id="rId41" Type="http://schemas.openxmlformats.org/officeDocument/2006/relationships/customXml" Target="../customXml/item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[BRA1DASHv261.xlsx]FT!Tabela dinâmica2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FT!$B$1</c:f>
              <c:strCache>
                <c:ptCount val="1"/>
                <c:pt idx="0">
                  <c:v>Soma de FTHG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FT!$A$2:$A$320</c:f>
              <c:multiLvlStrCache>
                <c:ptCount val="53"/>
                <c:lvl>
                  <c:pt idx="0">
                    <c:v>28/01/2026</c:v>
                  </c:pt>
                  <c:pt idx="1">
                    <c:v>28/01/2026</c:v>
                  </c:pt>
                  <c:pt idx="2">
                    <c:v>28/01/2026</c:v>
                  </c:pt>
                  <c:pt idx="3">
                    <c:v>29/01/2026</c:v>
                  </c:pt>
                  <c:pt idx="4">
                    <c:v>04/02/2026</c:v>
                  </c:pt>
                  <c:pt idx="5">
                    <c:v>05/02/2026</c:v>
                  </c:pt>
                  <c:pt idx="6">
                    <c:v>05/02/2026</c:v>
                  </c:pt>
                  <c:pt idx="7">
                    <c:v>06/02/2026</c:v>
                  </c:pt>
                  <c:pt idx="8">
                    <c:v>11/02/2026</c:v>
                  </c:pt>
                  <c:pt idx="9">
                    <c:v>12/02/2026</c:v>
                  </c:pt>
                  <c:pt idx="10">
                    <c:v>12/02/2026</c:v>
                  </c:pt>
                  <c:pt idx="11">
                    <c:v>12/02/2026</c:v>
                  </c:pt>
                  <c:pt idx="12">
                    <c:v>12/02/2026</c:v>
                  </c:pt>
                  <c:pt idx="13">
                    <c:v>25/02/2026</c:v>
                  </c:pt>
                  <c:pt idx="14">
                    <c:v>26/02/2026</c:v>
                  </c:pt>
                  <c:pt idx="15">
                    <c:v>11/03/2026</c:v>
                  </c:pt>
                  <c:pt idx="16">
                    <c:v>11/03/2026</c:v>
                  </c:pt>
                  <c:pt idx="17">
                    <c:v>12/03/2026</c:v>
                  </c:pt>
                  <c:pt idx="18">
                    <c:v>12/03/2026</c:v>
                  </c:pt>
                  <c:pt idx="19">
                    <c:v>12/03/2026</c:v>
                  </c:pt>
                  <c:pt idx="20">
                    <c:v>15/03/2026</c:v>
                  </c:pt>
                  <c:pt idx="21">
                    <c:v>15/03/2026</c:v>
                  </c:pt>
                  <c:pt idx="22">
                    <c:v>15/03/2026</c:v>
                  </c:pt>
                  <c:pt idx="23">
                    <c:v>15/03/2026</c:v>
                  </c:pt>
                  <c:pt idx="24">
                    <c:v>15/03/2026</c:v>
                  </c:pt>
                  <c:pt idx="25">
                    <c:v>18/03/2026</c:v>
                  </c:pt>
                  <c:pt idx="26">
                    <c:v>18/03/2026</c:v>
                  </c:pt>
                  <c:pt idx="27">
                    <c:v>18/03/2026</c:v>
                  </c:pt>
                  <c:pt idx="28">
                    <c:v>19/03/2026</c:v>
                  </c:pt>
                  <c:pt idx="29">
                    <c:v>21/03/2026</c:v>
                  </c:pt>
                  <c:pt idx="30">
                    <c:v>21/03/2026</c:v>
                  </c:pt>
                  <c:pt idx="31">
                    <c:v>22/03/2026</c:v>
                  </c:pt>
                  <c:pt idx="32">
                    <c:v>22/03/2026</c:v>
                  </c:pt>
                  <c:pt idx="33">
                    <c:v>22/03/2026</c:v>
                  </c:pt>
                  <c:pt idx="34">
                    <c:v>22/03/2026</c:v>
                  </c:pt>
                  <c:pt idx="35">
                    <c:v>29/03/2026</c:v>
                  </c:pt>
                  <c:pt idx="36">
                    <c:v>02/04/2026</c:v>
                  </c:pt>
                  <c:pt idx="37">
                    <c:v>02/04/2026</c:v>
                  </c:pt>
                  <c:pt idx="38">
                    <c:v>02/04/2026</c:v>
                  </c:pt>
                  <c:pt idx="39">
                    <c:v>02/04/2026</c:v>
                  </c:pt>
                  <c:pt idx="40">
                    <c:v>03/04/2026</c:v>
                  </c:pt>
                  <c:pt idx="41">
                    <c:v>05/04/2026</c:v>
                  </c:pt>
                  <c:pt idx="42">
                    <c:v>05/04/2026</c:v>
                  </c:pt>
                  <c:pt idx="43">
                    <c:v>06/04/2026</c:v>
                  </c:pt>
                  <c:pt idx="44">
                    <c:v>12/04/2026</c:v>
                  </c:pt>
                  <c:pt idx="45">
                    <c:v>12/04/2026</c:v>
                  </c:pt>
                  <c:pt idx="46">
                    <c:v>12/04/2026</c:v>
                  </c:pt>
                  <c:pt idx="47">
                    <c:v>12/04/2026</c:v>
                  </c:pt>
                  <c:pt idx="48">
                    <c:v>19/04/2026</c:v>
                  </c:pt>
                  <c:pt idx="49">
                    <c:v>19/04/2026</c:v>
                  </c:pt>
                  <c:pt idx="50">
                    <c:v>19/04/2026</c:v>
                  </c:pt>
                  <c:pt idx="51">
                    <c:v>19/04/2026</c:v>
                  </c:pt>
                  <c:pt idx="52">
                    <c:v>19/04/2026</c:v>
                  </c:pt>
                </c:lvl>
                <c:lvl>
                  <c:pt idx="0">
                    <c:v>1,96</c:v>
                  </c:pt>
                  <c:pt idx="1">
                    <c:v>1,79</c:v>
                  </c:pt>
                  <c:pt idx="2">
                    <c:v>1,53</c:v>
                  </c:pt>
                  <c:pt idx="3">
                    <c:v>1,79</c:v>
                  </c:pt>
                  <c:pt idx="4">
                    <c:v>1,41</c:v>
                  </c:pt>
                  <c:pt idx="5">
                    <c:v>1,3</c:v>
                  </c:pt>
                  <c:pt idx="6">
                    <c:v>1,53</c:v>
                  </c:pt>
                  <c:pt idx="7">
                    <c:v>1,35</c:v>
                  </c:pt>
                  <c:pt idx="8">
                    <c:v>1,41</c:v>
                  </c:pt>
                  <c:pt idx="9">
                    <c:v>1,91</c:v>
                  </c:pt>
                  <c:pt idx="10">
                    <c:v>1,96</c:v>
                  </c:pt>
                  <c:pt idx="11">
                    <c:v>1,76</c:v>
                  </c:pt>
                  <c:pt idx="12">
                    <c:v>1,86</c:v>
                  </c:pt>
                  <c:pt idx="13">
                    <c:v>1,66</c:v>
                  </c:pt>
                  <c:pt idx="14">
                    <c:v>1,62</c:v>
                  </c:pt>
                  <c:pt idx="15">
                    <c:v>1,66</c:v>
                  </c:pt>
                  <c:pt idx="16">
                    <c:v>1,66</c:v>
                  </c:pt>
                  <c:pt idx="17">
                    <c:v>1,62</c:v>
                  </c:pt>
                  <c:pt idx="18">
                    <c:v>1,45</c:v>
                  </c:pt>
                  <c:pt idx="19">
                    <c:v>1,39</c:v>
                  </c:pt>
                  <c:pt idx="20">
                    <c:v>1,79</c:v>
                  </c:pt>
                  <c:pt idx="21">
                    <c:v>1,76</c:v>
                  </c:pt>
                  <c:pt idx="22">
                    <c:v>1,66</c:v>
                  </c:pt>
                  <c:pt idx="23">
                    <c:v>1,61</c:v>
                  </c:pt>
                  <c:pt idx="24">
                    <c:v>1,91</c:v>
                  </c:pt>
                  <c:pt idx="25">
                    <c:v>1,66</c:v>
                  </c:pt>
                  <c:pt idx="26">
                    <c:v>1,51</c:v>
                  </c:pt>
                  <c:pt idx="27">
                    <c:v>1,57</c:v>
                  </c:pt>
                  <c:pt idx="28">
                    <c:v>1,76</c:v>
                  </c:pt>
                  <c:pt idx="29">
                    <c:v>1,86</c:v>
                  </c:pt>
                  <c:pt idx="30">
                    <c:v>1,61</c:v>
                  </c:pt>
                  <c:pt idx="31">
                    <c:v>1,91</c:v>
                  </c:pt>
                  <c:pt idx="32">
                    <c:v>1,66</c:v>
                  </c:pt>
                  <c:pt idx="33">
                    <c:v>1,81</c:v>
                  </c:pt>
                  <c:pt idx="34">
                    <c:v>1,37</c:v>
                  </c:pt>
                  <c:pt idx="35">
                    <c:v>1,91</c:v>
                  </c:pt>
                  <c:pt idx="36">
                    <c:v>1,71</c:v>
                  </c:pt>
                  <c:pt idx="37">
                    <c:v>1,49</c:v>
                  </c:pt>
                  <c:pt idx="38">
                    <c:v>1,81</c:v>
                  </c:pt>
                  <c:pt idx="39">
                    <c:v>1,61</c:v>
                  </c:pt>
                  <c:pt idx="40">
                    <c:v>1,51</c:v>
                  </c:pt>
                  <c:pt idx="41">
                    <c:v>1,91</c:v>
                  </c:pt>
                  <c:pt idx="42">
                    <c:v>1,3</c:v>
                  </c:pt>
                  <c:pt idx="43">
                    <c:v>1,68</c:v>
                  </c:pt>
                  <c:pt idx="44">
                    <c:v>1,71</c:v>
                  </c:pt>
                  <c:pt idx="45">
                    <c:v>1,39</c:v>
                  </c:pt>
                  <c:pt idx="46">
                    <c:v>1,86</c:v>
                  </c:pt>
                  <c:pt idx="47">
                    <c:v>1,96</c:v>
                  </c:pt>
                  <c:pt idx="48">
                    <c:v>1,62</c:v>
                  </c:pt>
                  <c:pt idx="49">
                    <c:v>1,86</c:v>
                  </c:pt>
                  <c:pt idx="50">
                    <c:v>1,49</c:v>
                  </c:pt>
                  <c:pt idx="51">
                    <c:v>1,56</c:v>
                  </c:pt>
                  <c:pt idx="52">
                    <c:v>1,42</c:v>
                  </c:pt>
                </c:lvl>
                <c:lvl>
                  <c:pt idx="0">
                    <c:v>3,9</c:v>
                  </c:pt>
                  <c:pt idx="1">
                    <c:v>4,75</c:v>
                  </c:pt>
                  <c:pt idx="2">
                    <c:v>6</c:v>
                  </c:pt>
                  <c:pt idx="3">
                    <c:v>4,5</c:v>
                  </c:pt>
                  <c:pt idx="4">
                    <c:v>7,5</c:v>
                  </c:pt>
                  <c:pt idx="5">
                    <c:v>10</c:v>
                  </c:pt>
                  <c:pt idx="6">
                    <c:v>6</c:v>
                  </c:pt>
                  <c:pt idx="7">
                    <c:v>9,5</c:v>
                  </c:pt>
                  <c:pt idx="8">
                    <c:v>7,5</c:v>
                  </c:pt>
                  <c:pt idx="9">
                    <c:v>4,2</c:v>
                  </c:pt>
                  <c:pt idx="10">
                    <c:v>4</c:v>
                  </c:pt>
                  <c:pt idx="11">
                    <c:v>5,5</c:v>
                  </c:pt>
                  <c:pt idx="12">
                    <c:v>4,75</c:v>
                  </c:pt>
                  <c:pt idx="13">
                    <c:v>5,5</c:v>
                  </c:pt>
                  <c:pt idx="14">
                    <c:v>5</c:v>
                  </c:pt>
                  <c:pt idx="15">
                    <c:v>4,75</c:v>
                  </c:pt>
                  <c:pt idx="16">
                    <c:v>5,25</c:v>
                  </c:pt>
                  <c:pt idx="17">
                    <c:v>5</c:v>
                  </c:pt>
                  <c:pt idx="18">
                    <c:v>6,5</c:v>
                  </c:pt>
                  <c:pt idx="19">
                    <c:v>7,5</c:v>
                  </c:pt>
                  <c:pt idx="20">
                    <c:v>4,75</c:v>
                  </c:pt>
                  <c:pt idx="21">
                    <c:v>4,33</c:v>
                  </c:pt>
                  <c:pt idx="22">
                    <c:v>5</c:v>
                  </c:pt>
                  <c:pt idx="23">
                    <c:v>5,5</c:v>
                  </c:pt>
                  <c:pt idx="24">
                    <c:v>4,2</c:v>
                  </c:pt>
                  <c:pt idx="25">
                    <c:v>5,25</c:v>
                  </c:pt>
                  <c:pt idx="26">
                    <c:v>6,25</c:v>
                  </c:pt>
                  <c:pt idx="27">
                    <c:v>6,25</c:v>
                  </c:pt>
                  <c:pt idx="28">
                    <c:v>4,75</c:v>
                  </c:pt>
                  <c:pt idx="29">
                    <c:v>4,2</c:v>
                  </c:pt>
                  <c:pt idx="30">
                    <c:v>6</c:v>
                  </c:pt>
                  <c:pt idx="31">
                    <c:v>4,75</c:v>
                  </c:pt>
                  <c:pt idx="32">
                    <c:v>5,25</c:v>
                  </c:pt>
                  <c:pt idx="33">
                    <c:v>4,33</c:v>
                  </c:pt>
                  <c:pt idx="34">
                    <c:v>7,5</c:v>
                  </c:pt>
                  <c:pt idx="35">
                    <c:v>3,9</c:v>
                  </c:pt>
                  <c:pt idx="36">
                    <c:v>4,75</c:v>
                  </c:pt>
                  <c:pt idx="37">
                    <c:v>6</c:v>
                  </c:pt>
                  <c:pt idx="38">
                    <c:v>4,75</c:v>
                  </c:pt>
                  <c:pt idx="39">
                    <c:v>5,75</c:v>
                  </c:pt>
                  <c:pt idx="40">
                    <c:v>6</c:v>
                  </c:pt>
                  <c:pt idx="41">
                    <c:v>4</c:v>
                  </c:pt>
                  <c:pt idx="42">
                    <c:v>11</c:v>
                  </c:pt>
                  <c:pt idx="43">
                    <c:v>4,75</c:v>
                  </c:pt>
                  <c:pt idx="44">
                    <c:v>4,75</c:v>
                  </c:pt>
                  <c:pt idx="45">
                    <c:v>5,75</c:v>
                  </c:pt>
                  <c:pt idx="46">
                    <c:v>4,2</c:v>
                  </c:pt>
                  <c:pt idx="47">
                    <c:v>3,9</c:v>
                  </c:pt>
                  <c:pt idx="48">
                    <c:v>5,25</c:v>
                  </c:pt>
                  <c:pt idx="49">
                    <c:v>4,1</c:v>
                  </c:pt>
                  <c:pt idx="50">
                    <c:v>6,5</c:v>
                  </c:pt>
                  <c:pt idx="51">
                    <c:v>6,5</c:v>
                  </c:pt>
                  <c:pt idx="52">
                    <c:v>6,5</c:v>
                  </c:pt>
                </c:lvl>
                <c:lvl>
                  <c:pt idx="0">
                    <c:v>Athletico-PR</c:v>
                  </c:pt>
                  <c:pt idx="1">
                    <c:v>Remo</c:v>
                  </c:pt>
                  <c:pt idx="2">
                    <c:v>Gremio</c:v>
                  </c:pt>
                  <c:pt idx="3">
                    <c:v>Vasco</c:v>
                  </c:pt>
                  <c:pt idx="4">
                    <c:v>Internacional</c:v>
                  </c:pt>
                  <c:pt idx="5">
                    <c:v>Vitoria</c:v>
                  </c:pt>
                  <c:pt idx="6">
                    <c:v>Chapecoense-SC</c:v>
                  </c:pt>
                  <c:pt idx="7">
                    <c:v>Coritiba</c:v>
                  </c:pt>
                  <c:pt idx="8">
                    <c:v>Remo</c:v>
                  </c:pt>
                  <c:pt idx="9">
                    <c:v>Gremio</c:v>
                  </c:pt>
                  <c:pt idx="10">
                    <c:v>Santos</c:v>
                  </c:pt>
                  <c:pt idx="11">
                    <c:v>Botafogo RJ</c:v>
                  </c:pt>
                  <c:pt idx="12">
                    <c:v>Bragantino</c:v>
                  </c:pt>
                  <c:pt idx="13">
                    <c:v>Corinthians</c:v>
                  </c:pt>
                  <c:pt idx="14">
                    <c:v>Fluminense</c:v>
                  </c:pt>
                  <c:pt idx="15">
                    <c:v>Santos</c:v>
                  </c:pt>
                  <c:pt idx="16">
                    <c:v>Vitoria</c:v>
                  </c:pt>
                  <c:pt idx="17">
                    <c:v>Coritiba</c:v>
                  </c:pt>
                  <c:pt idx="18">
                    <c:v>Cruzeiro</c:v>
                  </c:pt>
                  <c:pt idx="19">
                    <c:v>Chapecoense-SC</c:v>
                  </c:pt>
                  <c:pt idx="20">
                    <c:v>Athletico-PR</c:v>
                  </c:pt>
                  <c:pt idx="21">
                    <c:v>Bahia</c:v>
                  </c:pt>
                  <c:pt idx="22">
                    <c:v>Remo</c:v>
                  </c:pt>
                  <c:pt idx="23">
                    <c:v>Mirassol</c:v>
                  </c:pt>
                  <c:pt idx="24">
                    <c:v>Vasco</c:v>
                  </c:pt>
                  <c:pt idx="25">
                    <c:v>Bragantino</c:v>
                  </c:pt>
                  <c:pt idx="26">
                    <c:v>Botafogo RJ</c:v>
                  </c:pt>
                  <c:pt idx="27">
                    <c:v>Coritiba</c:v>
                  </c:pt>
                  <c:pt idx="28">
                    <c:v>Vitoria</c:v>
                  </c:pt>
                  <c:pt idx="29">
                    <c:v>Botafogo RJ</c:v>
                  </c:pt>
                  <c:pt idx="30">
                    <c:v>Atletico-MG</c:v>
                  </c:pt>
                  <c:pt idx="31">
                    <c:v>Coritiba</c:v>
                  </c:pt>
                  <c:pt idx="32">
                    <c:v>Santos</c:v>
                  </c:pt>
                  <c:pt idx="33">
                    <c:v>Gremio</c:v>
                  </c:pt>
                  <c:pt idx="34">
                    <c:v>Chapecoense-SC</c:v>
                  </c:pt>
                  <c:pt idx="35">
                    <c:v>Botafogo RJ</c:v>
                  </c:pt>
                  <c:pt idx="36">
                    <c:v>Athletico-PR</c:v>
                  </c:pt>
                  <c:pt idx="37">
                    <c:v>Vitoria</c:v>
                  </c:pt>
                  <c:pt idx="38">
                    <c:v>Corinthians</c:v>
                  </c:pt>
                  <c:pt idx="39">
                    <c:v>Remo</c:v>
                  </c:pt>
                  <c:pt idx="40">
                    <c:v>Gremio</c:v>
                  </c:pt>
                  <c:pt idx="41">
                    <c:v>Botafogo RJ</c:v>
                  </c:pt>
                  <c:pt idx="42">
                    <c:v>Santos</c:v>
                  </c:pt>
                  <c:pt idx="43">
                    <c:v>Remo</c:v>
                  </c:pt>
                  <c:pt idx="44">
                    <c:v>Gremio</c:v>
                  </c:pt>
                  <c:pt idx="45">
                    <c:v>Chapecoense-SC</c:v>
                  </c:pt>
                  <c:pt idx="46">
                    <c:v>Coritiba</c:v>
                  </c:pt>
                  <c:pt idx="47">
                    <c:v>Bragantino</c:v>
                  </c:pt>
                  <c:pt idx="48">
                    <c:v>Gremio</c:v>
                  </c:pt>
                  <c:pt idx="49">
                    <c:v>Mirassol</c:v>
                  </c:pt>
                  <c:pt idx="50">
                    <c:v>Remo</c:v>
                  </c:pt>
                  <c:pt idx="51">
                    <c:v>Athletico-PR</c:v>
                  </c:pt>
                  <c:pt idx="52">
                    <c:v>Bahia</c:v>
                  </c:pt>
                </c:lvl>
                <c:lvl>
                  <c:pt idx="0">
                    <c:v>Internacional</c:v>
                  </c:pt>
                  <c:pt idx="1">
                    <c:v>Vitoria</c:v>
                  </c:pt>
                  <c:pt idx="2">
                    <c:v>Fluminense</c:v>
                  </c:pt>
                  <c:pt idx="3">
                    <c:v>Mirassol</c:v>
                  </c:pt>
                  <c:pt idx="4">
                    <c:v>Flamengo RJ</c:v>
                  </c:pt>
                  <c:pt idx="5">
                    <c:v>Palmeiras</c:v>
                  </c:pt>
                  <c:pt idx="6">
                    <c:v>Vasco</c:v>
                  </c:pt>
                  <c:pt idx="7">
                    <c:v>Cruzeiro</c:v>
                  </c:pt>
                  <c:pt idx="8">
                    <c:v>Atletico-MG</c:v>
                  </c:pt>
                  <c:pt idx="9">
                    <c:v>Sao Paulo</c:v>
                  </c:pt>
                  <c:pt idx="10">
                    <c:v>Athletico-PR</c:v>
                  </c:pt>
                  <c:pt idx="11">
                    <c:v>Fluminense</c:v>
                  </c:pt>
                  <c:pt idx="12">
                    <c:v>Corinthians</c:v>
                  </c:pt>
                  <c:pt idx="13">
                    <c:v>Cruzeiro</c:v>
                  </c:pt>
                  <c:pt idx="14">
                    <c:v>Palmeiras</c:v>
                  </c:pt>
                  <c:pt idx="15">
                    <c:v>Mirassol</c:v>
                  </c:pt>
                  <c:pt idx="16">
                    <c:v>Bahia</c:v>
                  </c:pt>
                  <c:pt idx="17">
                    <c:v>Corinthians</c:v>
                  </c:pt>
                  <c:pt idx="18">
                    <c:v>Flamengo RJ</c:v>
                  </c:pt>
                  <c:pt idx="19">
                    <c:v>Sao Paulo</c:v>
                  </c:pt>
                  <c:pt idx="20">
                    <c:v>Fluminense</c:v>
                  </c:pt>
                  <c:pt idx="21">
                    <c:v>Internacional</c:v>
                  </c:pt>
                  <c:pt idx="22">
                    <c:v>Coritiba</c:v>
                  </c:pt>
                  <c:pt idx="23">
                    <c:v>Palmeiras</c:v>
                  </c:pt>
                  <c:pt idx="24">
                    <c:v>Cruzeiro</c:v>
                  </c:pt>
                  <c:pt idx="25">
                    <c:v>Bahia</c:v>
                  </c:pt>
                  <c:pt idx="26">
                    <c:v>Palmeiras</c:v>
                  </c:pt>
                  <c:pt idx="27">
                    <c:v>Mirassol</c:v>
                  </c:pt>
                  <c:pt idx="28">
                    <c:v>Gremio</c:v>
                  </c:pt>
                  <c:pt idx="29">
                    <c:v>Bragantino</c:v>
                  </c:pt>
                  <c:pt idx="30">
                    <c:v>Fluminense</c:v>
                  </c:pt>
                  <c:pt idx="31">
                    <c:v>Athletico-PR</c:v>
                  </c:pt>
                  <c:pt idx="32">
                    <c:v>Cruzeiro</c:v>
                  </c:pt>
                  <c:pt idx="33">
                    <c:v>Vasco</c:v>
                  </c:pt>
                  <c:pt idx="34">
                    <c:v>Internacional</c:v>
                  </c:pt>
                  <c:pt idx="35">
                    <c:v>Athletico-PR</c:v>
                  </c:pt>
                  <c:pt idx="36">
                    <c:v>Bahia</c:v>
                  </c:pt>
                  <c:pt idx="37">
                    <c:v>Cruzeiro</c:v>
                  </c:pt>
                  <c:pt idx="38">
                    <c:v>Fluminense</c:v>
                  </c:pt>
                  <c:pt idx="39">
                    <c:v>Santos</c:v>
                  </c:pt>
                  <c:pt idx="40">
                    <c:v>Palmeiras</c:v>
                  </c:pt>
                  <c:pt idx="41">
                    <c:v>Vasco</c:v>
                  </c:pt>
                  <c:pt idx="42">
                    <c:v>Flamengo RJ</c:v>
                  </c:pt>
                  <c:pt idx="43">
                    <c:v>Gremio</c:v>
                  </c:pt>
                  <c:pt idx="44">
                    <c:v>Internacional</c:v>
                  </c:pt>
                  <c:pt idx="45">
                    <c:v>Athletico-PR</c:v>
                  </c:pt>
                  <c:pt idx="46">
                    <c:v>Botafogo RJ</c:v>
                  </c:pt>
                  <c:pt idx="47">
                    <c:v>Cruzeiro</c:v>
                  </c:pt>
                  <c:pt idx="48">
                    <c:v>Cruzeiro</c:v>
                  </c:pt>
                  <c:pt idx="49">
                    <c:v>Internacional</c:v>
                  </c:pt>
                  <c:pt idx="50">
                    <c:v>Bragantino</c:v>
                  </c:pt>
                  <c:pt idx="51">
                    <c:v>Palmeiras</c:v>
                  </c:pt>
                  <c:pt idx="52">
                    <c:v>Flamengo RJ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9</c:v>
                  </c:pt>
                  <c:pt idx="4">
                    <c:v>12</c:v>
                  </c:pt>
                  <c:pt idx="5">
                    <c:v>16</c:v>
                  </c:pt>
                  <c:pt idx="6">
                    <c:v>18</c:v>
                  </c:pt>
                  <c:pt idx="7">
                    <c:v>19</c:v>
                  </c:pt>
                  <c:pt idx="8">
                    <c:v>23</c:v>
                  </c:pt>
                  <c:pt idx="9">
                    <c:v>24</c:v>
                  </c:pt>
                  <c:pt idx="10">
                    <c:v>26</c:v>
                  </c:pt>
                  <c:pt idx="11">
                    <c:v>27</c:v>
                  </c:pt>
                  <c:pt idx="12">
                    <c:v>28</c:v>
                  </c:pt>
                  <c:pt idx="13">
                    <c:v>34</c:v>
                  </c:pt>
                  <c:pt idx="14">
                    <c:v>36</c:v>
                  </c:pt>
                  <c:pt idx="15">
                    <c:v>38</c:v>
                  </c:pt>
                  <c:pt idx="16">
                    <c:v>40</c:v>
                  </c:pt>
                  <c:pt idx="17">
                    <c:v>41</c:v>
                  </c:pt>
                  <c:pt idx="18">
                    <c:v>42</c:v>
                  </c:pt>
                  <c:pt idx="19">
                    <c:v>45</c:v>
                  </c:pt>
                  <c:pt idx="20">
                    <c:v>49</c:v>
                  </c:pt>
                  <c:pt idx="21">
                    <c:v>50</c:v>
                  </c:pt>
                  <c:pt idx="22">
                    <c:v>52</c:v>
                  </c:pt>
                  <c:pt idx="23">
                    <c:v>53</c:v>
                  </c:pt>
                  <c:pt idx="24">
                    <c:v>55</c:v>
                  </c:pt>
                  <c:pt idx="25">
                    <c:v>57</c:v>
                  </c:pt>
                  <c:pt idx="26">
                    <c:v>58</c:v>
                  </c:pt>
                  <c:pt idx="27">
                    <c:v>61</c:v>
                  </c:pt>
                  <c:pt idx="28">
                    <c:v>64</c:v>
                  </c:pt>
                  <c:pt idx="29">
                    <c:v>67</c:v>
                  </c:pt>
                  <c:pt idx="30">
                    <c:v>68</c:v>
                  </c:pt>
                  <c:pt idx="31">
                    <c:v>70</c:v>
                  </c:pt>
                  <c:pt idx="32">
                    <c:v>71</c:v>
                  </c:pt>
                  <c:pt idx="33">
                    <c:v>73</c:v>
                  </c:pt>
                  <c:pt idx="34">
                    <c:v>74</c:v>
                  </c:pt>
                  <c:pt idx="35">
                    <c:v>77</c:v>
                  </c:pt>
                  <c:pt idx="36">
                    <c:v>80</c:v>
                  </c:pt>
                  <c:pt idx="37">
                    <c:v>81</c:v>
                  </c:pt>
                  <c:pt idx="38">
                    <c:v>83</c:v>
                  </c:pt>
                  <c:pt idx="39">
                    <c:v>85</c:v>
                  </c:pt>
                  <c:pt idx="40">
                    <c:v>87</c:v>
                  </c:pt>
                  <c:pt idx="41">
                    <c:v>90</c:v>
                  </c:pt>
                  <c:pt idx="42">
                    <c:v>93</c:v>
                  </c:pt>
                  <c:pt idx="43">
                    <c:v>97</c:v>
                  </c:pt>
                  <c:pt idx="44">
                    <c:v>102</c:v>
                  </c:pt>
                  <c:pt idx="45">
                    <c:v>103</c:v>
                  </c:pt>
                  <c:pt idx="46">
                    <c:v>104</c:v>
                  </c:pt>
                  <c:pt idx="47">
                    <c:v>107</c:v>
                  </c:pt>
                  <c:pt idx="48">
                    <c:v>111</c:v>
                  </c:pt>
                  <c:pt idx="49">
                    <c:v>112</c:v>
                  </c:pt>
                  <c:pt idx="50">
                    <c:v>115</c:v>
                  </c:pt>
                  <c:pt idx="51">
                    <c:v>116</c:v>
                  </c:pt>
                  <c:pt idx="52">
                    <c:v>117</c:v>
                  </c:pt>
                </c:lvl>
              </c:multiLvlStrCache>
            </c:multiLvlStrRef>
          </c:cat>
          <c:val>
            <c:numRef>
              <c:f>FT!$B$2:$B$320</c:f>
              <c:numCache>
                <c:formatCode>General</c:formatCode>
                <c:ptCount val="53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4</c:v>
                </c:pt>
                <c:pt idx="51">
                  <c:v>1</c:v>
                </c:pt>
                <c:pt idx="5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F8-44C4-AAA1-06593948E5BE}"/>
            </c:ext>
          </c:extLst>
        </c:ser>
        <c:ser>
          <c:idx val="1"/>
          <c:order val="1"/>
          <c:tx>
            <c:strRef>
              <c:f>FT!$C$1</c:f>
              <c:strCache>
                <c:ptCount val="1"/>
                <c:pt idx="0">
                  <c:v>Soma de FTAG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FT!$A$2:$A$320</c:f>
              <c:multiLvlStrCache>
                <c:ptCount val="53"/>
                <c:lvl>
                  <c:pt idx="0">
                    <c:v>28/01/2026</c:v>
                  </c:pt>
                  <c:pt idx="1">
                    <c:v>28/01/2026</c:v>
                  </c:pt>
                  <c:pt idx="2">
                    <c:v>28/01/2026</c:v>
                  </c:pt>
                  <c:pt idx="3">
                    <c:v>29/01/2026</c:v>
                  </c:pt>
                  <c:pt idx="4">
                    <c:v>04/02/2026</c:v>
                  </c:pt>
                  <c:pt idx="5">
                    <c:v>05/02/2026</c:v>
                  </c:pt>
                  <c:pt idx="6">
                    <c:v>05/02/2026</c:v>
                  </c:pt>
                  <c:pt idx="7">
                    <c:v>06/02/2026</c:v>
                  </c:pt>
                  <c:pt idx="8">
                    <c:v>11/02/2026</c:v>
                  </c:pt>
                  <c:pt idx="9">
                    <c:v>12/02/2026</c:v>
                  </c:pt>
                  <c:pt idx="10">
                    <c:v>12/02/2026</c:v>
                  </c:pt>
                  <c:pt idx="11">
                    <c:v>12/02/2026</c:v>
                  </c:pt>
                  <c:pt idx="12">
                    <c:v>12/02/2026</c:v>
                  </c:pt>
                  <c:pt idx="13">
                    <c:v>25/02/2026</c:v>
                  </c:pt>
                  <c:pt idx="14">
                    <c:v>26/02/2026</c:v>
                  </c:pt>
                  <c:pt idx="15">
                    <c:v>11/03/2026</c:v>
                  </c:pt>
                  <c:pt idx="16">
                    <c:v>11/03/2026</c:v>
                  </c:pt>
                  <c:pt idx="17">
                    <c:v>12/03/2026</c:v>
                  </c:pt>
                  <c:pt idx="18">
                    <c:v>12/03/2026</c:v>
                  </c:pt>
                  <c:pt idx="19">
                    <c:v>12/03/2026</c:v>
                  </c:pt>
                  <c:pt idx="20">
                    <c:v>15/03/2026</c:v>
                  </c:pt>
                  <c:pt idx="21">
                    <c:v>15/03/2026</c:v>
                  </c:pt>
                  <c:pt idx="22">
                    <c:v>15/03/2026</c:v>
                  </c:pt>
                  <c:pt idx="23">
                    <c:v>15/03/2026</c:v>
                  </c:pt>
                  <c:pt idx="24">
                    <c:v>15/03/2026</c:v>
                  </c:pt>
                  <c:pt idx="25">
                    <c:v>18/03/2026</c:v>
                  </c:pt>
                  <c:pt idx="26">
                    <c:v>18/03/2026</c:v>
                  </c:pt>
                  <c:pt idx="27">
                    <c:v>18/03/2026</c:v>
                  </c:pt>
                  <c:pt idx="28">
                    <c:v>19/03/2026</c:v>
                  </c:pt>
                  <c:pt idx="29">
                    <c:v>21/03/2026</c:v>
                  </c:pt>
                  <c:pt idx="30">
                    <c:v>21/03/2026</c:v>
                  </c:pt>
                  <c:pt idx="31">
                    <c:v>22/03/2026</c:v>
                  </c:pt>
                  <c:pt idx="32">
                    <c:v>22/03/2026</c:v>
                  </c:pt>
                  <c:pt idx="33">
                    <c:v>22/03/2026</c:v>
                  </c:pt>
                  <c:pt idx="34">
                    <c:v>22/03/2026</c:v>
                  </c:pt>
                  <c:pt idx="35">
                    <c:v>29/03/2026</c:v>
                  </c:pt>
                  <c:pt idx="36">
                    <c:v>02/04/2026</c:v>
                  </c:pt>
                  <c:pt idx="37">
                    <c:v>02/04/2026</c:v>
                  </c:pt>
                  <c:pt idx="38">
                    <c:v>02/04/2026</c:v>
                  </c:pt>
                  <c:pt idx="39">
                    <c:v>02/04/2026</c:v>
                  </c:pt>
                  <c:pt idx="40">
                    <c:v>03/04/2026</c:v>
                  </c:pt>
                  <c:pt idx="41">
                    <c:v>05/04/2026</c:v>
                  </c:pt>
                  <c:pt idx="42">
                    <c:v>05/04/2026</c:v>
                  </c:pt>
                  <c:pt idx="43">
                    <c:v>06/04/2026</c:v>
                  </c:pt>
                  <c:pt idx="44">
                    <c:v>12/04/2026</c:v>
                  </c:pt>
                  <c:pt idx="45">
                    <c:v>12/04/2026</c:v>
                  </c:pt>
                  <c:pt idx="46">
                    <c:v>12/04/2026</c:v>
                  </c:pt>
                  <c:pt idx="47">
                    <c:v>12/04/2026</c:v>
                  </c:pt>
                  <c:pt idx="48">
                    <c:v>19/04/2026</c:v>
                  </c:pt>
                  <c:pt idx="49">
                    <c:v>19/04/2026</c:v>
                  </c:pt>
                  <c:pt idx="50">
                    <c:v>19/04/2026</c:v>
                  </c:pt>
                  <c:pt idx="51">
                    <c:v>19/04/2026</c:v>
                  </c:pt>
                  <c:pt idx="52">
                    <c:v>19/04/2026</c:v>
                  </c:pt>
                </c:lvl>
                <c:lvl>
                  <c:pt idx="0">
                    <c:v>1,96</c:v>
                  </c:pt>
                  <c:pt idx="1">
                    <c:v>1,79</c:v>
                  </c:pt>
                  <c:pt idx="2">
                    <c:v>1,53</c:v>
                  </c:pt>
                  <c:pt idx="3">
                    <c:v>1,79</c:v>
                  </c:pt>
                  <c:pt idx="4">
                    <c:v>1,41</c:v>
                  </c:pt>
                  <c:pt idx="5">
                    <c:v>1,3</c:v>
                  </c:pt>
                  <c:pt idx="6">
                    <c:v>1,53</c:v>
                  </c:pt>
                  <c:pt idx="7">
                    <c:v>1,35</c:v>
                  </c:pt>
                  <c:pt idx="8">
                    <c:v>1,41</c:v>
                  </c:pt>
                  <c:pt idx="9">
                    <c:v>1,91</c:v>
                  </c:pt>
                  <c:pt idx="10">
                    <c:v>1,96</c:v>
                  </c:pt>
                  <c:pt idx="11">
                    <c:v>1,76</c:v>
                  </c:pt>
                  <c:pt idx="12">
                    <c:v>1,86</c:v>
                  </c:pt>
                  <c:pt idx="13">
                    <c:v>1,66</c:v>
                  </c:pt>
                  <c:pt idx="14">
                    <c:v>1,62</c:v>
                  </c:pt>
                  <c:pt idx="15">
                    <c:v>1,66</c:v>
                  </c:pt>
                  <c:pt idx="16">
                    <c:v>1,66</c:v>
                  </c:pt>
                  <c:pt idx="17">
                    <c:v>1,62</c:v>
                  </c:pt>
                  <c:pt idx="18">
                    <c:v>1,45</c:v>
                  </c:pt>
                  <c:pt idx="19">
                    <c:v>1,39</c:v>
                  </c:pt>
                  <c:pt idx="20">
                    <c:v>1,79</c:v>
                  </c:pt>
                  <c:pt idx="21">
                    <c:v>1,76</c:v>
                  </c:pt>
                  <c:pt idx="22">
                    <c:v>1,66</c:v>
                  </c:pt>
                  <c:pt idx="23">
                    <c:v>1,61</c:v>
                  </c:pt>
                  <c:pt idx="24">
                    <c:v>1,91</c:v>
                  </c:pt>
                  <c:pt idx="25">
                    <c:v>1,66</c:v>
                  </c:pt>
                  <c:pt idx="26">
                    <c:v>1,51</c:v>
                  </c:pt>
                  <c:pt idx="27">
                    <c:v>1,57</c:v>
                  </c:pt>
                  <c:pt idx="28">
                    <c:v>1,76</c:v>
                  </c:pt>
                  <c:pt idx="29">
                    <c:v>1,86</c:v>
                  </c:pt>
                  <c:pt idx="30">
                    <c:v>1,61</c:v>
                  </c:pt>
                  <c:pt idx="31">
                    <c:v>1,91</c:v>
                  </c:pt>
                  <c:pt idx="32">
                    <c:v>1,66</c:v>
                  </c:pt>
                  <c:pt idx="33">
                    <c:v>1,81</c:v>
                  </c:pt>
                  <c:pt idx="34">
                    <c:v>1,37</c:v>
                  </c:pt>
                  <c:pt idx="35">
                    <c:v>1,91</c:v>
                  </c:pt>
                  <c:pt idx="36">
                    <c:v>1,71</c:v>
                  </c:pt>
                  <c:pt idx="37">
                    <c:v>1,49</c:v>
                  </c:pt>
                  <c:pt idx="38">
                    <c:v>1,81</c:v>
                  </c:pt>
                  <c:pt idx="39">
                    <c:v>1,61</c:v>
                  </c:pt>
                  <c:pt idx="40">
                    <c:v>1,51</c:v>
                  </c:pt>
                  <c:pt idx="41">
                    <c:v>1,91</c:v>
                  </c:pt>
                  <c:pt idx="42">
                    <c:v>1,3</c:v>
                  </c:pt>
                  <c:pt idx="43">
                    <c:v>1,68</c:v>
                  </c:pt>
                  <c:pt idx="44">
                    <c:v>1,71</c:v>
                  </c:pt>
                  <c:pt idx="45">
                    <c:v>1,39</c:v>
                  </c:pt>
                  <c:pt idx="46">
                    <c:v>1,86</c:v>
                  </c:pt>
                  <c:pt idx="47">
                    <c:v>1,96</c:v>
                  </c:pt>
                  <c:pt idx="48">
                    <c:v>1,62</c:v>
                  </c:pt>
                  <c:pt idx="49">
                    <c:v>1,86</c:v>
                  </c:pt>
                  <c:pt idx="50">
                    <c:v>1,49</c:v>
                  </c:pt>
                  <c:pt idx="51">
                    <c:v>1,56</c:v>
                  </c:pt>
                  <c:pt idx="52">
                    <c:v>1,42</c:v>
                  </c:pt>
                </c:lvl>
                <c:lvl>
                  <c:pt idx="0">
                    <c:v>3,9</c:v>
                  </c:pt>
                  <c:pt idx="1">
                    <c:v>4,75</c:v>
                  </c:pt>
                  <c:pt idx="2">
                    <c:v>6</c:v>
                  </c:pt>
                  <c:pt idx="3">
                    <c:v>4,5</c:v>
                  </c:pt>
                  <c:pt idx="4">
                    <c:v>7,5</c:v>
                  </c:pt>
                  <c:pt idx="5">
                    <c:v>10</c:v>
                  </c:pt>
                  <c:pt idx="6">
                    <c:v>6</c:v>
                  </c:pt>
                  <c:pt idx="7">
                    <c:v>9,5</c:v>
                  </c:pt>
                  <c:pt idx="8">
                    <c:v>7,5</c:v>
                  </c:pt>
                  <c:pt idx="9">
                    <c:v>4,2</c:v>
                  </c:pt>
                  <c:pt idx="10">
                    <c:v>4</c:v>
                  </c:pt>
                  <c:pt idx="11">
                    <c:v>5,5</c:v>
                  </c:pt>
                  <c:pt idx="12">
                    <c:v>4,75</c:v>
                  </c:pt>
                  <c:pt idx="13">
                    <c:v>5,5</c:v>
                  </c:pt>
                  <c:pt idx="14">
                    <c:v>5</c:v>
                  </c:pt>
                  <c:pt idx="15">
                    <c:v>4,75</c:v>
                  </c:pt>
                  <c:pt idx="16">
                    <c:v>5,25</c:v>
                  </c:pt>
                  <c:pt idx="17">
                    <c:v>5</c:v>
                  </c:pt>
                  <c:pt idx="18">
                    <c:v>6,5</c:v>
                  </c:pt>
                  <c:pt idx="19">
                    <c:v>7,5</c:v>
                  </c:pt>
                  <c:pt idx="20">
                    <c:v>4,75</c:v>
                  </c:pt>
                  <c:pt idx="21">
                    <c:v>4,33</c:v>
                  </c:pt>
                  <c:pt idx="22">
                    <c:v>5</c:v>
                  </c:pt>
                  <c:pt idx="23">
                    <c:v>5,5</c:v>
                  </c:pt>
                  <c:pt idx="24">
                    <c:v>4,2</c:v>
                  </c:pt>
                  <c:pt idx="25">
                    <c:v>5,25</c:v>
                  </c:pt>
                  <c:pt idx="26">
                    <c:v>6,25</c:v>
                  </c:pt>
                  <c:pt idx="27">
                    <c:v>6,25</c:v>
                  </c:pt>
                  <c:pt idx="28">
                    <c:v>4,75</c:v>
                  </c:pt>
                  <c:pt idx="29">
                    <c:v>4,2</c:v>
                  </c:pt>
                  <c:pt idx="30">
                    <c:v>6</c:v>
                  </c:pt>
                  <c:pt idx="31">
                    <c:v>4,75</c:v>
                  </c:pt>
                  <c:pt idx="32">
                    <c:v>5,25</c:v>
                  </c:pt>
                  <c:pt idx="33">
                    <c:v>4,33</c:v>
                  </c:pt>
                  <c:pt idx="34">
                    <c:v>7,5</c:v>
                  </c:pt>
                  <c:pt idx="35">
                    <c:v>3,9</c:v>
                  </c:pt>
                  <c:pt idx="36">
                    <c:v>4,75</c:v>
                  </c:pt>
                  <c:pt idx="37">
                    <c:v>6</c:v>
                  </c:pt>
                  <c:pt idx="38">
                    <c:v>4,75</c:v>
                  </c:pt>
                  <c:pt idx="39">
                    <c:v>5,75</c:v>
                  </c:pt>
                  <c:pt idx="40">
                    <c:v>6</c:v>
                  </c:pt>
                  <c:pt idx="41">
                    <c:v>4</c:v>
                  </c:pt>
                  <c:pt idx="42">
                    <c:v>11</c:v>
                  </c:pt>
                  <c:pt idx="43">
                    <c:v>4,75</c:v>
                  </c:pt>
                  <c:pt idx="44">
                    <c:v>4,75</c:v>
                  </c:pt>
                  <c:pt idx="45">
                    <c:v>5,75</c:v>
                  </c:pt>
                  <c:pt idx="46">
                    <c:v>4,2</c:v>
                  </c:pt>
                  <c:pt idx="47">
                    <c:v>3,9</c:v>
                  </c:pt>
                  <c:pt idx="48">
                    <c:v>5,25</c:v>
                  </c:pt>
                  <c:pt idx="49">
                    <c:v>4,1</c:v>
                  </c:pt>
                  <c:pt idx="50">
                    <c:v>6,5</c:v>
                  </c:pt>
                  <c:pt idx="51">
                    <c:v>6,5</c:v>
                  </c:pt>
                  <c:pt idx="52">
                    <c:v>6,5</c:v>
                  </c:pt>
                </c:lvl>
                <c:lvl>
                  <c:pt idx="0">
                    <c:v>Athletico-PR</c:v>
                  </c:pt>
                  <c:pt idx="1">
                    <c:v>Remo</c:v>
                  </c:pt>
                  <c:pt idx="2">
                    <c:v>Gremio</c:v>
                  </c:pt>
                  <c:pt idx="3">
                    <c:v>Vasco</c:v>
                  </c:pt>
                  <c:pt idx="4">
                    <c:v>Internacional</c:v>
                  </c:pt>
                  <c:pt idx="5">
                    <c:v>Vitoria</c:v>
                  </c:pt>
                  <c:pt idx="6">
                    <c:v>Chapecoense-SC</c:v>
                  </c:pt>
                  <c:pt idx="7">
                    <c:v>Coritiba</c:v>
                  </c:pt>
                  <c:pt idx="8">
                    <c:v>Remo</c:v>
                  </c:pt>
                  <c:pt idx="9">
                    <c:v>Gremio</c:v>
                  </c:pt>
                  <c:pt idx="10">
                    <c:v>Santos</c:v>
                  </c:pt>
                  <c:pt idx="11">
                    <c:v>Botafogo RJ</c:v>
                  </c:pt>
                  <c:pt idx="12">
                    <c:v>Bragantino</c:v>
                  </c:pt>
                  <c:pt idx="13">
                    <c:v>Corinthians</c:v>
                  </c:pt>
                  <c:pt idx="14">
                    <c:v>Fluminense</c:v>
                  </c:pt>
                  <c:pt idx="15">
                    <c:v>Santos</c:v>
                  </c:pt>
                  <c:pt idx="16">
                    <c:v>Vitoria</c:v>
                  </c:pt>
                  <c:pt idx="17">
                    <c:v>Coritiba</c:v>
                  </c:pt>
                  <c:pt idx="18">
                    <c:v>Cruzeiro</c:v>
                  </c:pt>
                  <c:pt idx="19">
                    <c:v>Chapecoense-SC</c:v>
                  </c:pt>
                  <c:pt idx="20">
                    <c:v>Athletico-PR</c:v>
                  </c:pt>
                  <c:pt idx="21">
                    <c:v>Bahia</c:v>
                  </c:pt>
                  <c:pt idx="22">
                    <c:v>Remo</c:v>
                  </c:pt>
                  <c:pt idx="23">
                    <c:v>Mirassol</c:v>
                  </c:pt>
                  <c:pt idx="24">
                    <c:v>Vasco</c:v>
                  </c:pt>
                  <c:pt idx="25">
                    <c:v>Bragantino</c:v>
                  </c:pt>
                  <c:pt idx="26">
                    <c:v>Botafogo RJ</c:v>
                  </c:pt>
                  <c:pt idx="27">
                    <c:v>Coritiba</c:v>
                  </c:pt>
                  <c:pt idx="28">
                    <c:v>Vitoria</c:v>
                  </c:pt>
                  <c:pt idx="29">
                    <c:v>Botafogo RJ</c:v>
                  </c:pt>
                  <c:pt idx="30">
                    <c:v>Atletico-MG</c:v>
                  </c:pt>
                  <c:pt idx="31">
                    <c:v>Coritiba</c:v>
                  </c:pt>
                  <c:pt idx="32">
                    <c:v>Santos</c:v>
                  </c:pt>
                  <c:pt idx="33">
                    <c:v>Gremio</c:v>
                  </c:pt>
                  <c:pt idx="34">
                    <c:v>Chapecoense-SC</c:v>
                  </c:pt>
                  <c:pt idx="35">
                    <c:v>Botafogo RJ</c:v>
                  </c:pt>
                  <c:pt idx="36">
                    <c:v>Athletico-PR</c:v>
                  </c:pt>
                  <c:pt idx="37">
                    <c:v>Vitoria</c:v>
                  </c:pt>
                  <c:pt idx="38">
                    <c:v>Corinthians</c:v>
                  </c:pt>
                  <c:pt idx="39">
                    <c:v>Remo</c:v>
                  </c:pt>
                  <c:pt idx="40">
                    <c:v>Gremio</c:v>
                  </c:pt>
                  <c:pt idx="41">
                    <c:v>Botafogo RJ</c:v>
                  </c:pt>
                  <c:pt idx="42">
                    <c:v>Santos</c:v>
                  </c:pt>
                  <c:pt idx="43">
                    <c:v>Remo</c:v>
                  </c:pt>
                  <c:pt idx="44">
                    <c:v>Gremio</c:v>
                  </c:pt>
                  <c:pt idx="45">
                    <c:v>Chapecoense-SC</c:v>
                  </c:pt>
                  <c:pt idx="46">
                    <c:v>Coritiba</c:v>
                  </c:pt>
                  <c:pt idx="47">
                    <c:v>Bragantino</c:v>
                  </c:pt>
                  <c:pt idx="48">
                    <c:v>Gremio</c:v>
                  </c:pt>
                  <c:pt idx="49">
                    <c:v>Mirassol</c:v>
                  </c:pt>
                  <c:pt idx="50">
                    <c:v>Remo</c:v>
                  </c:pt>
                  <c:pt idx="51">
                    <c:v>Athletico-PR</c:v>
                  </c:pt>
                  <c:pt idx="52">
                    <c:v>Bahia</c:v>
                  </c:pt>
                </c:lvl>
                <c:lvl>
                  <c:pt idx="0">
                    <c:v>Internacional</c:v>
                  </c:pt>
                  <c:pt idx="1">
                    <c:v>Vitoria</c:v>
                  </c:pt>
                  <c:pt idx="2">
                    <c:v>Fluminense</c:v>
                  </c:pt>
                  <c:pt idx="3">
                    <c:v>Mirassol</c:v>
                  </c:pt>
                  <c:pt idx="4">
                    <c:v>Flamengo RJ</c:v>
                  </c:pt>
                  <c:pt idx="5">
                    <c:v>Palmeiras</c:v>
                  </c:pt>
                  <c:pt idx="6">
                    <c:v>Vasco</c:v>
                  </c:pt>
                  <c:pt idx="7">
                    <c:v>Cruzeiro</c:v>
                  </c:pt>
                  <c:pt idx="8">
                    <c:v>Atletico-MG</c:v>
                  </c:pt>
                  <c:pt idx="9">
                    <c:v>Sao Paulo</c:v>
                  </c:pt>
                  <c:pt idx="10">
                    <c:v>Athletico-PR</c:v>
                  </c:pt>
                  <c:pt idx="11">
                    <c:v>Fluminense</c:v>
                  </c:pt>
                  <c:pt idx="12">
                    <c:v>Corinthians</c:v>
                  </c:pt>
                  <c:pt idx="13">
                    <c:v>Cruzeiro</c:v>
                  </c:pt>
                  <c:pt idx="14">
                    <c:v>Palmeiras</c:v>
                  </c:pt>
                  <c:pt idx="15">
                    <c:v>Mirassol</c:v>
                  </c:pt>
                  <c:pt idx="16">
                    <c:v>Bahia</c:v>
                  </c:pt>
                  <c:pt idx="17">
                    <c:v>Corinthians</c:v>
                  </c:pt>
                  <c:pt idx="18">
                    <c:v>Flamengo RJ</c:v>
                  </c:pt>
                  <c:pt idx="19">
                    <c:v>Sao Paulo</c:v>
                  </c:pt>
                  <c:pt idx="20">
                    <c:v>Fluminense</c:v>
                  </c:pt>
                  <c:pt idx="21">
                    <c:v>Internacional</c:v>
                  </c:pt>
                  <c:pt idx="22">
                    <c:v>Coritiba</c:v>
                  </c:pt>
                  <c:pt idx="23">
                    <c:v>Palmeiras</c:v>
                  </c:pt>
                  <c:pt idx="24">
                    <c:v>Cruzeiro</c:v>
                  </c:pt>
                  <c:pt idx="25">
                    <c:v>Bahia</c:v>
                  </c:pt>
                  <c:pt idx="26">
                    <c:v>Palmeiras</c:v>
                  </c:pt>
                  <c:pt idx="27">
                    <c:v>Mirassol</c:v>
                  </c:pt>
                  <c:pt idx="28">
                    <c:v>Gremio</c:v>
                  </c:pt>
                  <c:pt idx="29">
                    <c:v>Bragantino</c:v>
                  </c:pt>
                  <c:pt idx="30">
                    <c:v>Fluminense</c:v>
                  </c:pt>
                  <c:pt idx="31">
                    <c:v>Athletico-PR</c:v>
                  </c:pt>
                  <c:pt idx="32">
                    <c:v>Cruzeiro</c:v>
                  </c:pt>
                  <c:pt idx="33">
                    <c:v>Vasco</c:v>
                  </c:pt>
                  <c:pt idx="34">
                    <c:v>Internacional</c:v>
                  </c:pt>
                  <c:pt idx="35">
                    <c:v>Athletico-PR</c:v>
                  </c:pt>
                  <c:pt idx="36">
                    <c:v>Bahia</c:v>
                  </c:pt>
                  <c:pt idx="37">
                    <c:v>Cruzeiro</c:v>
                  </c:pt>
                  <c:pt idx="38">
                    <c:v>Fluminense</c:v>
                  </c:pt>
                  <c:pt idx="39">
                    <c:v>Santos</c:v>
                  </c:pt>
                  <c:pt idx="40">
                    <c:v>Palmeiras</c:v>
                  </c:pt>
                  <c:pt idx="41">
                    <c:v>Vasco</c:v>
                  </c:pt>
                  <c:pt idx="42">
                    <c:v>Flamengo RJ</c:v>
                  </c:pt>
                  <c:pt idx="43">
                    <c:v>Gremio</c:v>
                  </c:pt>
                  <c:pt idx="44">
                    <c:v>Internacional</c:v>
                  </c:pt>
                  <c:pt idx="45">
                    <c:v>Athletico-PR</c:v>
                  </c:pt>
                  <c:pt idx="46">
                    <c:v>Botafogo RJ</c:v>
                  </c:pt>
                  <c:pt idx="47">
                    <c:v>Cruzeiro</c:v>
                  </c:pt>
                  <c:pt idx="48">
                    <c:v>Cruzeiro</c:v>
                  </c:pt>
                  <c:pt idx="49">
                    <c:v>Internacional</c:v>
                  </c:pt>
                  <c:pt idx="50">
                    <c:v>Bragantino</c:v>
                  </c:pt>
                  <c:pt idx="51">
                    <c:v>Palmeiras</c:v>
                  </c:pt>
                  <c:pt idx="52">
                    <c:v>Flamengo RJ</c:v>
                  </c:pt>
                </c:lvl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9</c:v>
                  </c:pt>
                  <c:pt idx="4">
                    <c:v>12</c:v>
                  </c:pt>
                  <c:pt idx="5">
                    <c:v>16</c:v>
                  </c:pt>
                  <c:pt idx="6">
                    <c:v>18</c:v>
                  </c:pt>
                  <c:pt idx="7">
                    <c:v>19</c:v>
                  </c:pt>
                  <c:pt idx="8">
                    <c:v>23</c:v>
                  </c:pt>
                  <c:pt idx="9">
                    <c:v>24</c:v>
                  </c:pt>
                  <c:pt idx="10">
                    <c:v>26</c:v>
                  </c:pt>
                  <c:pt idx="11">
                    <c:v>27</c:v>
                  </c:pt>
                  <c:pt idx="12">
                    <c:v>28</c:v>
                  </c:pt>
                  <c:pt idx="13">
                    <c:v>34</c:v>
                  </c:pt>
                  <c:pt idx="14">
                    <c:v>36</c:v>
                  </c:pt>
                  <c:pt idx="15">
                    <c:v>38</c:v>
                  </c:pt>
                  <c:pt idx="16">
                    <c:v>40</c:v>
                  </c:pt>
                  <c:pt idx="17">
                    <c:v>41</c:v>
                  </c:pt>
                  <c:pt idx="18">
                    <c:v>42</c:v>
                  </c:pt>
                  <c:pt idx="19">
                    <c:v>45</c:v>
                  </c:pt>
                  <c:pt idx="20">
                    <c:v>49</c:v>
                  </c:pt>
                  <c:pt idx="21">
                    <c:v>50</c:v>
                  </c:pt>
                  <c:pt idx="22">
                    <c:v>52</c:v>
                  </c:pt>
                  <c:pt idx="23">
                    <c:v>53</c:v>
                  </c:pt>
                  <c:pt idx="24">
                    <c:v>55</c:v>
                  </c:pt>
                  <c:pt idx="25">
                    <c:v>57</c:v>
                  </c:pt>
                  <c:pt idx="26">
                    <c:v>58</c:v>
                  </c:pt>
                  <c:pt idx="27">
                    <c:v>61</c:v>
                  </c:pt>
                  <c:pt idx="28">
                    <c:v>64</c:v>
                  </c:pt>
                  <c:pt idx="29">
                    <c:v>67</c:v>
                  </c:pt>
                  <c:pt idx="30">
                    <c:v>68</c:v>
                  </c:pt>
                  <c:pt idx="31">
                    <c:v>70</c:v>
                  </c:pt>
                  <c:pt idx="32">
                    <c:v>71</c:v>
                  </c:pt>
                  <c:pt idx="33">
                    <c:v>73</c:v>
                  </c:pt>
                  <c:pt idx="34">
                    <c:v>74</c:v>
                  </c:pt>
                  <c:pt idx="35">
                    <c:v>77</c:v>
                  </c:pt>
                  <c:pt idx="36">
                    <c:v>80</c:v>
                  </c:pt>
                  <c:pt idx="37">
                    <c:v>81</c:v>
                  </c:pt>
                  <c:pt idx="38">
                    <c:v>83</c:v>
                  </c:pt>
                  <c:pt idx="39">
                    <c:v>85</c:v>
                  </c:pt>
                  <c:pt idx="40">
                    <c:v>87</c:v>
                  </c:pt>
                  <c:pt idx="41">
                    <c:v>90</c:v>
                  </c:pt>
                  <c:pt idx="42">
                    <c:v>93</c:v>
                  </c:pt>
                  <c:pt idx="43">
                    <c:v>97</c:v>
                  </c:pt>
                  <c:pt idx="44">
                    <c:v>102</c:v>
                  </c:pt>
                  <c:pt idx="45">
                    <c:v>103</c:v>
                  </c:pt>
                  <c:pt idx="46">
                    <c:v>104</c:v>
                  </c:pt>
                  <c:pt idx="47">
                    <c:v>107</c:v>
                  </c:pt>
                  <c:pt idx="48">
                    <c:v>111</c:v>
                  </c:pt>
                  <c:pt idx="49">
                    <c:v>112</c:v>
                  </c:pt>
                  <c:pt idx="50">
                    <c:v>115</c:v>
                  </c:pt>
                  <c:pt idx="51">
                    <c:v>116</c:v>
                  </c:pt>
                  <c:pt idx="52">
                    <c:v>117</c:v>
                  </c:pt>
                </c:lvl>
              </c:multiLvlStrCache>
            </c:multiLvlStrRef>
          </c:cat>
          <c:val>
            <c:numRef>
              <c:f>FT!$C$2:$C$320</c:f>
              <c:numCache>
                <c:formatCode>General</c:formatCode>
                <c:ptCount val="5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2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F8-44C4-AAA1-06593948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152703"/>
        <c:axId val="1764153535"/>
      </c:barChart>
      <c:catAx>
        <c:axId val="176415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153535"/>
        <c:crosses val="autoZero"/>
        <c:auto val="1"/>
        <c:lblAlgn val="ctr"/>
        <c:lblOffset val="100"/>
        <c:noMultiLvlLbl val="0"/>
      </c:catAx>
      <c:valAx>
        <c:axId val="17641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15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[BRA1DASHv261.xlsx]EVOL!Tabela dinâmica2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EVOL!$T$1</c:f>
              <c:strCache>
                <c:ptCount val="1"/>
                <c:pt idx="0">
                  <c:v>Soma de FTHG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EVOL!$S$2:$S$356</c:f>
              <c:multiLvlStrCache>
                <c:ptCount val="118"/>
                <c:lvl>
                  <c:pt idx="0">
                    <c:v>Palmeiras</c:v>
                  </c:pt>
                  <c:pt idx="1">
                    <c:v>Bragantino</c:v>
                  </c:pt>
                  <c:pt idx="2">
                    <c:v>Athletico-PR</c:v>
                  </c:pt>
                  <c:pt idx="3">
                    <c:v>Remo</c:v>
                  </c:pt>
                  <c:pt idx="4">
                    <c:v>Gremio</c:v>
                  </c:pt>
                  <c:pt idx="5">
                    <c:v>Santos</c:v>
                  </c:pt>
                  <c:pt idx="6">
                    <c:v>Bahia</c:v>
                  </c:pt>
                  <c:pt idx="7">
                    <c:v>Flamengo RJ</c:v>
                  </c:pt>
                  <c:pt idx="8">
                    <c:v>Vasco</c:v>
                  </c:pt>
                  <c:pt idx="9">
                    <c:v>Cruzeiro</c:v>
                  </c:pt>
                  <c:pt idx="10">
                    <c:v>Atletico-MG</c:v>
                  </c:pt>
                  <c:pt idx="11">
                    <c:v>Internacional</c:v>
                  </c:pt>
                  <c:pt idx="12">
                    <c:v>Mirassol</c:v>
                  </c:pt>
                  <c:pt idx="13">
                    <c:v>Sao Paulo</c:v>
                  </c:pt>
                  <c:pt idx="14">
                    <c:v>Botafogo RJ</c:v>
                  </c:pt>
                  <c:pt idx="15">
                    <c:v>Vitoria</c:v>
                  </c:pt>
                  <c:pt idx="16">
                    <c:v>Fluminense</c:v>
                  </c:pt>
                  <c:pt idx="17">
                    <c:v>Chapecoense-SC</c:v>
                  </c:pt>
                  <c:pt idx="18">
                    <c:v>Coritiba</c:v>
                  </c:pt>
                  <c:pt idx="19">
                    <c:v>Flamengo RJ</c:v>
                  </c:pt>
                  <c:pt idx="20">
                    <c:v>Coritiba</c:v>
                  </c:pt>
                  <c:pt idx="21">
                    <c:v>Cruzeiro</c:v>
                  </c:pt>
                  <c:pt idx="22">
                    <c:v>Remo</c:v>
                  </c:pt>
                  <c:pt idx="23">
                    <c:v>Gremio</c:v>
                  </c:pt>
                  <c:pt idx="24">
                    <c:v>Bahia</c:v>
                  </c:pt>
                  <c:pt idx="25">
                    <c:v>Santos</c:v>
                  </c:pt>
                  <c:pt idx="26">
                    <c:v>Botafogo RJ</c:v>
                  </c:pt>
                  <c:pt idx="27">
                    <c:v>Bragantino</c:v>
                  </c:pt>
                  <c:pt idx="28">
                    <c:v>Palmeiras</c:v>
                  </c:pt>
                  <c:pt idx="29">
                    <c:v>Corinthians</c:v>
                  </c:pt>
                  <c:pt idx="30">
                    <c:v>Athletico-PR</c:v>
                  </c:pt>
                  <c:pt idx="31">
                    <c:v>Internacional</c:v>
                  </c:pt>
                  <c:pt idx="32">
                    <c:v>Sao Paulo</c:v>
                  </c:pt>
                  <c:pt idx="33">
                    <c:v>Corinthians</c:v>
                  </c:pt>
                  <c:pt idx="34">
                    <c:v>Atletico-MG</c:v>
                  </c:pt>
                  <c:pt idx="35">
                    <c:v>Fluminense</c:v>
                  </c:pt>
                  <c:pt idx="36">
                    <c:v>Vasco</c:v>
                  </c:pt>
                  <c:pt idx="37">
                    <c:v>Santos</c:v>
                  </c:pt>
                  <c:pt idx="38">
                    <c:v>Internacional</c:v>
                  </c:pt>
                  <c:pt idx="39">
                    <c:v>Vitoria</c:v>
                  </c:pt>
                  <c:pt idx="40">
                    <c:v>Coritiba</c:v>
                  </c:pt>
                  <c:pt idx="41">
                    <c:v>Cruzeiro</c:v>
                  </c:pt>
                  <c:pt idx="42">
                    <c:v>Fluminense</c:v>
                  </c:pt>
                  <c:pt idx="43">
                    <c:v>Palmeiras</c:v>
                  </c:pt>
                  <c:pt idx="44">
                    <c:v>Chapecoense-SC</c:v>
                  </c:pt>
                  <c:pt idx="45">
                    <c:v>Bragantino</c:v>
                  </c:pt>
                  <c:pt idx="46">
                    <c:v>Atletico-MG</c:v>
                  </c:pt>
                  <c:pt idx="47">
                    <c:v>Flamengo RJ</c:v>
                  </c:pt>
                  <c:pt idx="48">
                    <c:v>Athletico-PR</c:v>
                  </c:pt>
                  <c:pt idx="49">
                    <c:v>Bahia</c:v>
                  </c:pt>
                  <c:pt idx="50">
                    <c:v>Corinthians</c:v>
                  </c:pt>
                  <c:pt idx="51">
                    <c:v>Remo</c:v>
                  </c:pt>
                  <c:pt idx="52">
                    <c:v>Mirassol</c:v>
                  </c:pt>
                  <c:pt idx="53">
                    <c:v>Sao Paulo</c:v>
                  </c:pt>
                  <c:pt idx="54">
                    <c:v>Vasco</c:v>
                  </c:pt>
                  <c:pt idx="55">
                    <c:v>Gremio</c:v>
                  </c:pt>
                  <c:pt idx="56">
                    <c:v>Bragantino</c:v>
                  </c:pt>
                  <c:pt idx="57">
                    <c:v>Botafogo RJ</c:v>
                  </c:pt>
                  <c:pt idx="58">
                    <c:v>Cruzeiro</c:v>
                  </c:pt>
                  <c:pt idx="59">
                    <c:v>Sao Paulo</c:v>
                  </c:pt>
                  <c:pt idx="60">
                    <c:v>Coritiba</c:v>
                  </c:pt>
                  <c:pt idx="61">
                    <c:v>Internacional</c:v>
                  </c:pt>
                  <c:pt idx="62">
                    <c:v>Fluminense</c:v>
                  </c:pt>
                  <c:pt idx="63">
                    <c:v>Vitoria</c:v>
                  </c:pt>
                  <c:pt idx="64">
                    <c:v>Remo</c:v>
                  </c:pt>
                  <c:pt idx="65">
                    <c:v>Corinthians</c:v>
                  </c:pt>
                  <c:pt idx="66">
                    <c:v>Botafogo RJ</c:v>
                  </c:pt>
                  <c:pt idx="67">
                    <c:v>Atletico-MG</c:v>
                  </c:pt>
                  <c:pt idx="68">
                    <c:v>Palmeiras</c:v>
                  </c:pt>
                  <c:pt idx="69">
                    <c:v>Coritiba</c:v>
                  </c:pt>
                  <c:pt idx="70">
                    <c:v>Santos</c:v>
                  </c:pt>
                  <c:pt idx="71">
                    <c:v>Bahia</c:v>
                  </c:pt>
                  <c:pt idx="72">
                    <c:v>Gremio</c:v>
                  </c:pt>
                  <c:pt idx="73">
                    <c:v>Chapecoense-SC</c:v>
                  </c:pt>
                  <c:pt idx="74">
                    <c:v>Mirassol</c:v>
                  </c:pt>
                  <c:pt idx="75">
                    <c:v>Flamengo RJ</c:v>
                  </c:pt>
                  <c:pt idx="76">
                    <c:v>Botafogo RJ</c:v>
                  </c:pt>
                  <c:pt idx="77">
                    <c:v>Mirassol</c:v>
                  </c:pt>
                  <c:pt idx="78">
                    <c:v>Sao Paulo</c:v>
                  </c:pt>
                  <c:pt idx="79">
                    <c:v>Athletico-PR</c:v>
                  </c:pt>
                  <c:pt idx="80">
                    <c:v>Vitoria</c:v>
                  </c:pt>
                  <c:pt idx="81">
                    <c:v>Vasco</c:v>
                  </c:pt>
                  <c:pt idx="82">
                    <c:v>Corinthians</c:v>
                  </c:pt>
                  <c:pt idx="83">
                    <c:v>Atletico-MG</c:v>
                  </c:pt>
                  <c:pt idx="84">
                    <c:v>Remo</c:v>
                  </c:pt>
                  <c:pt idx="85">
                    <c:v>Flamengo RJ</c:v>
                  </c:pt>
                  <c:pt idx="86">
                    <c:v>Gremio</c:v>
                  </c:pt>
                  <c:pt idx="87">
                    <c:v>Cruzeiro</c:v>
                  </c:pt>
                  <c:pt idx="88">
                    <c:v>Fluminense</c:v>
                  </c:pt>
                  <c:pt idx="89">
                    <c:v>Botafogo RJ</c:v>
                  </c:pt>
                  <c:pt idx="90">
                    <c:v>Vitoria</c:v>
                  </c:pt>
                  <c:pt idx="91">
                    <c:v>Athletico-PR</c:v>
                  </c:pt>
                  <c:pt idx="92">
                    <c:v>Santos</c:v>
                  </c:pt>
                  <c:pt idx="93">
                    <c:v>Palmeiras</c:v>
                  </c:pt>
                  <c:pt idx="94">
                    <c:v>Internacional</c:v>
                  </c:pt>
                  <c:pt idx="95">
                    <c:v>Bragantino</c:v>
                  </c:pt>
                  <c:pt idx="96">
                    <c:v>Remo</c:v>
                  </c:pt>
                  <c:pt idx="97">
                    <c:v>Vasco</c:v>
                  </c:pt>
                  <c:pt idx="98">
                    <c:v>Sao Paulo</c:v>
                  </c:pt>
                  <c:pt idx="99">
                    <c:v>Bahia</c:v>
                  </c:pt>
                  <c:pt idx="100">
                    <c:v>Atletico-MG</c:v>
                  </c:pt>
                  <c:pt idx="101">
                    <c:v>Gremio</c:v>
                  </c:pt>
                  <c:pt idx="102">
                    <c:v>Chapecoense-SC</c:v>
                  </c:pt>
                  <c:pt idx="103">
                    <c:v>Coritiba</c:v>
                  </c:pt>
                  <c:pt idx="104">
                    <c:v>Flamengo RJ</c:v>
                  </c:pt>
                  <c:pt idx="105">
                    <c:v>Palmeiras</c:v>
                  </c:pt>
                  <c:pt idx="106">
                    <c:v>Bragantino</c:v>
                  </c:pt>
                  <c:pt idx="107">
                    <c:v>Botafogo RJ</c:v>
                  </c:pt>
                  <c:pt idx="108">
                    <c:v>Sao Paulo</c:v>
                  </c:pt>
                  <c:pt idx="109">
                    <c:v>Corinthians</c:v>
                  </c:pt>
                  <c:pt idx="110">
                    <c:v>Gremio</c:v>
                  </c:pt>
                  <c:pt idx="111">
                    <c:v>Mirassol</c:v>
                  </c:pt>
                  <c:pt idx="112">
                    <c:v>Atletico-MG</c:v>
                  </c:pt>
                  <c:pt idx="113">
                    <c:v>Fluminense</c:v>
                  </c:pt>
                  <c:pt idx="114">
                    <c:v>Remo</c:v>
                  </c:pt>
                  <c:pt idx="115">
                    <c:v>Athletico-PR</c:v>
                  </c:pt>
                  <c:pt idx="116">
                    <c:v>Bahia</c:v>
                  </c:pt>
                  <c:pt idx="117">
                    <c:v>(vazio)</c:v>
                  </c:pt>
                </c:lvl>
                <c:lvl>
                  <c:pt idx="0">
                    <c:v>Atletico-MG</c:v>
                  </c:pt>
                  <c:pt idx="1">
                    <c:v>Coritiba</c:v>
                  </c:pt>
                  <c:pt idx="2">
                    <c:v>Internacional</c:v>
                  </c:pt>
                  <c:pt idx="3">
                    <c:v>Vitoria</c:v>
                  </c:pt>
                  <c:pt idx="4">
                    <c:v>Fluminense</c:v>
                  </c:pt>
                  <c:pt idx="5">
                    <c:v>Chapecoense-SC</c:v>
                  </c:pt>
                  <c:pt idx="6">
                    <c:v>Corinthians</c:v>
                  </c:pt>
                  <c:pt idx="7">
                    <c:v>Sao Paulo</c:v>
                  </c:pt>
                  <c:pt idx="8">
                    <c:v>Mirassol</c:v>
                  </c:pt>
                  <c:pt idx="9">
                    <c:v>Botafogo RJ</c:v>
                  </c:pt>
                  <c:pt idx="10">
                    <c:v>Bragantino</c:v>
                  </c:pt>
                  <c:pt idx="11">
                    <c:v>Flamengo RJ</c:v>
                  </c:pt>
                  <c:pt idx="12">
                    <c:v>Remo</c:v>
                  </c:pt>
                  <c:pt idx="13">
                    <c:v>Santos</c:v>
                  </c:pt>
                  <c:pt idx="14">
                    <c:v>Gremio</c:v>
                  </c:pt>
                  <c:pt idx="15">
                    <c:v>Palmeiras</c:v>
                  </c:pt>
                  <c:pt idx="16">
                    <c:v>Bahia</c:v>
                  </c:pt>
                  <c:pt idx="17">
                    <c:v>Vasco</c:v>
                  </c:pt>
                  <c:pt idx="18">
                    <c:v>Cruzeiro</c:v>
                  </c:pt>
                  <c:pt idx="19">
                    <c:v>Vitoria</c:v>
                  </c:pt>
                  <c:pt idx="20">
                    <c:v>Chapecoense-SC</c:v>
                  </c:pt>
                  <c:pt idx="21">
                    <c:v>Mirassol</c:v>
                  </c:pt>
                  <c:pt idx="22">
                    <c:v>Atletico-MG</c:v>
                  </c:pt>
                  <c:pt idx="23">
                    <c:v>Sao Paulo</c:v>
                  </c:pt>
                  <c:pt idx="24">
                    <c:v>Vasco</c:v>
                  </c:pt>
                  <c:pt idx="25">
                    <c:v>Athletico-PR</c:v>
                  </c:pt>
                  <c:pt idx="26">
                    <c:v>Fluminense</c:v>
                  </c:pt>
                  <c:pt idx="27">
                    <c:v>Corinthians</c:v>
                  </c:pt>
                  <c:pt idx="28">
                    <c:v>Internacional</c:v>
                  </c:pt>
                  <c:pt idx="29">
                    <c:v>Athletico-PR</c:v>
                  </c:pt>
                  <c:pt idx="30">
                    <c:v>Bragantino</c:v>
                  </c:pt>
                  <c:pt idx="31">
                    <c:v>Remo</c:v>
                  </c:pt>
                  <c:pt idx="32">
                    <c:v>Coritiba</c:v>
                  </c:pt>
                  <c:pt idx="33">
                    <c:v>Cruzeiro</c:v>
                  </c:pt>
                  <c:pt idx="34">
                    <c:v>Gremio</c:v>
                  </c:pt>
                  <c:pt idx="35">
                    <c:v>Palmeiras</c:v>
                  </c:pt>
                  <c:pt idx="36">
                    <c:v>Santos</c:v>
                  </c:pt>
                  <c:pt idx="37">
                    <c:v>Mirassol</c:v>
                  </c:pt>
                  <c:pt idx="38">
                    <c:v>Atletico-MG</c:v>
                  </c:pt>
                  <c:pt idx="39">
                    <c:v>Bahia</c:v>
                  </c:pt>
                  <c:pt idx="40">
                    <c:v>Corinthians</c:v>
                  </c:pt>
                  <c:pt idx="41">
                    <c:v>Flamengo RJ</c:v>
                  </c:pt>
                  <c:pt idx="42">
                    <c:v>Remo</c:v>
                  </c:pt>
                  <c:pt idx="43">
                    <c:v>Vasco</c:v>
                  </c:pt>
                  <c:pt idx="44">
                    <c:v>Sao Paulo</c:v>
                  </c:pt>
                  <c:pt idx="45">
                    <c:v>Gremio</c:v>
                  </c:pt>
                  <c:pt idx="46">
                    <c:v>Vitoria</c:v>
                  </c:pt>
                  <c:pt idx="47">
                    <c:v>Botafogo RJ</c:v>
                  </c:pt>
                  <c:pt idx="48">
                    <c:v>Fluminense</c:v>
                  </c:pt>
                  <c:pt idx="49">
                    <c:v>Internacional</c:v>
                  </c:pt>
                  <c:pt idx="50">
                    <c:v>Santos</c:v>
                  </c:pt>
                  <c:pt idx="51">
                    <c:v>Coritiba</c:v>
                  </c:pt>
                  <c:pt idx="52">
                    <c:v>Palmeiras</c:v>
                  </c:pt>
                  <c:pt idx="53">
                    <c:v>Bragantino</c:v>
                  </c:pt>
                  <c:pt idx="54">
                    <c:v>Cruzeiro</c:v>
                  </c:pt>
                  <c:pt idx="55">
                    <c:v>Chapecoense-SC</c:v>
                  </c:pt>
                  <c:pt idx="56">
                    <c:v>Bahia</c:v>
                  </c:pt>
                  <c:pt idx="57">
                    <c:v>Palmeiras</c:v>
                  </c:pt>
                  <c:pt idx="58">
                    <c:v>Athletico-PR</c:v>
                  </c:pt>
                  <c:pt idx="59">
                    <c:v>Atletico-MG</c:v>
                  </c:pt>
                  <c:pt idx="60">
                    <c:v>Mirassol</c:v>
                  </c:pt>
                  <c:pt idx="61">
                    <c:v>Santos</c:v>
                  </c:pt>
                  <c:pt idx="62">
                    <c:v>Vasco</c:v>
                  </c:pt>
                  <c:pt idx="63">
                    <c:v>Gremio</c:v>
                  </c:pt>
                  <c:pt idx="64">
                    <c:v>Flamengo RJ</c:v>
                  </c:pt>
                  <c:pt idx="65">
                    <c:v>Chapecoense-SC</c:v>
                  </c:pt>
                  <c:pt idx="66">
                    <c:v>Bragantino</c:v>
                  </c:pt>
                  <c:pt idx="67">
                    <c:v>Fluminense</c:v>
                  </c:pt>
                  <c:pt idx="68">
                    <c:v>Sao Paulo</c:v>
                  </c:pt>
                  <c:pt idx="69">
                    <c:v>Athletico-PR</c:v>
                  </c:pt>
                  <c:pt idx="70">
                    <c:v>Cruzeiro</c:v>
                  </c:pt>
                  <c:pt idx="71">
                    <c:v>Remo</c:v>
                  </c:pt>
                  <c:pt idx="72">
                    <c:v>Vasco</c:v>
                  </c:pt>
                  <c:pt idx="73">
                    <c:v>Internacional</c:v>
                  </c:pt>
                  <c:pt idx="74">
                    <c:v>Vitoria</c:v>
                  </c:pt>
                  <c:pt idx="75">
                    <c:v>Corinthians</c:v>
                  </c:pt>
                  <c:pt idx="76">
                    <c:v>Athletico-PR</c:v>
                  </c:pt>
                  <c:pt idx="77">
                    <c:v>Botafogo RJ</c:v>
                  </c:pt>
                  <c:pt idx="78">
                    <c:v>Internacional</c:v>
                  </c:pt>
                  <c:pt idx="79">
                    <c:v>Bahia</c:v>
                  </c:pt>
                  <c:pt idx="80">
                    <c:v>Cruzeiro</c:v>
                  </c:pt>
                  <c:pt idx="81">
                    <c:v>Coritiba</c:v>
                  </c:pt>
                  <c:pt idx="82">
                    <c:v>Fluminense</c:v>
                  </c:pt>
                  <c:pt idx="83">
                    <c:v>Chapecoense-SC</c:v>
                  </c:pt>
                  <c:pt idx="84">
                    <c:v>Santos</c:v>
                  </c:pt>
                  <c:pt idx="85">
                    <c:v>Bragantino</c:v>
                  </c:pt>
                  <c:pt idx="86">
                    <c:v>Palmeiras</c:v>
                  </c:pt>
                  <c:pt idx="87">
                    <c:v>Sao Paulo</c:v>
                  </c:pt>
                  <c:pt idx="88">
                    <c:v>Coritiba</c:v>
                  </c:pt>
                  <c:pt idx="89">
                    <c:v>Vasco</c:v>
                  </c:pt>
                  <c:pt idx="90">
                    <c:v>Chapecoense-SC</c:v>
                  </c:pt>
                  <c:pt idx="91">
                    <c:v>Atletico-MG</c:v>
                  </c:pt>
                  <c:pt idx="92">
                    <c:v>Flamengo RJ</c:v>
                  </c:pt>
                  <c:pt idx="93">
                    <c:v>Bahia</c:v>
                  </c:pt>
                  <c:pt idx="94">
                    <c:v>Corinthians</c:v>
                  </c:pt>
                  <c:pt idx="95">
                    <c:v>Mirassol</c:v>
                  </c:pt>
                  <c:pt idx="96">
                    <c:v>Gremio</c:v>
                  </c:pt>
                  <c:pt idx="97">
                    <c:v>Remo</c:v>
                  </c:pt>
                  <c:pt idx="98">
                    <c:v>Vitoria</c:v>
                  </c:pt>
                  <c:pt idx="99">
                    <c:v>Mirassol</c:v>
                  </c:pt>
                  <c:pt idx="100">
                    <c:v>Santos</c:v>
                  </c:pt>
                  <c:pt idx="101">
                    <c:v>Internacional</c:v>
                  </c:pt>
                  <c:pt idx="102">
                    <c:v>Athletico-PR</c:v>
                  </c:pt>
                  <c:pt idx="103">
                    <c:v>Botafogo RJ</c:v>
                  </c:pt>
                  <c:pt idx="104">
                    <c:v>Fluminense</c:v>
                  </c:pt>
                  <c:pt idx="105">
                    <c:v>Corinthians</c:v>
                  </c:pt>
                  <c:pt idx="106">
                    <c:v>Cruzeiro</c:v>
                  </c:pt>
                  <c:pt idx="107">
                    <c:v>Chapecoense-SC</c:v>
                  </c:pt>
                  <c:pt idx="108">
                    <c:v>Vasco</c:v>
                  </c:pt>
                  <c:pt idx="109">
                    <c:v>Vitoria</c:v>
                  </c:pt>
                  <c:pt idx="110">
                    <c:v>Cruzeiro</c:v>
                  </c:pt>
                  <c:pt idx="111">
                    <c:v>Internacional</c:v>
                  </c:pt>
                  <c:pt idx="112">
                    <c:v>Coritiba</c:v>
                  </c:pt>
                  <c:pt idx="113">
                    <c:v>Santos</c:v>
                  </c:pt>
                  <c:pt idx="114">
                    <c:v>Bragantino</c:v>
                  </c:pt>
                  <c:pt idx="115">
                    <c:v>Palmeiras</c:v>
                  </c:pt>
                  <c:pt idx="116">
                    <c:v>Flamengo RJ</c:v>
                  </c:pt>
                  <c:pt idx="117">
                    <c:v>(vazio)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</c:lvl>
              </c:multiLvlStrCache>
            </c:multiLvlStrRef>
          </c:cat>
          <c:val>
            <c:numRef>
              <c:f>EVOL!$T$2:$T$356</c:f>
              <c:numCache>
                <c:formatCode>General</c:formatCode>
                <c:ptCount val="11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3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3</c:v>
                </c:pt>
                <c:pt idx="63">
                  <c:v>2</c:v>
                </c:pt>
                <c:pt idx="64">
                  <c:v>3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2</c:v>
                </c:pt>
                <c:pt idx="70">
                  <c:v>0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4</c:v>
                </c:pt>
                <c:pt idx="77">
                  <c:v>3</c:v>
                </c:pt>
                <c:pt idx="78">
                  <c:v>1</c:v>
                </c:pt>
                <c:pt idx="79">
                  <c:v>3</c:v>
                </c:pt>
                <c:pt idx="80">
                  <c:v>3</c:v>
                </c:pt>
                <c:pt idx="81">
                  <c:v>1</c:v>
                </c:pt>
                <c:pt idx="82">
                  <c:v>3</c:v>
                </c:pt>
                <c:pt idx="83">
                  <c:v>0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4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0</c:v>
                </c:pt>
                <c:pt idx="110">
                  <c:v>2</c:v>
                </c:pt>
                <c:pt idx="111">
                  <c:v>1</c:v>
                </c:pt>
                <c:pt idx="112">
                  <c:v>2</c:v>
                </c:pt>
                <c:pt idx="113">
                  <c:v>2</c:v>
                </c:pt>
                <c:pt idx="114">
                  <c:v>4</c:v>
                </c:pt>
                <c:pt idx="115">
                  <c:v>1</c:v>
                </c:pt>
                <c:pt idx="1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9-45E6-A272-7795C2D477C6}"/>
            </c:ext>
          </c:extLst>
        </c:ser>
        <c:ser>
          <c:idx val="1"/>
          <c:order val="1"/>
          <c:tx>
            <c:strRef>
              <c:f>EVOL!$U$1</c:f>
              <c:strCache>
                <c:ptCount val="1"/>
                <c:pt idx="0">
                  <c:v>Soma de FTAG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EVOL!$S$2:$S$356</c:f>
              <c:multiLvlStrCache>
                <c:ptCount val="118"/>
                <c:lvl>
                  <c:pt idx="0">
                    <c:v>Palmeiras</c:v>
                  </c:pt>
                  <c:pt idx="1">
                    <c:v>Bragantino</c:v>
                  </c:pt>
                  <c:pt idx="2">
                    <c:v>Athletico-PR</c:v>
                  </c:pt>
                  <c:pt idx="3">
                    <c:v>Remo</c:v>
                  </c:pt>
                  <c:pt idx="4">
                    <c:v>Gremio</c:v>
                  </c:pt>
                  <c:pt idx="5">
                    <c:v>Santos</c:v>
                  </c:pt>
                  <c:pt idx="6">
                    <c:v>Bahia</c:v>
                  </c:pt>
                  <c:pt idx="7">
                    <c:v>Flamengo RJ</c:v>
                  </c:pt>
                  <c:pt idx="8">
                    <c:v>Vasco</c:v>
                  </c:pt>
                  <c:pt idx="9">
                    <c:v>Cruzeiro</c:v>
                  </c:pt>
                  <c:pt idx="10">
                    <c:v>Atletico-MG</c:v>
                  </c:pt>
                  <c:pt idx="11">
                    <c:v>Internacional</c:v>
                  </c:pt>
                  <c:pt idx="12">
                    <c:v>Mirassol</c:v>
                  </c:pt>
                  <c:pt idx="13">
                    <c:v>Sao Paulo</c:v>
                  </c:pt>
                  <c:pt idx="14">
                    <c:v>Botafogo RJ</c:v>
                  </c:pt>
                  <c:pt idx="15">
                    <c:v>Vitoria</c:v>
                  </c:pt>
                  <c:pt idx="16">
                    <c:v>Fluminense</c:v>
                  </c:pt>
                  <c:pt idx="17">
                    <c:v>Chapecoense-SC</c:v>
                  </c:pt>
                  <c:pt idx="18">
                    <c:v>Coritiba</c:v>
                  </c:pt>
                  <c:pt idx="19">
                    <c:v>Flamengo RJ</c:v>
                  </c:pt>
                  <c:pt idx="20">
                    <c:v>Coritiba</c:v>
                  </c:pt>
                  <c:pt idx="21">
                    <c:v>Cruzeiro</c:v>
                  </c:pt>
                  <c:pt idx="22">
                    <c:v>Remo</c:v>
                  </c:pt>
                  <c:pt idx="23">
                    <c:v>Gremio</c:v>
                  </c:pt>
                  <c:pt idx="24">
                    <c:v>Bahia</c:v>
                  </c:pt>
                  <c:pt idx="25">
                    <c:v>Santos</c:v>
                  </c:pt>
                  <c:pt idx="26">
                    <c:v>Botafogo RJ</c:v>
                  </c:pt>
                  <c:pt idx="27">
                    <c:v>Bragantino</c:v>
                  </c:pt>
                  <c:pt idx="28">
                    <c:v>Palmeiras</c:v>
                  </c:pt>
                  <c:pt idx="29">
                    <c:v>Corinthians</c:v>
                  </c:pt>
                  <c:pt idx="30">
                    <c:v>Athletico-PR</c:v>
                  </c:pt>
                  <c:pt idx="31">
                    <c:v>Internacional</c:v>
                  </c:pt>
                  <c:pt idx="32">
                    <c:v>Sao Paulo</c:v>
                  </c:pt>
                  <c:pt idx="33">
                    <c:v>Corinthians</c:v>
                  </c:pt>
                  <c:pt idx="34">
                    <c:v>Atletico-MG</c:v>
                  </c:pt>
                  <c:pt idx="35">
                    <c:v>Fluminense</c:v>
                  </c:pt>
                  <c:pt idx="36">
                    <c:v>Vasco</c:v>
                  </c:pt>
                  <c:pt idx="37">
                    <c:v>Santos</c:v>
                  </c:pt>
                  <c:pt idx="38">
                    <c:v>Internacional</c:v>
                  </c:pt>
                  <c:pt idx="39">
                    <c:v>Vitoria</c:v>
                  </c:pt>
                  <c:pt idx="40">
                    <c:v>Coritiba</c:v>
                  </c:pt>
                  <c:pt idx="41">
                    <c:v>Cruzeiro</c:v>
                  </c:pt>
                  <c:pt idx="42">
                    <c:v>Fluminense</c:v>
                  </c:pt>
                  <c:pt idx="43">
                    <c:v>Palmeiras</c:v>
                  </c:pt>
                  <c:pt idx="44">
                    <c:v>Chapecoense-SC</c:v>
                  </c:pt>
                  <c:pt idx="45">
                    <c:v>Bragantino</c:v>
                  </c:pt>
                  <c:pt idx="46">
                    <c:v>Atletico-MG</c:v>
                  </c:pt>
                  <c:pt idx="47">
                    <c:v>Flamengo RJ</c:v>
                  </c:pt>
                  <c:pt idx="48">
                    <c:v>Athletico-PR</c:v>
                  </c:pt>
                  <c:pt idx="49">
                    <c:v>Bahia</c:v>
                  </c:pt>
                  <c:pt idx="50">
                    <c:v>Corinthians</c:v>
                  </c:pt>
                  <c:pt idx="51">
                    <c:v>Remo</c:v>
                  </c:pt>
                  <c:pt idx="52">
                    <c:v>Mirassol</c:v>
                  </c:pt>
                  <c:pt idx="53">
                    <c:v>Sao Paulo</c:v>
                  </c:pt>
                  <c:pt idx="54">
                    <c:v>Vasco</c:v>
                  </c:pt>
                  <c:pt idx="55">
                    <c:v>Gremio</c:v>
                  </c:pt>
                  <c:pt idx="56">
                    <c:v>Bragantino</c:v>
                  </c:pt>
                  <c:pt idx="57">
                    <c:v>Botafogo RJ</c:v>
                  </c:pt>
                  <c:pt idx="58">
                    <c:v>Cruzeiro</c:v>
                  </c:pt>
                  <c:pt idx="59">
                    <c:v>Sao Paulo</c:v>
                  </c:pt>
                  <c:pt idx="60">
                    <c:v>Coritiba</c:v>
                  </c:pt>
                  <c:pt idx="61">
                    <c:v>Internacional</c:v>
                  </c:pt>
                  <c:pt idx="62">
                    <c:v>Fluminense</c:v>
                  </c:pt>
                  <c:pt idx="63">
                    <c:v>Vitoria</c:v>
                  </c:pt>
                  <c:pt idx="64">
                    <c:v>Remo</c:v>
                  </c:pt>
                  <c:pt idx="65">
                    <c:v>Corinthians</c:v>
                  </c:pt>
                  <c:pt idx="66">
                    <c:v>Botafogo RJ</c:v>
                  </c:pt>
                  <c:pt idx="67">
                    <c:v>Atletico-MG</c:v>
                  </c:pt>
                  <c:pt idx="68">
                    <c:v>Palmeiras</c:v>
                  </c:pt>
                  <c:pt idx="69">
                    <c:v>Coritiba</c:v>
                  </c:pt>
                  <c:pt idx="70">
                    <c:v>Santos</c:v>
                  </c:pt>
                  <c:pt idx="71">
                    <c:v>Bahia</c:v>
                  </c:pt>
                  <c:pt idx="72">
                    <c:v>Gremio</c:v>
                  </c:pt>
                  <c:pt idx="73">
                    <c:v>Chapecoense-SC</c:v>
                  </c:pt>
                  <c:pt idx="74">
                    <c:v>Mirassol</c:v>
                  </c:pt>
                  <c:pt idx="75">
                    <c:v>Flamengo RJ</c:v>
                  </c:pt>
                  <c:pt idx="76">
                    <c:v>Botafogo RJ</c:v>
                  </c:pt>
                  <c:pt idx="77">
                    <c:v>Mirassol</c:v>
                  </c:pt>
                  <c:pt idx="78">
                    <c:v>Sao Paulo</c:v>
                  </c:pt>
                  <c:pt idx="79">
                    <c:v>Athletico-PR</c:v>
                  </c:pt>
                  <c:pt idx="80">
                    <c:v>Vitoria</c:v>
                  </c:pt>
                  <c:pt idx="81">
                    <c:v>Vasco</c:v>
                  </c:pt>
                  <c:pt idx="82">
                    <c:v>Corinthians</c:v>
                  </c:pt>
                  <c:pt idx="83">
                    <c:v>Atletico-MG</c:v>
                  </c:pt>
                  <c:pt idx="84">
                    <c:v>Remo</c:v>
                  </c:pt>
                  <c:pt idx="85">
                    <c:v>Flamengo RJ</c:v>
                  </c:pt>
                  <c:pt idx="86">
                    <c:v>Gremio</c:v>
                  </c:pt>
                  <c:pt idx="87">
                    <c:v>Cruzeiro</c:v>
                  </c:pt>
                  <c:pt idx="88">
                    <c:v>Fluminense</c:v>
                  </c:pt>
                  <c:pt idx="89">
                    <c:v>Botafogo RJ</c:v>
                  </c:pt>
                  <c:pt idx="90">
                    <c:v>Vitoria</c:v>
                  </c:pt>
                  <c:pt idx="91">
                    <c:v>Athletico-PR</c:v>
                  </c:pt>
                  <c:pt idx="92">
                    <c:v>Santos</c:v>
                  </c:pt>
                  <c:pt idx="93">
                    <c:v>Palmeiras</c:v>
                  </c:pt>
                  <c:pt idx="94">
                    <c:v>Internacional</c:v>
                  </c:pt>
                  <c:pt idx="95">
                    <c:v>Bragantino</c:v>
                  </c:pt>
                  <c:pt idx="96">
                    <c:v>Remo</c:v>
                  </c:pt>
                  <c:pt idx="97">
                    <c:v>Vasco</c:v>
                  </c:pt>
                  <c:pt idx="98">
                    <c:v>Sao Paulo</c:v>
                  </c:pt>
                  <c:pt idx="99">
                    <c:v>Bahia</c:v>
                  </c:pt>
                  <c:pt idx="100">
                    <c:v>Atletico-MG</c:v>
                  </c:pt>
                  <c:pt idx="101">
                    <c:v>Gremio</c:v>
                  </c:pt>
                  <c:pt idx="102">
                    <c:v>Chapecoense-SC</c:v>
                  </c:pt>
                  <c:pt idx="103">
                    <c:v>Coritiba</c:v>
                  </c:pt>
                  <c:pt idx="104">
                    <c:v>Flamengo RJ</c:v>
                  </c:pt>
                  <c:pt idx="105">
                    <c:v>Palmeiras</c:v>
                  </c:pt>
                  <c:pt idx="106">
                    <c:v>Bragantino</c:v>
                  </c:pt>
                  <c:pt idx="107">
                    <c:v>Botafogo RJ</c:v>
                  </c:pt>
                  <c:pt idx="108">
                    <c:v>Sao Paulo</c:v>
                  </c:pt>
                  <c:pt idx="109">
                    <c:v>Corinthians</c:v>
                  </c:pt>
                  <c:pt idx="110">
                    <c:v>Gremio</c:v>
                  </c:pt>
                  <c:pt idx="111">
                    <c:v>Mirassol</c:v>
                  </c:pt>
                  <c:pt idx="112">
                    <c:v>Atletico-MG</c:v>
                  </c:pt>
                  <c:pt idx="113">
                    <c:v>Fluminense</c:v>
                  </c:pt>
                  <c:pt idx="114">
                    <c:v>Remo</c:v>
                  </c:pt>
                  <c:pt idx="115">
                    <c:v>Athletico-PR</c:v>
                  </c:pt>
                  <c:pt idx="116">
                    <c:v>Bahia</c:v>
                  </c:pt>
                  <c:pt idx="117">
                    <c:v>(vazio)</c:v>
                  </c:pt>
                </c:lvl>
                <c:lvl>
                  <c:pt idx="0">
                    <c:v>Atletico-MG</c:v>
                  </c:pt>
                  <c:pt idx="1">
                    <c:v>Coritiba</c:v>
                  </c:pt>
                  <c:pt idx="2">
                    <c:v>Internacional</c:v>
                  </c:pt>
                  <c:pt idx="3">
                    <c:v>Vitoria</c:v>
                  </c:pt>
                  <c:pt idx="4">
                    <c:v>Fluminense</c:v>
                  </c:pt>
                  <c:pt idx="5">
                    <c:v>Chapecoense-SC</c:v>
                  </c:pt>
                  <c:pt idx="6">
                    <c:v>Corinthians</c:v>
                  </c:pt>
                  <c:pt idx="7">
                    <c:v>Sao Paulo</c:v>
                  </c:pt>
                  <c:pt idx="8">
                    <c:v>Mirassol</c:v>
                  </c:pt>
                  <c:pt idx="9">
                    <c:v>Botafogo RJ</c:v>
                  </c:pt>
                  <c:pt idx="10">
                    <c:v>Bragantino</c:v>
                  </c:pt>
                  <c:pt idx="11">
                    <c:v>Flamengo RJ</c:v>
                  </c:pt>
                  <c:pt idx="12">
                    <c:v>Remo</c:v>
                  </c:pt>
                  <c:pt idx="13">
                    <c:v>Santos</c:v>
                  </c:pt>
                  <c:pt idx="14">
                    <c:v>Gremio</c:v>
                  </c:pt>
                  <c:pt idx="15">
                    <c:v>Palmeiras</c:v>
                  </c:pt>
                  <c:pt idx="16">
                    <c:v>Bahia</c:v>
                  </c:pt>
                  <c:pt idx="17">
                    <c:v>Vasco</c:v>
                  </c:pt>
                  <c:pt idx="18">
                    <c:v>Cruzeiro</c:v>
                  </c:pt>
                  <c:pt idx="19">
                    <c:v>Vitoria</c:v>
                  </c:pt>
                  <c:pt idx="20">
                    <c:v>Chapecoense-SC</c:v>
                  </c:pt>
                  <c:pt idx="21">
                    <c:v>Mirassol</c:v>
                  </c:pt>
                  <c:pt idx="22">
                    <c:v>Atletico-MG</c:v>
                  </c:pt>
                  <c:pt idx="23">
                    <c:v>Sao Paulo</c:v>
                  </c:pt>
                  <c:pt idx="24">
                    <c:v>Vasco</c:v>
                  </c:pt>
                  <c:pt idx="25">
                    <c:v>Athletico-PR</c:v>
                  </c:pt>
                  <c:pt idx="26">
                    <c:v>Fluminense</c:v>
                  </c:pt>
                  <c:pt idx="27">
                    <c:v>Corinthians</c:v>
                  </c:pt>
                  <c:pt idx="28">
                    <c:v>Internacional</c:v>
                  </c:pt>
                  <c:pt idx="29">
                    <c:v>Athletico-PR</c:v>
                  </c:pt>
                  <c:pt idx="30">
                    <c:v>Bragantino</c:v>
                  </c:pt>
                  <c:pt idx="31">
                    <c:v>Remo</c:v>
                  </c:pt>
                  <c:pt idx="32">
                    <c:v>Coritiba</c:v>
                  </c:pt>
                  <c:pt idx="33">
                    <c:v>Cruzeiro</c:v>
                  </c:pt>
                  <c:pt idx="34">
                    <c:v>Gremio</c:v>
                  </c:pt>
                  <c:pt idx="35">
                    <c:v>Palmeiras</c:v>
                  </c:pt>
                  <c:pt idx="36">
                    <c:v>Santos</c:v>
                  </c:pt>
                  <c:pt idx="37">
                    <c:v>Mirassol</c:v>
                  </c:pt>
                  <c:pt idx="38">
                    <c:v>Atletico-MG</c:v>
                  </c:pt>
                  <c:pt idx="39">
                    <c:v>Bahia</c:v>
                  </c:pt>
                  <c:pt idx="40">
                    <c:v>Corinthians</c:v>
                  </c:pt>
                  <c:pt idx="41">
                    <c:v>Flamengo RJ</c:v>
                  </c:pt>
                  <c:pt idx="42">
                    <c:v>Remo</c:v>
                  </c:pt>
                  <c:pt idx="43">
                    <c:v>Vasco</c:v>
                  </c:pt>
                  <c:pt idx="44">
                    <c:v>Sao Paulo</c:v>
                  </c:pt>
                  <c:pt idx="45">
                    <c:v>Gremio</c:v>
                  </c:pt>
                  <c:pt idx="46">
                    <c:v>Vitoria</c:v>
                  </c:pt>
                  <c:pt idx="47">
                    <c:v>Botafogo RJ</c:v>
                  </c:pt>
                  <c:pt idx="48">
                    <c:v>Fluminense</c:v>
                  </c:pt>
                  <c:pt idx="49">
                    <c:v>Internacional</c:v>
                  </c:pt>
                  <c:pt idx="50">
                    <c:v>Santos</c:v>
                  </c:pt>
                  <c:pt idx="51">
                    <c:v>Coritiba</c:v>
                  </c:pt>
                  <c:pt idx="52">
                    <c:v>Palmeiras</c:v>
                  </c:pt>
                  <c:pt idx="53">
                    <c:v>Bragantino</c:v>
                  </c:pt>
                  <c:pt idx="54">
                    <c:v>Cruzeiro</c:v>
                  </c:pt>
                  <c:pt idx="55">
                    <c:v>Chapecoense-SC</c:v>
                  </c:pt>
                  <c:pt idx="56">
                    <c:v>Bahia</c:v>
                  </c:pt>
                  <c:pt idx="57">
                    <c:v>Palmeiras</c:v>
                  </c:pt>
                  <c:pt idx="58">
                    <c:v>Athletico-PR</c:v>
                  </c:pt>
                  <c:pt idx="59">
                    <c:v>Atletico-MG</c:v>
                  </c:pt>
                  <c:pt idx="60">
                    <c:v>Mirassol</c:v>
                  </c:pt>
                  <c:pt idx="61">
                    <c:v>Santos</c:v>
                  </c:pt>
                  <c:pt idx="62">
                    <c:v>Vasco</c:v>
                  </c:pt>
                  <c:pt idx="63">
                    <c:v>Gremio</c:v>
                  </c:pt>
                  <c:pt idx="64">
                    <c:v>Flamengo RJ</c:v>
                  </c:pt>
                  <c:pt idx="65">
                    <c:v>Chapecoense-SC</c:v>
                  </c:pt>
                  <c:pt idx="66">
                    <c:v>Bragantino</c:v>
                  </c:pt>
                  <c:pt idx="67">
                    <c:v>Fluminense</c:v>
                  </c:pt>
                  <c:pt idx="68">
                    <c:v>Sao Paulo</c:v>
                  </c:pt>
                  <c:pt idx="69">
                    <c:v>Athletico-PR</c:v>
                  </c:pt>
                  <c:pt idx="70">
                    <c:v>Cruzeiro</c:v>
                  </c:pt>
                  <c:pt idx="71">
                    <c:v>Remo</c:v>
                  </c:pt>
                  <c:pt idx="72">
                    <c:v>Vasco</c:v>
                  </c:pt>
                  <c:pt idx="73">
                    <c:v>Internacional</c:v>
                  </c:pt>
                  <c:pt idx="74">
                    <c:v>Vitoria</c:v>
                  </c:pt>
                  <c:pt idx="75">
                    <c:v>Corinthians</c:v>
                  </c:pt>
                  <c:pt idx="76">
                    <c:v>Athletico-PR</c:v>
                  </c:pt>
                  <c:pt idx="77">
                    <c:v>Botafogo RJ</c:v>
                  </c:pt>
                  <c:pt idx="78">
                    <c:v>Internacional</c:v>
                  </c:pt>
                  <c:pt idx="79">
                    <c:v>Bahia</c:v>
                  </c:pt>
                  <c:pt idx="80">
                    <c:v>Cruzeiro</c:v>
                  </c:pt>
                  <c:pt idx="81">
                    <c:v>Coritiba</c:v>
                  </c:pt>
                  <c:pt idx="82">
                    <c:v>Fluminense</c:v>
                  </c:pt>
                  <c:pt idx="83">
                    <c:v>Chapecoense-SC</c:v>
                  </c:pt>
                  <c:pt idx="84">
                    <c:v>Santos</c:v>
                  </c:pt>
                  <c:pt idx="85">
                    <c:v>Bragantino</c:v>
                  </c:pt>
                  <c:pt idx="86">
                    <c:v>Palmeiras</c:v>
                  </c:pt>
                  <c:pt idx="87">
                    <c:v>Sao Paulo</c:v>
                  </c:pt>
                  <c:pt idx="88">
                    <c:v>Coritiba</c:v>
                  </c:pt>
                  <c:pt idx="89">
                    <c:v>Vasco</c:v>
                  </c:pt>
                  <c:pt idx="90">
                    <c:v>Chapecoense-SC</c:v>
                  </c:pt>
                  <c:pt idx="91">
                    <c:v>Atletico-MG</c:v>
                  </c:pt>
                  <c:pt idx="92">
                    <c:v>Flamengo RJ</c:v>
                  </c:pt>
                  <c:pt idx="93">
                    <c:v>Bahia</c:v>
                  </c:pt>
                  <c:pt idx="94">
                    <c:v>Corinthians</c:v>
                  </c:pt>
                  <c:pt idx="95">
                    <c:v>Mirassol</c:v>
                  </c:pt>
                  <c:pt idx="96">
                    <c:v>Gremio</c:v>
                  </c:pt>
                  <c:pt idx="97">
                    <c:v>Remo</c:v>
                  </c:pt>
                  <c:pt idx="98">
                    <c:v>Vitoria</c:v>
                  </c:pt>
                  <c:pt idx="99">
                    <c:v>Mirassol</c:v>
                  </c:pt>
                  <c:pt idx="100">
                    <c:v>Santos</c:v>
                  </c:pt>
                  <c:pt idx="101">
                    <c:v>Internacional</c:v>
                  </c:pt>
                  <c:pt idx="102">
                    <c:v>Athletico-PR</c:v>
                  </c:pt>
                  <c:pt idx="103">
                    <c:v>Botafogo RJ</c:v>
                  </c:pt>
                  <c:pt idx="104">
                    <c:v>Fluminense</c:v>
                  </c:pt>
                  <c:pt idx="105">
                    <c:v>Corinthians</c:v>
                  </c:pt>
                  <c:pt idx="106">
                    <c:v>Cruzeiro</c:v>
                  </c:pt>
                  <c:pt idx="107">
                    <c:v>Chapecoense-SC</c:v>
                  </c:pt>
                  <c:pt idx="108">
                    <c:v>Vasco</c:v>
                  </c:pt>
                  <c:pt idx="109">
                    <c:v>Vitoria</c:v>
                  </c:pt>
                  <c:pt idx="110">
                    <c:v>Cruzeiro</c:v>
                  </c:pt>
                  <c:pt idx="111">
                    <c:v>Internacional</c:v>
                  </c:pt>
                  <c:pt idx="112">
                    <c:v>Coritiba</c:v>
                  </c:pt>
                  <c:pt idx="113">
                    <c:v>Santos</c:v>
                  </c:pt>
                  <c:pt idx="114">
                    <c:v>Bragantino</c:v>
                  </c:pt>
                  <c:pt idx="115">
                    <c:v>Palmeiras</c:v>
                  </c:pt>
                  <c:pt idx="116">
                    <c:v>Flamengo RJ</c:v>
                  </c:pt>
                  <c:pt idx="117">
                    <c:v>(vazio)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</c:lvl>
              </c:multiLvlStrCache>
            </c:multiLvlStrRef>
          </c:cat>
          <c:val>
            <c:numRef>
              <c:f>EVOL!$U$2:$U$356</c:f>
              <c:numCache>
                <c:formatCode>General</c:formatCode>
                <c:ptCount val="11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3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2</c:v>
                </c:pt>
                <c:pt idx="105">
                  <c:v>0</c:v>
                </c:pt>
                <c:pt idx="106">
                  <c:v>1</c:v>
                </c:pt>
                <c:pt idx="107">
                  <c:v>4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3</c:v>
                </c:pt>
                <c:pt idx="114">
                  <c:v>2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9-45E6-A272-7795C2D47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2311951"/>
        <c:axId val="422315695"/>
      </c:lineChart>
      <c:catAx>
        <c:axId val="42231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315695"/>
        <c:crosses val="autoZero"/>
        <c:auto val="1"/>
        <c:lblAlgn val="ctr"/>
        <c:lblOffset val="100"/>
        <c:noMultiLvlLbl val="0"/>
      </c:catAx>
      <c:valAx>
        <c:axId val="4223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3119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svg"/><Relationship Id="rId1" Type="http://schemas.openxmlformats.org/officeDocument/2006/relationships/image" Target="../media/image8.png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10" Type="http://schemas.openxmlformats.org/officeDocument/2006/relationships/image" Target="../media/image17.svg"/><Relationship Id="rId4" Type="http://schemas.openxmlformats.org/officeDocument/2006/relationships/image" Target="../media/image11.sv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9</xdr:row>
      <xdr:rowOff>161925</xdr:rowOff>
    </xdr:from>
    <xdr:to>
      <xdr:col>11</xdr:col>
      <xdr:colOff>609599</xdr:colOff>
      <xdr:row>295</xdr:row>
      <xdr:rowOff>171451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31BFFD2-AF73-48C3-AA89-19A060D21EE5}"/>
            </a:ext>
          </a:extLst>
        </xdr:cNvPr>
        <xdr:cNvSpPr txBox="1">
          <a:spLocks noChangeArrowheads="1"/>
        </xdr:cNvSpPr>
      </xdr:nvSpPr>
      <xdr:spPr bwMode="auto">
        <a:xfrm>
          <a:off x="5924549" y="1876425"/>
          <a:ext cx="5495925" cy="54492526"/>
        </a:xfrm>
        <a:prstGeom prst="rect">
          <a:avLst/>
        </a:prstGeom>
        <a:solidFill>
          <a:schemeClr val="bg2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pt-BR" sz="1100" b="1" i="0" u="none" strike="noStrike" baseline="0">
              <a:solidFill>
                <a:srgbClr val="FF0000"/>
              </a:solidFill>
              <a:latin typeface="Calibri"/>
              <a:cs typeface="Calibri"/>
            </a:rPr>
            <a:t>Legendas da planilha Banco de dados (Aba Bd...)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Date = Match Date (dd/mm/yy) = Data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HomeTeam = Home Team =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AwayTeam = Away Team =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FTHG and HG = Full Time Home Team Goals = Gols time da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FTAG and AG = Full Time Away Team Goals = Gols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FTR and Res = Full Time Result (H=Home Win, D=Draw, A=Away Win) = Resultado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HTHG = Half Time Home Team Goals = Gols time casa primeiro tempo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HTAG = Half Time Away Team Goals = Gols time visitante primeiro tempo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HTR = Half Time Result (H=Home Win, D=Draw, A=Away Win) = Resultado primeiro tempo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HS = Home Team Shots = Chutes totais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AS = Away Team Shots = Chutes totais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HST = Home Team Shots on Target = Chutes a gol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AST = Away Team Shots on Target = Chutes a gol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HF = Home Team Fouls Committed = Faltas do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AF = Away Team Fouls Committed = Faltas do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HC = Home Team Corners = Escanteios do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AC = Away Team Corners = Escanteios do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HY = Home Team Yellow Cards = Cartões amarelos do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AY = Away Team Yellow Cards = Cartões amarelos do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HR = Home Team Red Cards = Cartões vermelhos do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AR = Away Team Red Cards = Cartões vermelhos do time visitante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Odds de abertura (Match odds):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B365H = Bet365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B365D = Bet365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B365A = Bet365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BSH = Blue Square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BSD = Blue Square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BSA = Blue Square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BWH = Bet&amp;Win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BWD = Bet&amp;Win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BWA = Bet&amp;Win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GBH = Gamebookers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GBD = Gamebookers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GBA = Gamebookers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IWH = Interwetten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IWD = Interwetten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IWA = Interwetten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LBH = Ladbrokes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LBD = Ladbrokes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LBA = Ladbrokes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PSH and PH = Pinnacle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PSD and PD = Pinnacle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PSA and PA = Pinnacle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SOH = Sporting Odds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SOD = Sporting Odds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SOA = Sporting Odds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SBH = Sportingbet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SBD = Sportingbet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SBA = Sportingbet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SJH = Stan James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SJD = Stan James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SJA = Stan James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SYH = Stanleybet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SYD = Stanleybet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SYA = Stanleybet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VCH = VC Bet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VCD = VC Bet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VCA = VC Bet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WHH = William Hill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WHD = William Hill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WHA = William Hill away win odds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Odds máximas e médias (Match odds):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Bb1X2 = Number of BetBrain bookmakers used to calculate match odds averages and maximums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BbMxH = Betbrain maximum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BbAvH = Betbrain average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BbMxD = Betbrain maximum draw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BbAvD = Betbrain average draw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BbMxA = Betbrain maximum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BbAvA = Betbrain average away win odds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MaxH = Market maximum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MaxD = Market maximum draw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MaxA = Market maximum away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AvgH = Market average home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AvgD = Market average draw win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AvgA = Market average away win odds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Odds de abertura Over/Under: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BbOU = Number of BetBrain bookmakers used to calculate over/under 2.5 goals (total goals) averages and maximums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BbMx&gt;2.5 = Betbrain maximum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BbAv&gt;2.5 = Betbrain average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BbMx&lt;2.5 = Betbrain maximum under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BbAv&lt;2.5 = Betbrain average under 2.5 goals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GB&gt;2.5 = Gamebookers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GB&lt;2.5 = Gamebookers under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B365&gt;2.5 = Bet365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B365&lt;2.5 = Bet365 under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P&gt;2.5 = Pinnacle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P&lt;2.5 = Pinnacle under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Max&gt;2.5 = Market maximum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Max&lt;2.5 = Market maximum under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Avg&gt;2.5 = Market average over 2.5 goals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Avg&lt;2.5 = Market average under 2.5 goals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Odds de abertura Handicap asiático: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BbAH = Number of BetBrain bookmakers used to Asian handicap averages and maximums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BbAHh = Betbrain size of handicap (home team)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AHh = Market size of handicap (home team) (since 2019/2020)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BbMxAHH = Betbrain maximum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BbAvAHH = Betbrain average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BbMxAHA = Betbrain maximum Asian handicap away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BbAvAHA = Betbrain average Asian handicap away team odds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GBAHH = Gamebookers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GBAHA = Gamebookers Asian handicap away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GBAH = Gamebookers size of handicap (home team)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LBAHH = Ladbrokes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LBAHA = Ladbrokes Asian handicap away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LBAH = Ladbrokes size of handicap (home team)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B365AHH = Bet365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B365AHA = Bet365 Asian handicap away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B365AH = Bet365 size of handicap (home team)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PAHH = Pinnacle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PAHA = Pinnacle Asian handicap away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MaxAHH = Market maximum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MaxAHA = Market maximum Asian handicap away team odds 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AvgAHH = Market average Asian handicap home team odds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AvgAHA = Market average Asian handicap away team odds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Odds de fechamento: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OBS: Na mesma sequência das odds de abertura porem acrescido caracter "C", que representa "closed" ou "fechamento", odd próxima ao início da partida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Dados secundários (dados individuais para cada partida - região azul da aba Bd)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PTC = Pontos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PTV = Pontos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GC/ODDV = Gols casa/odd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GV/ODDC = Gols visitante/odd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SLDC = Saldo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SLDV = Saldo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PLBACKC = Lucro back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PLBACKV = Lucro back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PLEMP = Lucro back empate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PLO2,5FT = Lucro over 2,5 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GOLEAC = WinRate goleada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GOLEAV = WR goleada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WinRate das linhas de Over HT e FT: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O0,5HT 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O1,5HT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O2,5HT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O0,5FT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O1,5FT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O2,5FT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O3,5FT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O4,5FT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O5,5FT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AMBHT = WR ambas HT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AMBFT = WR ambas FT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REATC = Índice de reatividade casa ( WR vitorias casa FT onde havia derrota casa HT)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REATV = Índice de reatividade visitante ( WR vitorias visitante FT onde havia derrota visitante HT)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PROATC = Índice próatividade casa (protect lead: WR vitorias casa FT onde havia vitoria casa HT)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PROATV =  Índice próatividade visitante (protect lead: WR vitorias visitante FT onde havia vitoria visitante HT)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AHC = Linha fechamento Asian Handicap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AHV = Linha fechamento Asian Handicap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PLAHC = Resultado FT asian handicap casa na linha do jogo (em unidades sem considerar a odd)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PLAHV = Resultado FT asian handicap visitante na linha do jogo (em unidades sem considerar a odd)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PLC+ = Resultado FT asian handicap casa na linha do jogo (em unidades monetarias sem considerar a odd)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PLV+ = Resultado FT asian handicap visitante na linha do jogo (em unidades monetarias sem considerar a odd)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SLDC-AH = Saldo do jogo casa - linha handicap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SLDV-AH = Saldo do jogo visitante - linha handicap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PCAHC = Odds fechamento Pinnacle linha handicap asiatico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PCAHV = Odds fechamento Pinnacle linha handicap asiatico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SPRC = Movimento das odds casa pré jogo (entre abertura e fechamento)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SPRV = Movimento das odds visitante pré jogo (entre abertura e fechamento)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MÊS = Mês do jogo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CONTAG = Contagem de jogos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VITC = WR vitorias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EMP = WR empates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VITV = WR vitorias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FAVC = Range odds fechamento casa (faixa de odds)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FAVV = Range odds fechamento visitante (faixa de odds)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Dados por times: Quase todos dados contém junto as medidas de dispersão Desvio Padão e Coeficiente de variação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com as legendas DP*dados*C e CV*dados*C para casa e DP*dados*V e CV*dados*V para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T = Times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MPTC = Média pontos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MPTV = Média pontos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MGOLEFC = Média goleadas feitas casa (4 gols ou mais em vitórias)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MGOLESC = Média goleadas sofridas casa (4 gols ou mais em vitórias)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MGOLEFV = Média goleadas feitas visitante (4 gols ou mais em vitórias)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MGOLESV = Média goleadas sofridas visitante (4 gols ou mais em vitórias)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SALDCASA = Saldo de gols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SALDOVIS = Saldo de gols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SALDTT= Saldo de gols geral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MGC = Média de gols feitos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MGV = Média de gols feitos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MGSC = Média de gols sofridos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MGSV = Média de gols sofridos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FCAtC = Força do ataque casa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FCAtV = Força do ataque visitante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FCDfC  = Força da defesa casa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FCDfV = Força da defesa visitante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FCSALDC = Força saldo ataque menos defesa casa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FCSALDV = Força saldo ataque menos defesa visitante (comparando média do time com média da liga)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MCC = Média de chutes a gol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MCV = Média de chutes a gol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CGC = Chutes por gol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CGV = Chutes por gol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MCCC = Média de chutes a gol cedidos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MCCV = Média de chutes a gol cedidos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CGCC = Chutes cedidos por gol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CGCV = Chutes cedidos por gol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MGHTC = Média de gols feitos HT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MGHTV = Média de gols feitos HT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MGHTSC = Média de gols sofridos HT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MGHTSV = Média de gols sofridos HT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MCORNC = Média de escanteios favor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MCORNV = Média de escanteios favor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MCORNSC = Média de escanteios sofridos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MCORNSV = Média de escanteios sofridos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ODDMC = Odd média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ODDMV = Odd média visitante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Médias de Over HT e FT (casa e visitante):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MO0,5HTC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MO0,5HTV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MO1,5HTC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MO1,5HTV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MO2,5HTC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MO2,5HTV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MO0,5FTC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MO0,5FTV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MO1,5FTC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MO1,5FTV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MO2,5FTV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MO3,5FTC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MO3,5FTV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MO4,5FTC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MO4,5FTV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MO5,5FTC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MO5,5FTV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Médias de Ambas marcam HT e FT (casa e visitante ):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AMBHTC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AMBHTV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AMBFTC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AMBFTV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Médias de reatividade e próatividade e dados de movimentação de odds pré jogo: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MREATC = Média reatividade casa (considerando final Ht com final FT)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VOLRC = Volume de jogos reatividade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MREATV = Média reatividade visitante (considerando final Ht com final FT)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VOLRV = Volume de jogos reatividade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MPROATC = Média próatividade casa (considerando final Ht com final FT)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VOLPC = Volume de jogos próatividade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MPROATV = Média próatividade visitante (considerando final Ht com final FT)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VOLPV = Volume de jogos próatividade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SPRMC = média oscilação odds casa (entre abertura e fechamento)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SPRMV = média oscilação odds visitante (entre abertura e fechamento)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Dados de Lucratividade e médias ponderadas: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PLAHC = Lucro total na linha de handicap asiático casa (em unidades, odd media 2)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PLAHV = Lucro total na linha de handicap asiático visitante (em unidades, odd media 2)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MGPONODDC = Média de gols ponderados casa (gols casa/odd visitante)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MGPONODDV = Média de gols ponderados visitante (gols visitante/odd casa)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MPT*ODDC = Média de pontos ponderados casa ( pontos casa x odd casa)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MPT*ODDV = Média de pontos ponderados visitante( pontos visitante x odd visitante)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PLTTBCKC = Lucro total back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PLTTBCKV = Lucro total back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PLBCKEMPC = Lucro total back empate time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PLBACKEMPV = Lucro total back empate time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MO2,5FTC = Média jogos over 2,5 FT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MO2,5FTV = Média jogos over 2,5 FT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ODDMO2,5C = Odd média do over 2,5 FT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ODDMO2,5V = Odd média do over 2,5 FT visitante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PLOV2,5C = Lucro total Over 2,5 FT casa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PLOV2,5V = Lucro total Over 2,5 FT visitante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Dados Lucratividade nas linhas de handicap asiático entre -2,5 a +2,5 (casa e visitante)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OBS: considerando odd média 2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JPLAHC-2,5 = Lucro total jogos em que casa estava na linha de handicap asiático - 2,5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VLAHC-2,5 = Volume de jogos  em que casa estava na linha de handicap asiático - 2,5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......segue até + linha -0 HA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SAHC- =  Lucro total entre as linhas de handicap asiático casa -2,5 e -0,25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VAHC- =  Volume total de jogos entre as linhas de handicap asiático casa -2,5 e -0,25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JAHC+0 = Lucro total jogos em que casa estava na linha de handicap asiático +0 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VAHC+0  = Volume de jogos  em que casa estava na linha de handicap asiático +0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.... segue até linha +2,5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SAHC+ =  Lucro total entre as linhas de handicap asiático casa +2,5 e +0,25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VAHC+ =  Volume total de jogos entre as linhas de handicap asiático casa +2,5 e +0,25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JAHV-2,5 = Lucro total jogos em que visitante estava na linha de handicap asiático - 2,5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VAHV-2,5 = Volume total de jogos em que visitante estava na linha de handicap asiático - 2,5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...segue até linha -0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SAHV- =  Lucro total entre as linhas de handicap asiático visitante -2,5 e -0,25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VAHV- =  Volume total de jogos entre as linhas de handicap asiático visitante -2,5 e -0,25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JAHV+0 = Lucro total jogos em que visitante estava na linha de handicap asiático +0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VAHV+0 = Volume total de jogos em que visitante estava na linha de handicap asiático +0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...segue até linha +2,5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SAHV+ =  Lucro total entre as linhas de handicap asiático visitante +2,5 e +0,25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VAHV+ =  Volume total de jogos entre as linhas de handicap asiático visitante +2,5 e +0,25</a:t>
          </a:r>
        </a:p>
        <a:p>
          <a:pPr algn="l" rtl="0">
            <a:defRPr sz="1000"/>
          </a:pPr>
          <a:endParaRPr lang="pt-B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OBS: As colunas SAHC+, SAHV+,SAHC-, SAHV- representam a soma dos lucros nas respectivas linhas positivas ou negativas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desconsiderando as linhas -0 e +0, bem como seus volumes de jogos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Links úteis: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Grupo Big Data Bet Telegram</a:t>
          </a: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https://t.me/bigdatabet</a:t>
          </a:r>
        </a:p>
      </xdr:txBody>
    </xdr:sp>
    <xdr:clientData/>
  </xdr:twoCellAnchor>
  <xdr:oneCellAnchor>
    <xdr:from>
      <xdr:col>1</xdr:col>
      <xdr:colOff>1352551</xdr:colOff>
      <xdr:row>2</xdr:row>
      <xdr:rowOff>142875</xdr:rowOff>
    </xdr:from>
    <xdr:ext cx="800100" cy="800100"/>
    <xdr:pic>
      <xdr:nvPicPr>
        <xdr:cNvPr id="3" name="Imagem 2">
          <a:extLst>
            <a:ext uri="{FF2B5EF4-FFF2-40B4-BE49-F238E27FC236}">
              <a16:creationId xmlns:a16="http://schemas.microsoft.com/office/drawing/2014/main" id="{243399D2-01CA-4354-824C-E168A897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1" y="523875"/>
          <a:ext cx="800100" cy="800100"/>
        </a:xfrm>
        <a:prstGeom prst="rect">
          <a:avLst/>
        </a:prstGeom>
      </xdr:spPr>
    </xdr:pic>
    <xdr:clientData/>
  </xdr:oneCellAnchor>
  <xdr:oneCellAnchor>
    <xdr:from>
      <xdr:col>2</xdr:col>
      <xdr:colOff>100631</xdr:colOff>
      <xdr:row>2</xdr:row>
      <xdr:rowOff>59823</xdr:rowOff>
    </xdr:from>
    <xdr:ext cx="4199291" cy="937629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5B834C8-BFEC-45D8-8104-4D649336A6C0}"/>
            </a:ext>
          </a:extLst>
        </xdr:cNvPr>
        <xdr:cNvSpPr/>
      </xdr:nvSpPr>
      <xdr:spPr>
        <a:xfrm>
          <a:off x="5425106" y="440823"/>
          <a:ext cx="419929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rPr>
            <a:t>BIG DATA BET</a:t>
          </a:r>
        </a:p>
      </xdr:txBody>
    </xdr:sp>
    <xdr:clientData/>
  </xdr:oneCellAnchor>
  <xdr:oneCellAnchor>
    <xdr:from>
      <xdr:col>1</xdr:col>
      <xdr:colOff>276226</xdr:colOff>
      <xdr:row>16</xdr:row>
      <xdr:rowOff>38100</xdr:rowOff>
    </xdr:from>
    <xdr:ext cx="3664180" cy="1695450"/>
    <xdr:pic>
      <xdr:nvPicPr>
        <xdr:cNvPr id="7" name="Imagem 6">
          <a:extLst>
            <a:ext uri="{FF2B5EF4-FFF2-40B4-BE49-F238E27FC236}">
              <a16:creationId xmlns:a16="http://schemas.microsoft.com/office/drawing/2014/main" id="{8437023E-9C44-4F44-9B1A-218C540C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" y="3848100"/>
          <a:ext cx="3664180" cy="1695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9524</xdr:rowOff>
    </xdr:from>
    <xdr:to>
      <xdr:col>1</xdr:col>
      <xdr:colOff>57151</xdr:colOff>
      <xdr:row>26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HomeTeam">
              <a:extLst>
                <a:ext uri="{FF2B5EF4-FFF2-40B4-BE49-F238E27FC236}">
                  <a16:creationId xmlns:a16="http://schemas.microsoft.com/office/drawing/2014/main" id="{F40BEF37-99B6-4E39-A17B-200D613934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me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25"/>
              <a:ext cx="1562100" cy="495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38101</xdr:colOff>
      <xdr:row>0</xdr:row>
      <xdr:rowOff>9525</xdr:rowOff>
    </xdr:from>
    <xdr:to>
      <xdr:col>1</xdr:col>
      <xdr:colOff>981075</xdr:colOff>
      <xdr:row>19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AVC">
              <a:extLst>
                <a:ext uri="{FF2B5EF4-FFF2-40B4-BE49-F238E27FC236}">
                  <a16:creationId xmlns:a16="http://schemas.microsoft.com/office/drawing/2014/main" id="{8E2DCD17-B6BC-4853-9A6E-03B7D16E4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V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1" y="9525"/>
              <a:ext cx="942974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1057275</xdr:colOff>
      <xdr:row>0</xdr:row>
      <xdr:rowOff>0</xdr:rowOff>
    </xdr:from>
    <xdr:to>
      <xdr:col>11</xdr:col>
      <xdr:colOff>114299</xdr:colOff>
      <xdr:row>26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wayTeam">
              <a:extLst>
                <a:ext uri="{FF2B5EF4-FFF2-40B4-BE49-F238E27FC236}">
                  <a16:creationId xmlns:a16="http://schemas.microsoft.com/office/drawing/2014/main" id="{AD8F220B-71B8-4D0F-93FB-AF9A02A81E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way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5125" y="0"/>
              <a:ext cx="1304924" cy="5257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114300</xdr:colOff>
      <xdr:row>0</xdr:row>
      <xdr:rowOff>0</xdr:rowOff>
    </xdr:from>
    <xdr:to>
      <xdr:col>9</xdr:col>
      <xdr:colOff>1085848</xdr:colOff>
      <xdr:row>17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FAVV">
              <a:extLst>
                <a:ext uri="{FF2B5EF4-FFF2-40B4-BE49-F238E27FC236}">
                  <a16:creationId xmlns:a16="http://schemas.microsoft.com/office/drawing/2014/main" id="{8B5EBDAB-B4ED-46F8-953A-EFC16553F5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VV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82150" y="0"/>
              <a:ext cx="971548" cy="3590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714376</xdr:colOff>
      <xdr:row>0</xdr:row>
      <xdr:rowOff>66370</xdr:rowOff>
    </xdr:from>
    <xdr:to>
      <xdr:col>9</xdr:col>
      <xdr:colOff>38100</xdr:colOff>
      <xdr:row>2</xdr:row>
      <xdr:rowOff>123519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0A22188-C503-4671-A897-7560D51F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9701" y="66370"/>
          <a:ext cx="476249" cy="476249"/>
        </a:xfrm>
        <a:prstGeom prst="rect">
          <a:avLst/>
        </a:prstGeom>
      </xdr:spPr>
    </xdr:pic>
    <xdr:clientData/>
  </xdr:twoCellAnchor>
  <xdr:twoCellAnchor editAs="oneCell">
    <xdr:from>
      <xdr:col>6</xdr:col>
      <xdr:colOff>57149</xdr:colOff>
      <xdr:row>17</xdr:row>
      <xdr:rowOff>38100</xdr:rowOff>
    </xdr:from>
    <xdr:to>
      <xdr:col>9</xdr:col>
      <xdr:colOff>1000125</xdr:colOff>
      <xdr:row>23</xdr:row>
      <xdr:rowOff>161925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DEC01E21-8351-47EA-BD7E-DF6F7134A1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0" y="3438525"/>
              <a:ext cx="83439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8</xdr:col>
      <xdr:colOff>209550</xdr:colOff>
      <xdr:row>6</xdr:row>
      <xdr:rowOff>28575</xdr:rowOff>
    </xdr:from>
    <xdr:to>
      <xdr:col>9</xdr:col>
      <xdr:colOff>38099</xdr:colOff>
      <xdr:row>8</xdr:row>
      <xdr:rowOff>123825</xdr:rowOff>
    </xdr:to>
    <xdr:sp macro="[0]!ZERARFILTROSDASH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00D2189-8831-42F9-9DF5-B636828A57D6}"/>
            </a:ext>
          </a:extLst>
        </xdr:cNvPr>
        <xdr:cNvSpPr/>
      </xdr:nvSpPr>
      <xdr:spPr>
        <a:xfrm>
          <a:off x="8524875" y="1257300"/>
          <a:ext cx="981074" cy="485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Montserrat Black" panose="00000A00000000000000" pitchFamily="2" charset="0"/>
            </a:rPr>
            <a:t>ZERAR</a:t>
          </a:r>
        </a:p>
        <a:p>
          <a:pPr algn="ctr"/>
          <a:r>
            <a:rPr lang="pt-BR" sz="1100" b="1">
              <a:latin typeface="Montserrat Black" panose="00000A00000000000000" pitchFamily="2" charset="0"/>
            </a:rPr>
            <a:t>FILTROS</a:t>
          </a:r>
        </a:p>
      </xdr:txBody>
    </xdr:sp>
    <xdr:clientData/>
  </xdr:twoCellAnchor>
  <xdr:twoCellAnchor>
    <xdr:from>
      <xdr:col>8</xdr:col>
      <xdr:colOff>200025</xdr:colOff>
      <xdr:row>3</xdr:row>
      <xdr:rowOff>104775</xdr:rowOff>
    </xdr:from>
    <xdr:to>
      <xdr:col>9</xdr:col>
      <xdr:colOff>28574</xdr:colOff>
      <xdr:row>5</xdr:row>
      <xdr:rowOff>152401</xdr:rowOff>
    </xdr:to>
    <xdr:sp macro="[0]!atubra1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43FDC085-32FF-40AD-886B-FE17C771FAA3}"/>
            </a:ext>
          </a:extLst>
        </xdr:cNvPr>
        <xdr:cNvSpPr/>
      </xdr:nvSpPr>
      <xdr:spPr>
        <a:xfrm>
          <a:off x="8515350" y="723900"/>
          <a:ext cx="981074" cy="4572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 b="1">
            <a:latin typeface="Montserrat Black" panose="00000A00000000000000" pitchFamily="2" charset="0"/>
          </a:endParaRPr>
        </a:p>
        <a:p>
          <a:pPr algn="ctr"/>
          <a:r>
            <a:rPr lang="pt-BR" sz="900" b="1">
              <a:latin typeface="Montserrat Black" panose="00000A00000000000000" pitchFamily="2" charset="0"/>
            </a:rPr>
            <a:t>ATUALIZAR</a:t>
          </a:r>
        </a:p>
      </xdr:txBody>
    </xdr:sp>
    <xdr:clientData/>
  </xdr:twoCellAnchor>
  <xdr:twoCellAnchor>
    <xdr:from>
      <xdr:col>1</xdr:col>
      <xdr:colOff>247650</xdr:colOff>
      <xdr:row>19</xdr:row>
      <xdr:rowOff>133350</xdr:rowOff>
    </xdr:from>
    <xdr:to>
      <xdr:col>1</xdr:col>
      <xdr:colOff>742950</xdr:colOff>
      <xdr:row>22</xdr:row>
      <xdr:rowOff>0</xdr:rowOff>
    </xdr:to>
    <xdr:sp macro="[0]!DIURNO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F4ABECB-B7EC-4E3F-AF82-FF187876B54A}"/>
            </a:ext>
          </a:extLst>
        </xdr:cNvPr>
        <xdr:cNvSpPr/>
      </xdr:nvSpPr>
      <xdr:spPr>
        <a:xfrm>
          <a:off x="1447800" y="3924300"/>
          <a:ext cx="495300" cy="447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247650</xdr:colOff>
      <xdr:row>22</xdr:row>
      <xdr:rowOff>47625</xdr:rowOff>
    </xdr:from>
    <xdr:to>
      <xdr:col>1</xdr:col>
      <xdr:colOff>742950</xdr:colOff>
      <xdr:row>24</xdr:row>
      <xdr:rowOff>104775</xdr:rowOff>
    </xdr:to>
    <xdr:sp macro="[0]!NOTURNO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28566B58-98FD-47AD-9C1E-3F0A0AA3EA53}"/>
            </a:ext>
          </a:extLst>
        </xdr:cNvPr>
        <xdr:cNvSpPr/>
      </xdr:nvSpPr>
      <xdr:spPr>
        <a:xfrm>
          <a:off x="1447800" y="4419600"/>
          <a:ext cx="495300" cy="447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266700</xdr:colOff>
      <xdr:row>19</xdr:row>
      <xdr:rowOff>156409</xdr:rowOff>
    </xdr:from>
    <xdr:to>
      <xdr:col>1</xdr:col>
      <xdr:colOff>447675</xdr:colOff>
      <xdr:row>20</xdr:row>
      <xdr:rowOff>146884</xdr:rowOff>
    </xdr:to>
    <xdr:pic>
      <xdr:nvPicPr>
        <xdr:cNvPr id="12" name="Gráfico 11" descr="Sol">
          <a:extLst>
            <a:ext uri="{FF2B5EF4-FFF2-40B4-BE49-F238E27FC236}">
              <a16:creationId xmlns:a16="http://schemas.microsoft.com/office/drawing/2014/main" id="{1B4A73C7-008A-41A0-8763-B2C87A09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66850" y="3947359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1</xdr:col>
      <xdr:colOff>246648</xdr:colOff>
      <xdr:row>22</xdr:row>
      <xdr:rowOff>76202</xdr:rowOff>
    </xdr:from>
    <xdr:to>
      <xdr:col>1</xdr:col>
      <xdr:colOff>404561</xdr:colOff>
      <xdr:row>23</xdr:row>
      <xdr:rowOff>43443</xdr:rowOff>
    </xdr:to>
    <xdr:pic>
      <xdr:nvPicPr>
        <xdr:cNvPr id="14" name="Gráfico 13" descr="Lua">
          <a:extLst>
            <a:ext uri="{FF2B5EF4-FFF2-40B4-BE49-F238E27FC236}">
              <a16:creationId xmlns:a16="http://schemas.microsoft.com/office/drawing/2014/main" id="{3F7A3C65-E2E6-481B-B151-50DF821D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46798" y="4448177"/>
          <a:ext cx="157913" cy="157741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0</xdr:row>
      <xdr:rowOff>95249</xdr:rowOff>
    </xdr:from>
    <xdr:to>
      <xdr:col>8</xdr:col>
      <xdr:colOff>676275</xdr:colOff>
      <xdr:row>2</xdr:row>
      <xdr:rowOff>161924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CAB3845-91F5-0D83-0A4A-6A339551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5" y="95249"/>
          <a:ext cx="4857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0</xdr:row>
      <xdr:rowOff>0</xdr:rowOff>
    </xdr:from>
    <xdr:to>
      <xdr:col>20</xdr:col>
      <xdr:colOff>171450</xdr:colOff>
      <xdr:row>28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AE5090-D251-4251-BC3E-43080B123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1419224</xdr:colOff>
      <xdr:row>31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HomeTeam 1">
              <a:extLst>
                <a:ext uri="{FF2B5EF4-FFF2-40B4-BE49-F238E27FC236}">
                  <a16:creationId xmlns:a16="http://schemas.microsoft.com/office/drawing/2014/main" id="{4981FF96-2497-4ED6-966D-6FB6C21D76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meTea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238250" cy="523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9525</xdr:colOff>
      <xdr:row>0</xdr:row>
      <xdr:rowOff>0</xdr:rowOff>
    </xdr:from>
    <xdr:to>
      <xdr:col>18</xdr:col>
      <xdr:colOff>238125</xdr:colOff>
      <xdr:row>33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AwayTeam 1">
              <a:extLst>
                <a:ext uri="{FF2B5EF4-FFF2-40B4-BE49-F238E27FC236}">
                  <a16:creationId xmlns:a16="http://schemas.microsoft.com/office/drawing/2014/main" id="{964227C6-2557-4332-8365-AD3A3236F3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wayTeam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7000" y="0"/>
              <a:ext cx="1447800" cy="651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1438276</xdr:colOff>
      <xdr:row>7</xdr:row>
      <xdr:rowOff>47625</xdr:rowOff>
    </xdr:from>
    <xdr:to>
      <xdr:col>1</xdr:col>
      <xdr:colOff>542926</xdr:colOff>
      <xdr:row>9</xdr:row>
      <xdr:rowOff>123825</xdr:rowOff>
    </xdr:to>
    <xdr:sp macro="[0]!filtrodashcs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5DABFC92-C4F0-8604-3C33-30E0C4990120}"/>
            </a:ext>
          </a:extLst>
        </xdr:cNvPr>
        <xdr:cNvSpPr/>
      </xdr:nvSpPr>
      <xdr:spPr>
        <a:xfrm>
          <a:off x="1438276" y="1543050"/>
          <a:ext cx="7239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FILTRO</a:t>
          </a:r>
        </a:p>
        <a:p>
          <a:pPr algn="ctr"/>
          <a:r>
            <a:rPr lang="pt-BR" sz="900"/>
            <a:t>DASH</a:t>
          </a:r>
        </a:p>
      </xdr:txBody>
    </xdr:sp>
    <xdr:clientData/>
  </xdr:twoCellAnchor>
  <xdr:twoCellAnchor>
    <xdr:from>
      <xdr:col>1</xdr:col>
      <xdr:colOff>571500</xdr:colOff>
      <xdr:row>7</xdr:row>
      <xdr:rowOff>57150</xdr:rowOff>
    </xdr:from>
    <xdr:to>
      <xdr:col>3</xdr:col>
      <xdr:colOff>114300</xdr:colOff>
      <xdr:row>9</xdr:row>
      <xdr:rowOff>133350</xdr:rowOff>
    </xdr:to>
    <xdr:sp macro="[0]!ZERARFILTROCSG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653A890B-AA9B-4D2C-B6EF-D1922FDA70F4}"/>
            </a:ext>
          </a:extLst>
        </xdr:cNvPr>
        <xdr:cNvSpPr/>
      </xdr:nvSpPr>
      <xdr:spPr>
        <a:xfrm>
          <a:off x="2190750" y="1552575"/>
          <a:ext cx="723900" cy="476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/>
            <a:t>ZERAR</a:t>
          </a:r>
        </a:p>
        <a:p>
          <a:pPr algn="ctr"/>
          <a:r>
            <a:rPr lang="pt-BR" sz="900"/>
            <a:t>FILTRO</a:t>
          </a:r>
        </a:p>
      </xdr:txBody>
    </xdr:sp>
    <xdr:clientData/>
  </xdr:twoCellAnchor>
  <xdr:twoCellAnchor editAs="oneCell">
    <xdr:from>
      <xdr:col>13</xdr:col>
      <xdr:colOff>19051</xdr:colOff>
      <xdr:row>21</xdr:row>
      <xdr:rowOff>132618</xdr:rowOff>
    </xdr:from>
    <xdr:to>
      <xdr:col>14</xdr:col>
      <xdr:colOff>76200</xdr:colOff>
      <xdr:row>23</xdr:row>
      <xdr:rowOff>171449</xdr:rowOff>
    </xdr:to>
    <xdr:pic>
      <xdr:nvPicPr>
        <xdr:cNvPr id="11" name="Gráfico 10" descr="Seta com giro para a esquerda">
          <a:extLst>
            <a:ext uri="{FF2B5EF4-FFF2-40B4-BE49-F238E27FC236}">
              <a16:creationId xmlns:a16="http://schemas.microsoft.com/office/drawing/2014/main" id="{1F4C10DD-7DAB-46EF-A5F1-A3B79EB68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67726" y="4161693"/>
          <a:ext cx="666749" cy="419831"/>
        </a:xfrm>
        <a:prstGeom prst="rect">
          <a:avLst/>
        </a:prstGeom>
      </xdr:spPr>
    </xdr:pic>
    <xdr:clientData/>
  </xdr:twoCellAnchor>
  <xdr:oneCellAnchor>
    <xdr:from>
      <xdr:col>9</xdr:col>
      <xdr:colOff>209551</xdr:colOff>
      <xdr:row>0</xdr:row>
      <xdr:rowOff>28574</xdr:rowOff>
    </xdr:from>
    <xdr:ext cx="152400" cy="152400"/>
    <xdr:pic>
      <xdr:nvPicPr>
        <xdr:cNvPr id="13" name="Gráfico 12" descr="Bola de futebol">
          <a:extLst>
            <a:ext uri="{FF2B5EF4-FFF2-40B4-BE49-F238E27FC236}">
              <a16:creationId xmlns:a16="http://schemas.microsoft.com/office/drawing/2014/main" id="{4C8FA56F-CD25-496B-BDD4-53B6AD8F3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496051" y="28574"/>
          <a:ext cx="152400" cy="152400"/>
        </a:xfrm>
        <a:prstGeom prst="rect">
          <a:avLst/>
        </a:prstGeom>
      </xdr:spPr>
    </xdr:pic>
    <xdr:clientData/>
  </xdr:oneCellAnchor>
  <xdr:oneCellAnchor>
    <xdr:from>
      <xdr:col>8</xdr:col>
      <xdr:colOff>216676</xdr:colOff>
      <xdr:row>0</xdr:row>
      <xdr:rowOff>23774</xdr:rowOff>
    </xdr:from>
    <xdr:ext cx="154800" cy="154800"/>
    <xdr:pic>
      <xdr:nvPicPr>
        <xdr:cNvPr id="15" name="Gráfico 14" descr="Moedas">
          <a:extLst>
            <a:ext uri="{FF2B5EF4-FFF2-40B4-BE49-F238E27FC236}">
              <a16:creationId xmlns:a16="http://schemas.microsoft.com/office/drawing/2014/main" id="{DF09C936-83F3-4D25-9926-2305CC0C9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903101" y="23774"/>
          <a:ext cx="154800" cy="154800"/>
        </a:xfrm>
        <a:prstGeom prst="rect">
          <a:avLst/>
        </a:prstGeom>
      </xdr:spPr>
    </xdr:pic>
    <xdr:clientData/>
  </xdr:oneCellAnchor>
  <xdr:oneCellAnchor>
    <xdr:from>
      <xdr:col>6</xdr:col>
      <xdr:colOff>209550</xdr:colOff>
      <xdr:row>0</xdr:row>
      <xdr:rowOff>38100</xdr:rowOff>
    </xdr:from>
    <xdr:ext cx="133349" cy="133349"/>
    <xdr:pic>
      <xdr:nvPicPr>
        <xdr:cNvPr id="16" name="Gráfico 15" descr="Início">
          <a:extLst>
            <a:ext uri="{FF2B5EF4-FFF2-40B4-BE49-F238E27FC236}">
              <a16:creationId xmlns:a16="http://schemas.microsoft.com/office/drawing/2014/main" id="{35001B7B-6047-4732-B8FE-A464EF36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695825" y="38100"/>
          <a:ext cx="133349" cy="133349"/>
        </a:xfrm>
        <a:prstGeom prst="rect">
          <a:avLst/>
        </a:prstGeom>
      </xdr:spPr>
    </xdr:pic>
    <xdr:clientData/>
  </xdr:oneCellAnchor>
  <xdr:oneCellAnchor>
    <xdr:from>
      <xdr:col>7</xdr:col>
      <xdr:colOff>276225</xdr:colOff>
      <xdr:row>0</xdr:row>
      <xdr:rowOff>38100</xdr:rowOff>
    </xdr:from>
    <xdr:ext cx="142876" cy="142876"/>
    <xdr:pic>
      <xdr:nvPicPr>
        <xdr:cNvPr id="18" name="Gráfico 17" descr="Tendência ascendente">
          <a:extLst>
            <a:ext uri="{FF2B5EF4-FFF2-40B4-BE49-F238E27FC236}">
              <a16:creationId xmlns:a16="http://schemas.microsoft.com/office/drawing/2014/main" id="{E412134B-6C93-4D0B-9979-B15E882FE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362575" y="38100"/>
          <a:ext cx="142876" cy="142876"/>
        </a:xfrm>
        <a:prstGeom prst="rect">
          <a:avLst/>
        </a:prstGeom>
      </xdr:spPr>
    </xdr:pic>
    <xdr:clientData/>
  </xdr:oneCellAnchor>
  <xdr:oneCellAnchor>
    <xdr:from>
      <xdr:col>11</xdr:col>
      <xdr:colOff>216676</xdr:colOff>
      <xdr:row>0</xdr:row>
      <xdr:rowOff>23774</xdr:rowOff>
    </xdr:from>
    <xdr:ext cx="154800" cy="154800"/>
    <xdr:pic>
      <xdr:nvPicPr>
        <xdr:cNvPr id="19" name="Gráfico 18" descr="Moedas">
          <a:extLst>
            <a:ext uri="{FF2B5EF4-FFF2-40B4-BE49-F238E27FC236}">
              <a16:creationId xmlns:a16="http://schemas.microsoft.com/office/drawing/2014/main" id="{B9262A73-FD33-4E53-83FC-12489F366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12851" y="23774"/>
          <a:ext cx="154800" cy="154800"/>
        </a:xfrm>
        <a:prstGeom prst="rect">
          <a:avLst/>
        </a:prstGeom>
      </xdr:spPr>
    </xdr:pic>
    <xdr:clientData/>
  </xdr:oneCellAnchor>
  <xdr:oneCellAnchor>
    <xdr:from>
      <xdr:col>10</xdr:col>
      <xdr:colOff>228600</xdr:colOff>
      <xdr:row>0</xdr:row>
      <xdr:rowOff>42182</xdr:rowOff>
    </xdr:from>
    <xdr:ext cx="142876" cy="142876"/>
    <xdr:pic>
      <xdr:nvPicPr>
        <xdr:cNvPr id="21" name="Gráfico 20" descr="Tendência ascendente">
          <a:extLst>
            <a:ext uri="{FF2B5EF4-FFF2-40B4-BE49-F238E27FC236}">
              <a16:creationId xmlns:a16="http://schemas.microsoft.com/office/drawing/2014/main" id="{7021AE4E-7A8B-460B-B53F-3F5E69469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124700" y="42182"/>
          <a:ext cx="142876" cy="14287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161926</xdr:colOff>
      <xdr:row>0</xdr:row>
      <xdr:rowOff>9525</xdr:rowOff>
    </xdr:from>
    <xdr:to>
      <xdr:col>14</xdr:col>
      <xdr:colOff>104776</xdr:colOff>
      <xdr:row>15</xdr:row>
      <xdr:rowOff>180974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4E79DA-FCF0-42B1-941B-AD691D609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142875</xdr:colOff>
      <xdr:row>28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meTeam 2">
              <a:extLst>
                <a:ext uri="{FF2B5EF4-FFF2-40B4-BE49-F238E27FC236}">
                  <a16:creationId xmlns:a16="http://schemas.microsoft.com/office/drawing/2014/main" id="{66DAC198-7E62-4255-86B3-F824299BE0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meTea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542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133349</xdr:colOff>
      <xdr:row>0</xdr:row>
      <xdr:rowOff>0</xdr:rowOff>
    </xdr:from>
    <xdr:to>
      <xdr:col>16</xdr:col>
      <xdr:colOff>257174</xdr:colOff>
      <xdr:row>28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wayTeam 2">
              <a:extLst>
                <a:ext uri="{FF2B5EF4-FFF2-40B4-BE49-F238E27FC236}">
                  <a16:creationId xmlns:a16="http://schemas.microsoft.com/office/drawing/2014/main" id="{5D6566B6-8029-45FC-8FB2-8E5656EE2C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wayTeam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6475" y="0"/>
              <a:ext cx="1828800" cy="541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22225</xdr:colOff>
      <xdr:row>20</xdr:row>
      <xdr:rowOff>112184</xdr:rowOff>
    </xdr:from>
    <xdr:to>
      <xdr:col>11</xdr:col>
      <xdr:colOff>286808</xdr:colOff>
      <xdr:row>27</xdr:row>
      <xdr:rowOff>150284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1">
              <a:extLst>
                <a:ext uri="{FF2B5EF4-FFF2-40B4-BE49-F238E27FC236}">
                  <a16:creationId xmlns:a16="http://schemas.microsoft.com/office/drawing/2014/main" id="{12BBA4D1-E5DF-4058-9763-C6B0EFC9C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57308" y="3932767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6a56a4fb4cb3e75/Documentos/ult%20planilhas/bdbv43/bdmainleagues/JAP1DASHv35prt.xlsm" TargetMode="External"/><Relationship Id="rId1" Type="http://schemas.openxmlformats.org/officeDocument/2006/relationships/externalLinkPath" Target="/16a56a4fb4cb3e75/Documentos/ult%20planilhas/bdbv43/bdmainleagues/JAP1DASHv35pr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6a56a4fb4cb3e75/Documentos/ult%20planilhas/bdbv43/bdmainleagues/FRA1DASHv35.xlsm" TargetMode="External"/><Relationship Id="rId1" Type="http://schemas.openxmlformats.org/officeDocument/2006/relationships/externalLinkPath" Target="/16a56a4fb4cb3e75/Documentos/ult%20planilhas/bdbv43/bdmainleagues/FRA1DASHv35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6a56a4fb4cb3e75/Documentos/ult%20planilhas/bdbv43/datascience22.xlsx" TargetMode="External"/><Relationship Id="rId1" Type="http://schemas.openxmlformats.org/officeDocument/2006/relationships/externalLinkPath" Target="/16a56a4fb4cb3e75/Documentos/ult%20planilhas/bdbv43/datascience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CIO"/>
      <sheetName val="DASH"/>
      <sheetName val="FT"/>
      <sheetName val="CS"/>
      <sheetName val="EVOLUT"/>
      <sheetName val="BDJAP1"/>
      <sheetName val="JAP1DASHv35pr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CIO"/>
      <sheetName val="DASH"/>
      <sheetName val="FT"/>
      <sheetName val="HT"/>
      <sheetName val="CS"/>
      <sheetName val="EVOLUT"/>
      <sheetName val="BDFRA1"/>
      <sheetName val="FRA1DASHv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ilha30"/>
      <sheetName val="Planilha8"/>
      <sheetName val="Planilha10"/>
      <sheetName val="Planilha6"/>
      <sheetName val="Planilha32"/>
      <sheetName val="Planilha12"/>
      <sheetName val="Planilha31"/>
      <sheetName val="Planilha2"/>
      <sheetName val="SPAIN2"/>
      <sheetName val="Planilha33"/>
      <sheetName val="FRA"/>
      <sheetName val="Planilha7"/>
      <sheetName val="FRA2"/>
      <sheetName val="Planilha34"/>
      <sheetName val="HOL"/>
      <sheetName val="Planilha3"/>
      <sheetName val="BELG"/>
      <sheetName val="Planilha36"/>
      <sheetName val="PORT"/>
      <sheetName val="Planilha37"/>
      <sheetName val="TUR"/>
      <sheetName val="SCO"/>
      <sheetName val="calc odds"/>
      <sheetName val="Poisson"/>
      <sheetName val="nba"/>
      <sheetName val="Sheet1"/>
      <sheetName val="Planilha1"/>
      <sheetName val="brasil"/>
      <sheetName val="plan prec"/>
      <sheetName val="LAY GOLE"/>
      <sheetName val="ITA2"/>
      <sheetName val="SPAIN"/>
      <sheetName val="ENG1"/>
      <sheetName val="ENG2"/>
      <sheetName val="BUNDES"/>
      <sheetName val="BUNDES2"/>
      <sheetName val="ITA"/>
      <sheetName val="PREMIER"/>
      <sheetName val="CHA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AU2">
            <v>0.11538461538461539</v>
          </cell>
          <cell r="AZ2">
            <v>2.1111111111111112</v>
          </cell>
          <cell r="BA2">
            <v>1.2</v>
          </cell>
          <cell r="BM2">
            <v>6.8421052631578947</v>
          </cell>
          <cell r="BN2">
            <v>4.3157894736842106</v>
          </cell>
          <cell r="BO2">
            <v>3.2409972299168972</v>
          </cell>
          <cell r="BP2">
            <v>3.5964912280701755</v>
          </cell>
        </row>
        <row r="3">
          <cell r="AU3">
            <v>0</v>
          </cell>
          <cell r="AZ3">
            <v>1.1428571428571428</v>
          </cell>
          <cell r="BA3">
            <v>1</v>
          </cell>
          <cell r="BM3">
            <v>4.3157894736842106</v>
          </cell>
          <cell r="BN3">
            <v>3.3157894736842106</v>
          </cell>
          <cell r="BO3">
            <v>3.7763157894736845</v>
          </cell>
          <cell r="BP3">
            <v>3.3157894736842106</v>
          </cell>
        </row>
        <row r="4">
          <cell r="AU4">
            <v>0</v>
          </cell>
          <cell r="AZ4">
            <v>1.263157894736842</v>
          </cell>
          <cell r="BA4">
            <v>0.84210526315789469</v>
          </cell>
          <cell r="BM4">
            <v>4.2105263157894735</v>
          </cell>
          <cell r="BN4">
            <v>3.736842105263158</v>
          </cell>
          <cell r="BO4">
            <v>3.3333333333333335</v>
          </cell>
          <cell r="BP4">
            <v>4.4375</v>
          </cell>
        </row>
        <row r="5">
          <cell r="AU5">
            <v>0</v>
          </cell>
          <cell r="AZ5">
            <v>0.81818181818181823</v>
          </cell>
          <cell r="BA5">
            <v>1</v>
          </cell>
          <cell r="BM5" t="str">
            <v>N</v>
          </cell>
          <cell r="BN5" t="str">
            <v>N</v>
          </cell>
          <cell r="BO5" t="str">
            <v>N</v>
          </cell>
          <cell r="BP5" t="str">
            <v>N</v>
          </cell>
        </row>
        <row r="6">
          <cell r="AU6">
            <v>0</v>
          </cell>
          <cell r="AZ6">
            <v>1.4137931034482758</v>
          </cell>
          <cell r="BA6">
            <v>1.0689655172413792</v>
          </cell>
          <cell r="BM6">
            <v>5.1578947368421053</v>
          </cell>
          <cell r="BN6">
            <v>4.4736842105263159</v>
          </cell>
          <cell r="BO6">
            <v>3.6482670089858797</v>
          </cell>
          <cell r="BP6">
            <v>4.1850594227504248</v>
          </cell>
        </row>
        <row r="7">
          <cell r="AU7">
            <v>0.15384615384615385</v>
          </cell>
          <cell r="AZ7">
            <v>1.6896551724137931</v>
          </cell>
          <cell r="BA7">
            <v>1.1071428571428572</v>
          </cell>
          <cell r="BM7">
            <v>5.5263157894736841</v>
          </cell>
          <cell r="BN7">
            <v>4.3157894736842106</v>
          </cell>
          <cell r="BO7">
            <v>3.2706766917293231</v>
          </cell>
          <cell r="BP7">
            <v>3.898132427843803</v>
          </cell>
        </row>
        <row r="8">
          <cell r="AU8">
            <v>0</v>
          </cell>
          <cell r="AZ8">
            <v>0.55555555555555558</v>
          </cell>
          <cell r="BA8">
            <v>1.0909090909090908</v>
          </cell>
          <cell r="BM8" t="str">
            <v>N</v>
          </cell>
          <cell r="BN8" t="str">
            <v>N</v>
          </cell>
          <cell r="BO8" t="str">
            <v>N</v>
          </cell>
          <cell r="BP8" t="str">
            <v>N</v>
          </cell>
        </row>
        <row r="9">
          <cell r="AU9">
            <v>3.8461538461538464E-2</v>
          </cell>
          <cell r="AZ9">
            <v>1.3928571428571428</v>
          </cell>
          <cell r="BA9">
            <v>0.83333333333333337</v>
          </cell>
          <cell r="BM9">
            <v>5.7894736842105265</v>
          </cell>
          <cell r="BN9">
            <v>3.6842105263157894</v>
          </cell>
          <cell r="BO9">
            <v>4.1565452091767883</v>
          </cell>
          <cell r="BP9">
            <v>4.4210526315789469</v>
          </cell>
        </row>
        <row r="10">
          <cell r="AU10">
            <v>0</v>
          </cell>
          <cell r="AZ10">
            <v>1.2857142857142858</v>
          </cell>
          <cell r="BA10">
            <v>1.2758620689655173</v>
          </cell>
          <cell r="BM10">
            <v>4.4210526315789478</v>
          </cell>
          <cell r="BN10">
            <v>3.8421052631578947</v>
          </cell>
          <cell r="BO10">
            <v>3.4385964912280702</v>
          </cell>
          <cell r="BP10">
            <v>3.0113798008534847</v>
          </cell>
        </row>
        <row r="11">
          <cell r="AU11">
            <v>0</v>
          </cell>
          <cell r="AZ11">
            <v>1.1000000000000001</v>
          </cell>
          <cell r="BA11">
            <v>1</v>
          </cell>
          <cell r="BM11" t="str">
            <v>N</v>
          </cell>
          <cell r="BN11" t="str">
            <v>N</v>
          </cell>
          <cell r="BO11" t="str">
            <v>N</v>
          </cell>
          <cell r="BP11" t="str">
            <v>N</v>
          </cell>
        </row>
        <row r="12">
          <cell r="AU12">
            <v>7.6923076923076927E-2</v>
          </cell>
          <cell r="AZ12">
            <v>1.2758620689655173</v>
          </cell>
          <cell r="BA12">
            <v>0.89655172413793105</v>
          </cell>
          <cell r="BM12">
            <v>4</v>
          </cell>
          <cell r="BN12">
            <v>2.6315789473684212</v>
          </cell>
          <cell r="BO12">
            <v>3.1351351351351351</v>
          </cell>
          <cell r="BP12">
            <v>2.9352226720647776</v>
          </cell>
        </row>
        <row r="13">
          <cell r="AU13">
            <v>0.04</v>
          </cell>
          <cell r="AZ13">
            <v>1.4137931034482758</v>
          </cell>
          <cell r="BA13">
            <v>1.1724137931034482</v>
          </cell>
          <cell r="BM13">
            <v>4</v>
          </cell>
          <cell r="BN13">
            <v>3.8421052631578947</v>
          </cell>
          <cell r="BO13">
            <v>2.8292682926829271</v>
          </cell>
          <cell r="BP13">
            <v>3.2770897832817338</v>
          </cell>
        </row>
        <row r="14">
          <cell r="AU14">
            <v>0.10526315789473684</v>
          </cell>
          <cell r="AZ14">
            <v>1.8421052631578947</v>
          </cell>
          <cell r="BA14">
            <v>1.736842105263158</v>
          </cell>
          <cell r="BM14">
            <v>6.2631578947368425</v>
          </cell>
          <cell r="BN14">
            <v>4.8947368421052628</v>
          </cell>
          <cell r="BO14">
            <v>3.4000000000000004</v>
          </cell>
          <cell r="BP14">
            <v>2.8181818181818179</v>
          </cell>
        </row>
        <row r="15">
          <cell r="AU15">
            <v>7.6923076923076927E-2</v>
          </cell>
          <cell r="AZ15">
            <v>1.4827586206896552</v>
          </cell>
          <cell r="BA15">
            <v>0.88888888888888884</v>
          </cell>
          <cell r="BM15">
            <v>4.9473684210526319</v>
          </cell>
          <cell r="BN15">
            <v>3.7894736842105261</v>
          </cell>
          <cell r="BO15">
            <v>3.3365973072215422</v>
          </cell>
          <cell r="BP15">
            <v>4.2631578947368425</v>
          </cell>
        </row>
        <row r="16">
          <cell r="AU16">
            <v>3.8461538461538464E-2</v>
          </cell>
          <cell r="AZ16">
            <v>1.5925925925925926</v>
          </cell>
          <cell r="BA16">
            <v>1.3666666666666667</v>
          </cell>
          <cell r="BM16">
            <v>4.4736842105263159</v>
          </cell>
          <cell r="BN16">
            <v>4.1578947368421053</v>
          </cell>
          <cell r="BO16">
            <v>2.80905752753978</v>
          </cell>
          <cell r="BP16">
            <v>3.0423620025673941</v>
          </cell>
        </row>
        <row r="17">
          <cell r="AU17">
            <v>0</v>
          </cell>
          <cell r="AZ17">
            <v>0.90909090909090906</v>
          </cell>
          <cell r="BA17">
            <v>0.77777777777777779</v>
          </cell>
          <cell r="BM17" t="str">
            <v>N</v>
          </cell>
          <cell r="BN17" t="str">
            <v>N</v>
          </cell>
          <cell r="BO17" t="str">
            <v>N</v>
          </cell>
          <cell r="BP17" t="str">
            <v>N</v>
          </cell>
        </row>
        <row r="18">
          <cell r="AU18">
            <v>3.7037037037037035E-2</v>
          </cell>
          <cell r="AZ18">
            <v>1.7666666666666666</v>
          </cell>
          <cell r="BA18">
            <v>1.037037037037037</v>
          </cell>
          <cell r="BM18">
            <v>5.3157894736842106</v>
          </cell>
          <cell r="BN18">
            <v>3.3157894736842106</v>
          </cell>
          <cell r="BO18">
            <v>3.0089374379344589</v>
          </cell>
          <cell r="BP18">
            <v>3.1973684210526319</v>
          </cell>
        </row>
        <row r="19">
          <cell r="AU19">
            <v>3.8461538461538464E-2</v>
          </cell>
          <cell r="AZ19">
            <v>1.3333333333333333</v>
          </cell>
          <cell r="BA19">
            <v>1.3</v>
          </cell>
          <cell r="BM19">
            <v>5.6315789473684212</v>
          </cell>
          <cell r="BN19">
            <v>4.6315789473684212</v>
          </cell>
          <cell r="BO19">
            <v>4.2236842105263159</v>
          </cell>
          <cell r="BP19">
            <v>3.5627530364372468</v>
          </cell>
        </row>
        <row r="20">
          <cell r="AU20">
            <v>3.7037037037037035E-2</v>
          </cell>
          <cell r="AZ20">
            <v>1.5333333333333334</v>
          </cell>
          <cell r="BA20">
            <v>0.9285714285714286</v>
          </cell>
          <cell r="BM20">
            <v>5.2631578947368425</v>
          </cell>
          <cell r="BN20">
            <v>3.2105263157894739</v>
          </cell>
          <cell r="BO20">
            <v>3.4324942791762014</v>
          </cell>
          <cell r="BP20">
            <v>3.4574898785425101</v>
          </cell>
        </row>
        <row r="21">
          <cell r="AU21">
            <v>0</v>
          </cell>
          <cell r="AZ21">
            <v>1</v>
          </cell>
          <cell r="BA21">
            <v>0.63157894736842102</v>
          </cell>
          <cell r="BM21">
            <v>3.2105263157894739</v>
          </cell>
          <cell r="BN21">
            <v>2</v>
          </cell>
          <cell r="BO21">
            <v>3.2105263157894739</v>
          </cell>
          <cell r="BP21">
            <v>3.166666666666667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8">
          <cell r="C8" t="str">
            <v>Bologna</v>
          </cell>
        </row>
      </sheetData>
      <sheetData sheetId="37"/>
      <sheetData sheetId="3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u Computador" refreshedDate="46135.625742245371" createdVersion="7" refreshedVersion="8" minRefreshableVersion="3" recordCount="1088" xr:uid="{4CB427A6-DDE7-47B8-9FF3-21ABA35D5D94}">
  <cacheSource type="worksheet">
    <worksheetSource ref="A1:DP1048576" sheet="BDBRA1"/>
  </cacheSource>
  <cacheFields count="120">
    <cacheField name="Date" numFmtId="0">
      <sharedItems containsNonDate="0" containsDate="1" containsString="0" containsBlank="1" minDate="2026-01-28T00:00:00" maxDate="2026-04-20T00:00:00" count="35">
        <d v="2026-01-28T00:00:00"/>
        <d v="2026-01-29T00:00:00"/>
        <d v="2026-01-30T00:00:00"/>
        <d v="2026-02-04T00:00:00"/>
        <d v="2026-02-05T00:00:00"/>
        <d v="2026-02-06T00:00:00"/>
        <d v="2026-02-11T00:00:00"/>
        <d v="2026-02-12T00:00:00"/>
        <d v="2026-02-13T00:00:00"/>
        <d v="2026-02-19T00:00:00"/>
        <d v="2026-02-25T00:00:00"/>
        <d v="2026-02-26T00:00:00"/>
        <d v="2026-03-11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9T00:00:00"/>
        <d v="2026-04-01T00:00:00"/>
        <d v="2026-04-02T00:00:00"/>
        <d v="2026-04-03T00:00:00"/>
        <d v="2026-04-04T00:00:00"/>
        <d v="2026-04-05T00:00:00"/>
        <d v="2026-04-06T00:00:00"/>
        <d v="2026-04-11T00:00:00"/>
        <d v="2026-04-12T00:00:00"/>
        <d v="2026-04-18T00:00:00"/>
        <d v="2026-04-19T00:00:00"/>
        <m/>
      </sharedItems>
    </cacheField>
    <cacheField name="HomeTeam" numFmtId="0">
      <sharedItems containsBlank="1" count="181">
        <s v="Atletico-MG"/>
        <s v="Coritiba"/>
        <s v="Internacional"/>
        <s v="Vitoria"/>
        <s v="Fluminense"/>
        <s v="Chapecoense-SC"/>
        <s v="Corinthians"/>
        <s v="Sao Paulo"/>
        <s v="Mirassol"/>
        <s v="Botafogo RJ"/>
        <s v="Bragantino"/>
        <s v="Flamengo RJ"/>
        <s v="Remo"/>
        <s v="Santos"/>
        <s v="Gremio"/>
        <s v="Palmeiras"/>
        <s v="Bahia"/>
        <s v="Vasco"/>
        <s v="Cruzeiro"/>
        <s v="Athletico-PR"/>
        <m/>
        <s v="Fortaleza" u="1"/>
        <s v="Juventude" u="1"/>
        <s v="Ceara" u="1"/>
        <s v="Sport Recife" u="1"/>
        <s v="America MG" u="1"/>
        <s v="Cuiaba" u="1"/>
        <s v="Goias" u="1"/>
        <s v="Port Vale" u="1"/>
        <s v="Ath Bilbao" u="1"/>
        <s v="Osasuna" u="1"/>
        <s v="Helmond" u="1"/>
        <s v="Shrewsbury" u="1"/>
        <s v="Cambridge" u="1"/>
        <s v="Milton Keynes Dons" u="1"/>
        <s v="Jong AZ" u="1"/>
        <s v="Zwolle" u="1"/>
        <s v="Carlisle" u="1"/>
        <s v="Swindon" u="1"/>
        <s v="Alaves" u="1"/>
        <s v="Sheffield United" u="1"/>
        <s v="Harrogate" u="1"/>
        <s v="Willem II" u="1"/>
        <s v="Wycombe" u="1"/>
        <s v="Nott'm Forest" u="1"/>
        <s v="Den Haag" u="1"/>
        <s v="Salernitana" u="1"/>
        <s v="Cheltenham" u="1"/>
        <s v="Juventus" u="1"/>
        <s v="Luton" u="1"/>
        <s v="Heracles" u="1"/>
        <s v="Hartlepool" u="1"/>
        <s v="Sheffield Weds" u="1"/>
        <s v="Blackburn" u="1"/>
        <s v="Inter" u="1"/>
        <s v="Empoli" u="1"/>
        <s v="Cadiz" u="1"/>
        <s v="Exeter" u="1"/>
        <s v="Charlton" u="1"/>
        <s v="Swansea" u="1"/>
        <s v="Ipswich" u="1"/>
        <s v="Almere City" u="1"/>
        <s v="Mallorca" u="1"/>
        <s v="Sunderland" u="1"/>
        <s v="Milan" u="1"/>
        <s v="Preston" u="1"/>
        <s v="Torino" u="1"/>
        <s v="Mansfield" u="1"/>
        <s v="Celta" u="1"/>
        <s v="Scunthorpe" u="1"/>
        <s v="Birmingham" u="1"/>
        <s v="Dordrecht" u="1"/>
        <s v="Sutton" u="1"/>
        <s v="Rochdale" u="1"/>
        <s v="Londrina" u="1"/>
        <s v="Hull" u="1"/>
        <s v="Morecambe" u="1"/>
        <s v="Sociedad" u="1"/>
        <s v="Lincoln" u="1"/>
        <s v="Salford" u="1"/>
        <s v="Stoke" u="1"/>
        <s v="Vila Nova FC" u="1"/>
        <s v="Avai" u="1"/>
        <s v="Bologna" u="1"/>
        <s v="Bristol Rvs" u="1"/>
        <s v="Oxford" u="1"/>
        <s v="Genoa" u="1"/>
        <s v="Den Bosch" u="1"/>
        <s v="Portsmouth" u="1"/>
        <s v="Barnsley" u="1"/>
        <s v="Cruzeiro " u="1"/>
        <s v="Middlesbrough" u="1"/>
        <s v="Leyton Orient" u="1"/>
        <s v="Telstar" u="1"/>
        <s v="Operario" u="1"/>
        <s v="Peterboro" u="1"/>
        <s v="Verona" u="1"/>
        <s v="Accrington" u="1"/>
        <s v="Bolton" u="1"/>
        <s v="Tombense" u="1"/>
        <s v="Ponte Preta" u="1"/>
        <s v="Granada" u="1"/>
        <s v="Vallecano" u="1"/>
        <s v="Betis" u="1"/>
        <s v="Jong Ajax" u="1"/>
        <s v="Brusque" u="1"/>
        <s v="Villarreal" u="1"/>
        <s v="Barrow" u="1"/>
        <s v="Eindhoven FC" u="1"/>
        <s v="Elche" u="1"/>
        <s v="Stevenage" u="1"/>
        <s v="Huddersfield" u="1"/>
        <s v="Udinese" u="1"/>
        <s v="Sampdoria" u="1"/>
        <s v="Fiorentina" u="1"/>
        <s v="Bristol City" u="1"/>
        <s v="Fleetwood Town" u="1"/>
        <s v="Newport County" u="1"/>
        <s v="Burton" u="1"/>
        <s v="Walsall" u="1"/>
        <s v="Ath Madrid" u="1"/>
        <s v="Lazio" u="1"/>
        <s v="Tranmere" u="1"/>
        <s v="Sevilla" u="1"/>
        <s v="Atletico GO" u="1"/>
        <s v="HomeTeam" u="1"/>
        <s v="Wigan" u="1"/>
        <s v="Levante" u="1"/>
        <s v="Sassuolo" u="1"/>
        <s v="Graafschap" u="1"/>
        <s v="Botafogo SP" u="1"/>
        <s v="Napoli" u="1"/>
        <s v="Bradford" u="1"/>
        <s v="Guarani " u="1"/>
        <s v="Sampaio Correa" u="1"/>
        <s v="Derby" u="1"/>
        <s v="Doncaster" u="1"/>
        <s v="Plymouth" u="1"/>
        <s v="Roda" u="1"/>
        <s v="Crewe" u="1"/>
        <s v="Colchester" u="1"/>
        <s v="West Brom" u="1"/>
        <s v="Getafe" u="1"/>
        <s v="QPR" u="1"/>
        <s v="Nautico" u="1"/>
        <s v="Jong Utrecht" u="1"/>
        <s v="Maastricht" u="1"/>
        <s v="Barcelona" u="1"/>
        <s v="Crawley Town" u="1"/>
        <s v="Breda" u="1"/>
        <s v="CSA" u="1"/>
        <s v="Roma" u="1"/>
        <s v="Gillingham" u="1"/>
        <s v="Guarani" u="1"/>
        <s v="Valencia" u="1"/>
        <s v="Cagliari" u="1"/>
        <s v="Cardiff" u="1"/>
        <s v="Coventry" u="1"/>
        <s v="Real Madrid" u="1"/>
        <s v="Forest Green" u="1"/>
        <s v="Oss" u="1"/>
        <s v="Bournemouth" u="1"/>
        <s v="Northampton" u="1"/>
        <s v="ABC" u="1"/>
        <s v="Atalanta" u="1"/>
        <s v="Espanol" u="1"/>
        <s v="Novorizontino" u="1"/>
        <s v="Reading" u="1"/>
        <s v="Venezia" u="1"/>
        <s v="Rotherham" u="1"/>
        <s v="AFC Wimbledon" u="1"/>
        <s v="Blackpool" u="1"/>
        <s v="Fulham" u="1"/>
        <s v="Criciuma" u="1"/>
        <s v="Millwall" u="1"/>
        <s v="Venlo" u="1"/>
        <s v="Ituano" u="1"/>
        <s v="Oldham" u="1"/>
        <s v="Spezia" u="1"/>
        <s v="CRB" u="1"/>
        <s v="Jong PSV" u="1"/>
      </sharedItems>
    </cacheField>
    <cacheField name="AwayTeam" numFmtId="0">
      <sharedItems containsBlank="1" count="179">
        <s v="Palmeiras"/>
        <s v="Bragantino"/>
        <s v="Athletico-PR"/>
        <s v="Remo"/>
        <s v="Gremio"/>
        <s v="Santos"/>
        <s v="Bahia"/>
        <s v="Flamengo RJ"/>
        <s v="Vasco"/>
        <s v="Cruzeiro"/>
        <s v="Atletico-MG"/>
        <s v="Internacional"/>
        <s v="Mirassol"/>
        <s v="Sao Paulo"/>
        <s v="Botafogo RJ"/>
        <s v="Vitoria"/>
        <s v="Fluminense"/>
        <s v="Chapecoense-SC"/>
        <s v="Coritiba"/>
        <s v="Corinthians"/>
        <m/>
        <s v="Sport Recife" u="1"/>
        <s v="Ceara" u="1"/>
        <s v="Juventude" u="1"/>
        <s v="Fortaleza" u="1"/>
        <s v="Goias" u="1"/>
        <s v="Cuiaba" u="1"/>
        <s v="America MG" u="1"/>
        <s v="Port Vale" u="1"/>
        <s v="Ath Bilbao" u="1"/>
        <s v="Osasuna" u="1"/>
        <s v="Helmond" u="1"/>
        <s v="Shrewsbury" u="1"/>
        <s v="Cambridge" u="1"/>
        <s v="Milton Keynes Dons" u="1"/>
        <s v="Jong AZ" u="1"/>
        <s v="Zwolle" u="1"/>
        <s v="Carlisle" u="1"/>
        <s v="Swindon" u="1"/>
        <s v="Alaves" u="1"/>
        <s v="Sheffield United" u="1"/>
        <s v="Harrogate" u="1"/>
        <s v="Willem II" u="1"/>
        <s v="Wycombe" u="1"/>
        <s v="Nott'm Forest" u="1"/>
        <s v="Den Haag" u="1"/>
        <s v="Salernitana" u="1"/>
        <s v="Cheltenham" u="1"/>
        <s v="Juventus" u="1"/>
        <s v="Luton" u="1"/>
        <s v="Heracles" u="1"/>
        <s v="Hartlepool" u="1"/>
        <s v="Sheffield Weds" u="1"/>
        <s v="Blackburn" u="1"/>
        <s v="Inter" u="1"/>
        <s v="Empoli" u="1"/>
        <s v="Cadiz" u="1"/>
        <s v="Exeter" u="1"/>
        <s v="Charlton" u="1"/>
        <s v="Swansea" u="1"/>
        <s v="Ipswich" u="1"/>
        <s v="Almere City" u="1"/>
        <s v="Mallorca" u="1"/>
        <s v="Sunderland" u="1"/>
        <s v="Milan" u="1"/>
        <s v="Preston" u="1"/>
        <s v="Torino" u="1"/>
        <s v="Mansfield" u="1"/>
        <s v="Celta" u="1"/>
        <s v="Scunthorpe" u="1"/>
        <s v="Birmingham" u="1"/>
        <s v="Dordrecht" u="1"/>
        <s v="Sutton" u="1"/>
        <s v="Rochdale" u="1"/>
        <s v="Londrina" u="1"/>
        <s v="Hull" u="1"/>
        <s v="Morecambe" u="1"/>
        <s v="Sociedad" u="1"/>
        <s v="Lincoln" u="1"/>
        <s v="Salford" u="1"/>
        <s v="Stoke" u="1"/>
        <s v="Vila Nova FC" u="1"/>
        <s v="Avai" u="1"/>
        <s v="Bologna" u="1"/>
        <s v="Bristol Rvs" u="1"/>
        <s v="Oxford" u="1"/>
        <s v="Genoa" u="1"/>
        <s v="Den Bosch" u="1"/>
        <s v="Portsmouth" u="1"/>
        <s v="Barnsley" u="1"/>
        <s v="Middlesbrough" u="1"/>
        <s v="Leyton Orient" u="1"/>
        <s v="Telstar" u="1"/>
        <s v="Operario" u="1"/>
        <s v="Peterboro" u="1"/>
        <s v="Verona" u="1"/>
        <s v="Accrington" u="1"/>
        <s v="Bolton" u="1"/>
        <s v="Tombense" u="1"/>
        <s v="Ponte Preta" u="1"/>
        <s v="Granada" u="1"/>
        <s v="Vallecano" u="1"/>
        <s v="Betis" u="1"/>
        <s v="Jong Ajax" u="1"/>
        <s v="Brusque" u="1"/>
        <s v="Villarreal" u="1"/>
        <s v="Barrow" u="1"/>
        <s v="Eindhoven FC" u="1"/>
        <s v="Elche" u="1"/>
        <s v="Stevenage" u="1"/>
        <s v="Huddersfield" u="1"/>
        <s v="Udinese" u="1"/>
        <s v="Sampdoria" u="1"/>
        <s v="Fiorentina" u="1"/>
        <s v="Bristol City" u="1"/>
        <s v="Fleetwood Town" u="1"/>
        <s v="Newport County" u="1"/>
        <s v="Burton" u="1"/>
        <s v="Walsall" u="1"/>
        <s v="AwayTeam" u="1"/>
        <s v="Ath Madrid" u="1"/>
        <s v="Lazio" u="1"/>
        <s v="Tranmere" u="1"/>
        <s v="Sevilla" u="1"/>
        <s v="Atletico GO" u="1"/>
        <s v="Wigan" u="1"/>
        <s v="Levante" u="1"/>
        <s v="Sassuolo" u="1"/>
        <s v="Graafschap" u="1"/>
        <s v="Botafogo SP" u="1"/>
        <s v="Napoli" u="1"/>
        <s v="Bradford" u="1"/>
        <s v="Sampaio Correa" u="1"/>
        <s v="Derby" u="1"/>
        <s v="Doncaster" u="1"/>
        <s v="Plymouth" u="1"/>
        <s v="Roda" u="1"/>
        <s v="Crewe" u="1"/>
        <s v="Colchester" u="1"/>
        <s v="West Brom" u="1"/>
        <s v="Getafe" u="1"/>
        <s v="QPR" u="1"/>
        <s v="Nautico" u="1"/>
        <s v="Jong Utrecht" u="1"/>
        <s v="Maastricht" u="1"/>
        <s v="Barcelona" u="1"/>
        <s v="Crawley Town" u="1"/>
        <s v="Breda" u="1"/>
        <s v="CSA" u="1"/>
        <s v="Roma" u="1"/>
        <s v="Gillingham" u="1"/>
        <s v="Guarani" u="1"/>
        <s v="Valencia" u="1"/>
        <s v="Cagliari" u="1"/>
        <s v="Cardiff" u="1"/>
        <s v="Coventry" u="1"/>
        <s v="Real Madrid" u="1"/>
        <s v="Forest Green" u="1"/>
        <s v="Oss" u="1"/>
        <s v="Bournemouth" u="1"/>
        <s v="Northampton" u="1"/>
        <s v="ABC" u="1"/>
        <s v="Atalanta" u="1"/>
        <s v="Espanol" u="1"/>
        <s v="Novorizontino" u="1"/>
        <s v="Reading" u="1"/>
        <s v="Venezia" u="1"/>
        <s v="Rotherham" u="1"/>
        <s v="AFC Wimbledon" u="1"/>
        <s v="Blackpool" u="1"/>
        <s v="Fulham" u="1"/>
        <s v="Criciuma" u="1"/>
        <s v="Millwall" u="1"/>
        <s v="Venlo" u="1"/>
        <s v="Ituano" u="1"/>
        <s v="Oldham" u="1"/>
        <s v="Spezia" u="1"/>
        <s v="CRB" u="1"/>
        <s v="Jong PSV" u="1"/>
      </sharedItems>
    </cacheField>
    <cacheField name="FTHG" numFmtId="0">
      <sharedItems containsString="0" containsBlank="1" containsNumber="1" containsInteger="1" minValue="0" maxValue="5"/>
    </cacheField>
    <cacheField name="FTAG" numFmtId="0">
      <sharedItems containsString="0" containsBlank="1" containsNumber="1" containsInteger="1" minValue="0" maxValue="4"/>
    </cacheField>
    <cacheField name="FTR" numFmtId="0">
      <sharedItems containsBlank="1"/>
    </cacheField>
    <cacheField name="ODDC" numFmtId="0">
      <sharedItems containsString="0" containsBlank="1" containsNumber="1" minValue="1.1299999999999999" maxValue="5.75" count="50">
        <n v="3"/>
        <n v="2.7"/>
        <n v="1.96"/>
        <n v="1.79"/>
        <n v="1.53"/>
        <n v="2.2000000000000002"/>
        <n v="3.7"/>
        <n v="2.2999999999999998"/>
        <n v="2.0099999999999998"/>
        <n v="1.41"/>
        <n v="3.1"/>
        <n v="1.3"/>
        <n v="1.35"/>
        <n v="5.75"/>
        <n v="2.4"/>
        <n v="1.91"/>
        <n v="1.76"/>
        <n v="1.86"/>
        <n v="2.57"/>
        <n v="3.25"/>
        <n v="2.5"/>
        <n v="1.66"/>
        <n v="2.1"/>
        <n v="1.62"/>
        <n v="1.45"/>
        <n v="4"/>
        <n v="1.39"/>
        <n v="2.15"/>
        <n v="2.3199999999999998"/>
        <n v="4.0999999999999996"/>
        <n v="1.61"/>
        <n v="2.35"/>
        <n v="2.85"/>
        <n v="1.51"/>
        <n v="1.57"/>
        <n v="2.0499999999999998"/>
        <n v="1.1299999999999999"/>
        <n v="3.4"/>
        <n v="1.81"/>
        <n v="1.37"/>
        <n v="1.71"/>
        <n v="1.49"/>
        <n v="2.75"/>
        <n v="3.8"/>
        <n v="1.68"/>
        <n v="3.2"/>
        <n v="2.65"/>
        <n v="1.56"/>
        <n v="1.42"/>
        <m/>
      </sharedItems>
      <fieldGroup base="6">
        <rangePr startNum="1.1299999999999999" endNum="5.75" groupInterval="0.1"/>
        <groupItems count="49">
          <s v="(vazio)"/>
          <s v="1,13-1,23"/>
          <s v="1,23-1,33"/>
          <s v="1,33-1,43"/>
          <s v="1,43-1,53"/>
          <s v="1,53-1,63"/>
          <s v="1,63-1,73"/>
          <s v="1,73-1,83"/>
          <s v="1,83-1,93"/>
          <s v="1,93-2,03"/>
          <s v="2,03-2,13"/>
          <s v="2,13-2,23"/>
          <s v="2,23-2,33"/>
          <s v="2,33-2,43"/>
          <s v="2,43-2,53"/>
          <s v="2,53-2,63"/>
          <s v="2,63-2,73"/>
          <s v="2,73-2,83"/>
          <s v="2,83-2,93"/>
          <s v="2,93-3,03"/>
          <s v="3,03-3,13"/>
          <s v="3,13-3,23"/>
          <s v="3,23-3,33"/>
          <s v="3,33-3,43"/>
          <s v="3,43-3,53"/>
          <s v="3,53-3,63"/>
          <s v="3,63-3,73"/>
          <s v="3,73-3,83"/>
          <s v="3,83-3,93"/>
          <s v="3,93-4,03"/>
          <s v="4,03-4,13"/>
          <s v="4,13-4,23"/>
          <s v="4,23-4,33"/>
          <s v="4,33-4,43"/>
          <s v="4,43-4,53"/>
          <s v="4,53-4,63"/>
          <s v="4,63-4,73"/>
          <s v="4,73-4,83"/>
          <s v="4,83-4,93"/>
          <s v="4,93-5,03"/>
          <s v="5,03-5,13"/>
          <s v="5,13-5,23"/>
          <s v="5,23-5,33"/>
          <s v="5,33-5,43"/>
          <s v="5,43-5,53"/>
          <s v="5,53-5,63"/>
          <s v="5,63-5,73"/>
          <s v="5,73-5,83"/>
          <s v="&gt;5,83"/>
        </groupItems>
      </fieldGroup>
    </cacheField>
    <cacheField name="ODDE" numFmtId="0">
      <sharedItems containsString="0" containsBlank="1" containsNumber="1" minValue="2.82" maxValue="7.5" count="22">
        <n v="3.1"/>
        <n v="2.82"/>
        <n v="3.25"/>
        <n v="3.4"/>
        <n v="4.0999999999999996"/>
        <n v="3.5"/>
        <n v="3"/>
        <n v="3.3"/>
        <n v="3.2"/>
        <n v="4.5"/>
        <n v="4.75"/>
        <n v="3.9"/>
        <n v="4.33"/>
        <n v="3.8"/>
        <n v="3.7"/>
        <n v="3.6"/>
        <n v="3.75"/>
        <n v="4.2"/>
        <n v="4"/>
        <n v="7.5"/>
        <n v="5"/>
        <m/>
      </sharedItems>
      <fieldGroup base="7">
        <rangePr startNum="2.82" endNum="7.5" groupInterval="0.1"/>
        <groupItems count="49">
          <s v="(vazio)"/>
          <s v="2,82-2,92"/>
          <s v="2,92-3,02"/>
          <s v="3,02-3,12"/>
          <s v="3,12-3,22"/>
          <s v="3,22-3,32"/>
          <s v="3,32-3,42"/>
          <s v="3,42-3,52"/>
          <s v="3,52-3,62"/>
          <s v="3,62-3,72"/>
          <s v="3,72-3,82"/>
          <s v="3,82-3,92"/>
          <s v="3,92-4,02"/>
          <s v="4,02-4,12"/>
          <s v="4,12-4,22"/>
          <s v="4,22-4,32"/>
          <s v="4,32-4,42"/>
          <s v="4,42-4,52"/>
          <s v="4,52-4,62"/>
          <s v="4,62-4,72"/>
          <s v="4,72-4,82"/>
          <s v="4,82-4,92"/>
          <s v="4,92-5,02"/>
          <s v="5,02-5,12"/>
          <s v="5,12-5,22"/>
          <s v="5,22-5,32"/>
          <s v="5,32-5,42"/>
          <s v="5,42-5,52"/>
          <s v="5,52-5,62"/>
          <s v="5,62-5,72"/>
          <s v="5,72-5,82"/>
          <s v="5,82-5,92"/>
          <s v="5,92-6,02"/>
          <s v="6,02-6,12"/>
          <s v="6,12-6,22"/>
          <s v="6,22-6,32"/>
          <s v="6,32-6,42"/>
          <s v="6,42-6,52"/>
          <s v="6,52-6,62"/>
          <s v="6,62-6,72"/>
          <s v="6,72-6,82"/>
          <s v="6,82-6,92"/>
          <s v="6,92-7,02"/>
          <s v="7,02-7,12"/>
          <s v="7,12-7,22"/>
          <s v="7,22-7,32"/>
          <s v="7,32-7,42"/>
          <s v="7,42-7,52"/>
          <s v="&gt;7,52"/>
        </groupItems>
      </fieldGroup>
    </cacheField>
    <cacheField name="ODDV" numFmtId="0">
      <sharedItems containsString="0" containsBlank="1" containsNumber="1" minValue="1.57" maxValue="17" count="47">
        <n v="2.5"/>
        <n v="2.82"/>
        <n v="3.9"/>
        <n v="4.75"/>
        <n v="6"/>
        <n v="3.2"/>
        <n v="2.2000000000000002"/>
        <n v="4.5"/>
        <n v="3.4"/>
        <n v="4"/>
        <n v="7.5"/>
        <n v="2.4"/>
        <n v="3.3"/>
        <n v="10"/>
        <n v="3.6"/>
        <n v="9.5"/>
        <n v="1.57"/>
        <n v="2.65"/>
        <n v="4.2"/>
        <n v="3.1"/>
        <n v="5.5"/>
        <n v="2.25"/>
        <n v="2.85"/>
        <n v="2.15"/>
        <n v="3"/>
        <n v="5"/>
        <n v="3.75"/>
        <n v="3.7"/>
        <n v="5.25"/>
        <n v="6.5"/>
        <n v="1.86"/>
        <n v="3.25"/>
        <n v="1.91"/>
        <n v="4.33"/>
        <n v="2.2999999999999998"/>
        <n v="6.25"/>
        <n v="2.1"/>
        <n v="17"/>
        <n v="2.35"/>
        <n v="2.75"/>
        <n v="5.75"/>
        <n v="2.0499999999999998"/>
        <n v="3.5"/>
        <n v="11"/>
        <n v="1.96"/>
        <n v="4.0999999999999996"/>
        <m/>
      </sharedItems>
      <fieldGroup base="8">
        <rangePr startNum="1.57" endNum="17" groupInterval="0.2"/>
        <groupItems count="80">
          <s v="(vazio)"/>
          <s v="1,57-1,77"/>
          <s v="1,77-1,97"/>
          <s v="1,97-2,17"/>
          <s v="2,17-2,37"/>
          <s v="2,37-2,57"/>
          <s v="2,57-2,77"/>
          <s v="2,77-2,97"/>
          <s v="2,97-3,17"/>
          <s v="3,17-3,37"/>
          <s v="3,37-3,57"/>
          <s v="3,57-3,77"/>
          <s v="3,77-3,97"/>
          <s v="3,97-4,17"/>
          <s v="4,17-4,37"/>
          <s v="4,37-4,57"/>
          <s v="4,57-4,77"/>
          <s v="4,77-4,97"/>
          <s v="4,97-5,17"/>
          <s v="5,17-5,37"/>
          <s v="5,37-5,57"/>
          <s v="5,57-5,77"/>
          <s v="5,77-5,97"/>
          <s v="5,97-6,17"/>
          <s v="6,17-6,37"/>
          <s v="6,37-6,57"/>
          <s v="6,57-6,77"/>
          <s v="6,77-6,97"/>
          <s v="6,97-7,17"/>
          <s v="7,17-7,37"/>
          <s v="7,37-7,57"/>
          <s v="7,57-7,77"/>
          <s v="7,77-7,97"/>
          <s v="7,97-8,17"/>
          <s v="8,17-8,37"/>
          <s v="8,37-8,57"/>
          <s v="8,57-8,77"/>
          <s v="8,77-8,97"/>
          <s v="8,97-9,17"/>
          <s v="9,17-9,37"/>
          <s v="9,37-9,57"/>
          <s v="9,57-9,77"/>
          <s v="9,77-9,97"/>
          <s v="9,97-10,17"/>
          <s v="10,17-10,37"/>
          <s v="10,37-10,57"/>
          <s v="10,57-10,77"/>
          <s v="10,77-10,97"/>
          <s v="10,97-11,17"/>
          <s v="11,17-11,37"/>
          <s v="11,37-11,57"/>
          <s v="11,57-11,77"/>
          <s v="11,77-11,97"/>
          <s v="11,97-12,17"/>
          <s v="12,17-12,37"/>
          <s v="12,37-12,57"/>
          <s v="12,57-12,77"/>
          <s v="12,77-12,97"/>
          <s v="12,97-13,17"/>
          <s v="13,17-13,37"/>
          <s v="13,37-13,57"/>
          <s v="13,57-13,77"/>
          <s v="13,77-13,97"/>
          <s v="13,97-14,17"/>
          <s v="14,17-14,37"/>
          <s v="14,37-14,57"/>
          <s v="14,57-14,77"/>
          <s v="14,77-14,97"/>
          <s v="14,97-15,17"/>
          <s v="15,17-15,37"/>
          <s v="15,37-15,57"/>
          <s v="15,57-15,77"/>
          <s v="15,77-15,97"/>
          <s v="15,97-16,17"/>
          <s v="16,17-16,37"/>
          <s v="16,37-16,57"/>
          <s v="16,57-16,77"/>
          <s v="16,77-16,97"/>
          <s v="16,97-17,17"/>
          <s v="&gt;17,17"/>
        </groupItems>
      </fieldGroup>
    </cacheField>
    <cacheField name="PTC" numFmtId="0">
      <sharedItems containsBlank="1" containsMixedTypes="1" containsNumber="1" containsInteger="1" minValue="0" maxValue="3"/>
    </cacheField>
    <cacheField name="PTV" numFmtId="0">
      <sharedItems containsBlank="1" containsMixedTypes="1" containsNumber="1" containsInteger="1" minValue="0" maxValue="3"/>
    </cacheField>
    <cacheField name="GC/ODDV" numFmtId="0">
      <sharedItems containsBlank="1" containsMixedTypes="1" containsNumber="1" minValue="0" maxValue="1.7021276595744681"/>
    </cacheField>
    <cacheField name="GV/ODDC" numFmtId="0">
      <sharedItems containsBlank="1" containsMixedTypes="1" containsNumber="1" minValue="0" maxValue="2.1276595744680851"/>
    </cacheField>
    <cacheField name="PESOPTC" numFmtId="0">
      <sharedItems containsBlank="1" containsMixedTypes="1" containsNumber="1" minValue="0" maxValue="11.399999999999999"/>
    </cacheField>
    <cacheField name="PESOPTV" numFmtId="0">
      <sharedItems containsBlank="1" containsMixedTypes="1" containsNumber="1" minValue="0" maxValue="28.5"/>
    </cacheField>
    <cacheField name="SLDC" numFmtId="0">
      <sharedItems containsBlank="1" containsMixedTypes="1" containsNumber="1" containsInteger="1" minValue="-4" maxValue="4"/>
    </cacheField>
    <cacheField name="SLDV" numFmtId="0">
      <sharedItems containsBlank="1" containsMixedTypes="1" containsNumber="1" containsInteger="1" minValue="-4" maxValue="4"/>
    </cacheField>
    <cacheField name="PLBACKC" numFmtId="0">
      <sharedItems containsBlank="1" containsMixedTypes="1" containsNumber="1" minValue="-1" maxValue="2.8"/>
    </cacheField>
    <cacheField name="PLBACKV" numFmtId="0">
      <sharedItems containsBlank="1" containsMixedTypes="1" containsNumber="1" minValue="-1" maxValue="8.5"/>
    </cacheField>
    <cacheField name="PLEMP" numFmtId="0">
      <sharedItems containsBlank="1" containsMixedTypes="1" containsNumber="1" minValue="-1" maxValue="3.5"/>
    </cacheField>
    <cacheField name="GOLEAC" numFmtId="0">
      <sharedItems containsBlank="1" containsMixedTypes="1" containsNumber="1" containsInteger="1" minValue="0" maxValue="1"/>
    </cacheField>
    <cacheField name="GOLEAV" numFmtId="0">
      <sharedItems containsBlank="1" containsMixedTypes="1" containsNumber="1" containsInteger="1" minValue="0" maxValue="1"/>
    </cacheField>
    <cacheField name="0,5FT" numFmtId="0">
      <sharedItems containsBlank="1" containsMixedTypes="1" containsNumber="1" containsInteger="1" minValue="0" maxValue="1"/>
    </cacheField>
    <cacheField name="1,5FT" numFmtId="0">
      <sharedItems containsBlank="1" containsMixedTypes="1" containsNumber="1" containsInteger="1" minValue="0" maxValue="1"/>
    </cacheField>
    <cacheField name="2,5FT" numFmtId="0">
      <sharedItems containsBlank="1" containsMixedTypes="1" containsNumber="1" containsInteger="1" minValue="0" maxValue="1"/>
    </cacheField>
    <cacheField name="3,5FT" numFmtId="0">
      <sharedItems containsBlank="1" containsMixedTypes="1" containsNumber="1" containsInteger="1" minValue="0" maxValue="1"/>
    </cacheField>
    <cacheField name="4,5FT" numFmtId="0">
      <sharedItems containsBlank="1" containsMixedTypes="1" containsNumber="1" containsInteger="1" minValue="0" maxValue="1"/>
    </cacheField>
    <cacheField name="5,5FT" numFmtId="0">
      <sharedItems containsBlank="1" containsMixedTypes="1" containsNumber="1" containsInteger="1" minValue="0" maxValue="1"/>
    </cacheField>
    <cacheField name="AMBFT" numFmtId="0">
      <sharedItems containsBlank="1" containsMixedTypes="1" containsNumber="1" containsInteger="1" minValue="0" maxValue="1"/>
    </cacheField>
    <cacheField name="MÊS" numFmtId="0">
      <sharedItems containsBlank="1"/>
    </cacheField>
    <cacheField name="CONTAG" numFmtId="164">
      <sharedItems containsBlank="1" containsMixedTypes="1" containsNumber="1" containsInteger="1" minValue="1" maxValue="117"/>
    </cacheField>
    <cacheField name="VITC" numFmtId="0">
      <sharedItems containsBlank="1" containsMixedTypes="1" containsNumber="1" containsInteger="1" minValue="0" maxValue="1"/>
    </cacheField>
    <cacheField name="EMP" numFmtId="0">
      <sharedItems containsBlank="1" containsMixedTypes="1" containsNumber="1" containsInteger="1" minValue="0" maxValue="1"/>
    </cacheField>
    <cacheField name="VITV" numFmtId="0">
      <sharedItems containsBlank="1" containsMixedTypes="1" containsNumber="1" containsInteger="1" minValue="0" maxValue="1"/>
    </cacheField>
    <cacheField name="FAVC" numFmtId="0">
      <sharedItems containsBlank="1" count="29">
        <s v="2,41-3,0"/>
        <s v="1,71-2,0"/>
        <s v="1,41-1,7"/>
        <s v="2,01-2,4"/>
        <s v="3,01-4.0"/>
        <s v="1,21-1,4"/>
        <s v="5,51-9,0"/>
        <s v="4,01-5,5"/>
        <s v="1,01-1,2"/>
        <s v=""/>
        <m/>
        <s v="9,01-16" u="1"/>
        <s v="8,51-99" u="1"/>
        <s v="4POUCOFAV" u="1"/>
        <s v="8BEMZEB" u="1"/>
        <s v="1-1,4" u="1"/>
        <s v="Z16-99" u="1"/>
        <s v="5,01-8,5" u="1"/>
        <s v="3FAV" u="1"/>
        <s v="6POUCOZEB" u="1"/>
        <s v="1,71-2" u="1"/>
        <s v="3,81-5" u="1"/>
        <s v="1,01-1,4" u="1"/>
        <s v="7ZEB" u="1"/>
        <s v="2BEMFAV" u="1"/>
        <s v="3,01-3,8" u="1"/>
        <s v="5SEMFAV" u="1"/>
        <s v="1SUPERFAV" u="1"/>
        <s v="2,41-3" u="1"/>
      </sharedItems>
    </cacheField>
    <cacheField name="FAVV" numFmtId="0">
      <sharedItems containsBlank="1" count="29">
        <s v="2,41-3,0"/>
        <s v="3,01-4.0"/>
        <s v="4,01-5,5"/>
        <s v="5,51-9,0"/>
        <s v="2,01-2,4"/>
        <s v="9,01-16"/>
        <s v="1,41-1,7"/>
        <s v="1,71-2,0"/>
        <s v="Z16-99"/>
        <s v=""/>
        <m/>
        <s v="8,51-99" u="1"/>
        <s v="4POUCOFAV" u="1"/>
        <s v="8BEMZEB" u="1"/>
        <s v="5,01-8,5" u="1"/>
        <s v="3FAV" u="1"/>
        <s v="&gt;8,5" u="1"/>
        <s v="6POUCOZEB" u="1"/>
        <s v="1,71-2" u="1"/>
        <s v="3,81-5" u="1"/>
        <s v="1,01-1,4" u="1"/>
        <s v="7ZEB" u="1"/>
        <s v="9SUPZEB" u="1"/>
        <s v="1,21-1,4" u="1"/>
        <s v="2BEMFAV" u="1"/>
        <s v="3,01-3,8" u="1"/>
        <s v="5SEMFAV" u="1"/>
        <s v="2,41-3" u="1"/>
        <s v="1,01-1,2" u="1"/>
      </sharedItems>
    </cacheField>
    <cacheField name="p(H)" numFmtId="0">
      <sharedItems containsBlank="1" containsMixedTypes="1" containsNumber="1" minValue="0.17391304347826086" maxValue="0.88495575221238942"/>
    </cacheField>
    <cacheField name="p(D)" numFmtId="0">
      <sharedItems containsBlank="1" containsMixedTypes="1" containsNumber="1" minValue="0.13333333333333333" maxValue="0.3546099290780142"/>
    </cacheField>
    <cacheField name="p(A)" numFmtId="0">
      <sharedItems containsBlank="1" containsMixedTypes="1" containsNumber="1" minValue="5.8823529411764705E-2" maxValue="0.63694267515923564"/>
    </cacheField>
    <cacheField name="JUICE" numFmtId="0">
      <sharedItems containsBlank="1" containsMixedTypes="1" containsNumber="1" minValue="-0.13723994293430586" maxValue="-4.6939619520264708E-2"/>
    </cacheField>
    <cacheField name="CustGC" numFmtId="0">
      <sharedItems containsBlank="1" containsMixedTypes="1" containsNumber="1" minValue="8.3333333333333329E-2" maxValue="1"/>
    </cacheField>
    <cacheField name="CustGV" numFmtId="0">
      <sharedItems containsBlank="1" containsMixedTypes="1" containsNumber="1" minValue="4.4444444444444446E-2" maxValue="1"/>
    </cacheField>
    <cacheField name="T" numFmtId="0">
      <sharedItems containsBlank="1"/>
    </cacheField>
    <cacheField name="MPTC" numFmtId="0">
      <sharedItems containsString="0" containsBlank="1" containsNumber="1" minValue="0.7142857142857143" maxValue="3"/>
    </cacheField>
    <cacheField name="MPTV" numFmtId="0">
      <sharedItems containsString="0" containsBlank="1" containsNumber="1" minValue="0.2" maxValue="2"/>
    </cacheField>
    <cacheField name="DPMPTC" numFmtId="0">
      <sharedItems containsString="0" containsBlank="1" containsNumber="1" minValue="0" maxValue="1.505545305418162"/>
    </cacheField>
    <cacheField name="DPMPTV" numFmtId="0">
      <sharedItems containsString="0" containsBlank="1" containsNumber="1" minValue="0.44721359549995793" maxValue="1.6035674514745464"/>
    </cacheField>
    <cacheField name="CVMPTC" numFmtId="0">
      <sharedItems containsString="0" containsBlank="1" containsNumber="1" minValue="0" maxValue="1.5577761927397231"/>
    </cacheField>
    <cacheField name="CVMPTV" numFmtId="0">
      <sharedItems containsString="0" containsBlank="1" containsNumber="1" minValue="0.72499643772279587" maxValue="2.6457513110645907"/>
    </cacheField>
    <cacheField name="T1" numFmtId="0">
      <sharedItems containsBlank="1"/>
    </cacheField>
    <cacheField name="MGOLEFC" numFmtId="0">
      <sharedItems containsString="0" containsBlank="1" containsNumber="1" minValue="0" maxValue="0.25"/>
    </cacheField>
    <cacheField name="MGOLESC" numFmtId="0">
      <sharedItems containsString="0" containsBlank="1" containsNumber="1" minValue="0" maxValue="0.2857142857142857"/>
    </cacheField>
    <cacheField name="MGOLEFV" numFmtId="0">
      <sharedItems containsString="0" containsBlank="1" containsNumber="1" minValue="0" maxValue="0.14285714285714285"/>
    </cacheField>
    <cacheField name="MGOLESV" numFmtId="0">
      <sharedItems containsString="0" containsBlank="1" containsNumber="1" minValue="0" maxValue="0.4"/>
    </cacheField>
    <cacheField name="T2" numFmtId="0">
      <sharedItems containsBlank="1" containsMixedTypes="1" containsNumber="1" containsInteger="1" minValue="0" maxValue="0"/>
    </cacheField>
    <cacheField name="MGC" numFmtId="0">
      <sharedItems containsString="0" containsBlank="1" containsNumber="1" minValue="0.66666666666666663" maxValue="2.25"/>
    </cacheField>
    <cacheField name="MGV" numFmtId="0">
      <sharedItems containsString="0" containsBlank="1" containsNumber="1" minValue="0.25" maxValue="1.8571428571428572"/>
    </cacheField>
    <cacheField name="DPMGC" numFmtId="0">
      <sharedItems containsString="0" containsBlank="1" containsNumber="1" minValue="0.53452248382484868" maxValue="1.8708286933869707"/>
    </cacheField>
    <cacheField name="DPMGV" numFmtId="0">
      <sharedItems containsString="0" containsBlank="1" containsNumber="1" minValue="0" maxValue="1.4960264830861913"/>
    </cacheField>
    <cacheField name="CVMGC" numFmtId="0">
      <sharedItems containsString="0" containsBlank="1" containsNumber="1" minValue="0.37416573867739406" maxValue="1.7206230751033911"/>
    </cacheField>
    <cacheField name="CVMGV" numFmtId="0">
      <sharedItems containsString="0" containsBlank="1" containsNumber="1" minValue="0" maxValue="2.0944370763206677"/>
    </cacheField>
    <cacheField name="T3" numFmtId="0">
      <sharedItems containsBlank="1" containsMixedTypes="1" containsNumber="1" containsInteger="1" minValue="0" maxValue="0"/>
    </cacheField>
    <cacheField name="MGSC" numFmtId="0">
      <sharedItems containsString="0" containsBlank="1" containsNumber="1" minValue="0.33333333333333331" maxValue="2.1428571428571428"/>
    </cacheField>
    <cacheField name="MGSV" numFmtId="0">
      <sharedItems containsString="0" containsBlank="1" containsNumber="1" minValue="0.8" maxValue="2.8"/>
    </cacheField>
    <cacheField name="DPMGSC" numFmtId="0">
      <sharedItems containsString="0" containsBlank="1" containsNumber="1" minValue="0.48795003647426666" maxValue="1.5735915849388862"/>
    </cacheField>
    <cacheField name="DPMGSV" numFmtId="0">
      <sharedItems containsString="0" containsBlank="1" containsNumber="1" minValue="0" maxValue="1.6761634196950514"/>
    </cacheField>
    <cacheField name="CVMGSC" numFmtId="0">
      <sharedItems containsString="0" containsBlank="1" containsNumber="1" minValue="0.36514837167011072" maxValue="2.4494897427831783"/>
    </cacheField>
    <cacheField name="CVMGSV" numFmtId="0">
      <sharedItems containsString="0" containsBlank="1" containsNumber="1" minValue="0" maxValue="1.4028542333400147"/>
    </cacheField>
    <cacheField name="T4" numFmtId="0">
      <sharedItems containsBlank="1" containsMixedTypes="1" containsNumber="1" containsInteger="1" minValue="0" maxValue="0"/>
    </cacheField>
    <cacheField name="FCAtC" numFmtId="0">
      <sharedItems containsString="0" containsBlank="1" containsNumber="1" minValue="0.41484554411437879" maxValue="1.4001037113860284"/>
    </cacheField>
    <cacheField name="FCAtV" numFmtId="0">
      <sharedItems containsString="0" containsBlank="1" containsNumber="1" minValue="0.24002743170648072" maxValue="1.7830609212481425"/>
    </cacheField>
    <cacheField name="FCDfC" numFmtId="0">
      <sharedItems containsString="0" containsBlank="1" containsNumber="1" minValue="0.31952527673171294" maxValue="2.054091064703869"/>
    </cacheField>
    <cacheField name="FCDfV" numFmtId="0">
      <sharedItems containsString="0" containsBlank="1" containsNumber="1" minValue="0.50310698510144491" maxValue="1.7608744478550569"/>
    </cacheField>
    <cacheField name="FCSALDC" numFmtId="0">
      <sharedItems containsString="0" containsBlank="1" containsNumber="1" minValue="-1.1651363273159143" maxValue="0.98555996349939456"/>
    </cacheField>
    <cacheField name="FCSALDV" numFmtId="0">
      <sharedItems containsString="0" containsBlank="1" containsNumber="1" minValue="-0.99278666639431856" maxValue="0.81128085886207812"/>
    </cacheField>
    <cacheField name="T5" numFmtId="0">
      <sharedItems containsBlank="1" containsMixedTypes="1" containsNumber="1" containsInteger="1" minValue="0" maxValue="0"/>
    </cacheField>
    <cacheField name="ODDMC" numFmtId="0">
      <sharedItems containsString="0" containsBlank="1" containsNumber="1" minValue="1.3420000000000001" maxValue="3.2399999999999998"/>
    </cacheField>
    <cacheField name="ODDMV" numFmtId="0">
      <sharedItems containsString="0" containsBlank="1" containsNumber="1" minValue="2.0550000000000002" maxValue="7.3214285714285712"/>
    </cacheField>
    <cacheField name="DPODDMC" numFmtId="0">
      <sharedItems containsString="0" containsBlank="1" containsNumber="1" minValue="0.11686174167222851" maxValue="1.4041937188294209"/>
    </cacheField>
    <cacheField name="DPODDMV" numFmtId="0">
      <sharedItems containsString="0" containsBlank="1" containsNumber="1" minValue="0.26770630673681689" maxValue="4.386803804485405"/>
    </cacheField>
    <cacheField name="CVODDMC" numFmtId="0">
      <sharedItems containsString="0" containsBlank="1" containsNumber="1" minValue="7.6967118554705935E-2" maxValue="0.4680645729431403"/>
    </cacheField>
    <cacheField name="CVODDMV" numFmtId="0">
      <sharedItems containsString="0" containsBlank="1" containsNumber="1" minValue="0.10230814270196824" maxValue="0.5991732025638602"/>
    </cacheField>
    <cacheField name="T6" numFmtId="0">
      <sharedItems containsBlank="1" containsMixedTypes="1" containsNumber="1" containsInteger="1" minValue="0" maxValue="0"/>
    </cacheField>
    <cacheField name="WR0,5FTC" numFmtId="0">
      <sharedItems containsString="0" containsBlank="1" containsNumber="1" minValue="0.8" maxValue="1"/>
    </cacheField>
    <cacheField name="WR0,5FTV" numFmtId="0">
      <sharedItems containsString="0" containsBlank="1" containsNumber="1" minValue="0.66666666666666663" maxValue="1"/>
    </cacheField>
    <cacheField name="WR1,5FTC" numFmtId="0">
      <sharedItems containsString="0" containsBlank="1" containsNumber="1" minValue="0.5" maxValue="1"/>
    </cacheField>
    <cacheField name="WR1,5FTV" numFmtId="0">
      <sharedItems containsString="0" containsBlank="1" containsNumber="1" minValue="0.5" maxValue="1"/>
    </cacheField>
    <cacheField name="WR2,5FTC" numFmtId="0">
      <sharedItems containsString="0" containsBlank="1" containsNumber="1" minValue="0" maxValue="1"/>
    </cacheField>
    <cacheField name="WR2,5FTV" numFmtId="0">
      <sharedItems containsString="0" containsBlank="1" containsNumber="1" minValue="0" maxValue="0.8571428571428571"/>
    </cacheField>
    <cacheField name="WR3,5FTC" numFmtId="0">
      <sharedItems containsString="0" containsBlank="1" containsNumber="1" minValue="0" maxValue="0.75"/>
    </cacheField>
    <cacheField name="WR3,5FTV" numFmtId="0">
      <sharedItems containsString="0" containsBlank="1" containsNumber="1" minValue="0" maxValue="0.6"/>
    </cacheField>
    <cacheField name="WR4,5FTC" numFmtId="0">
      <sharedItems containsString="0" containsBlank="1" containsNumber="1" minValue="0" maxValue="0.42857142857142855"/>
    </cacheField>
    <cacheField name="WR4,5FTV" numFmtId="0">
      <sharedItems containsString="0" containsBlank="1" containsNumber="1" minValue="0" maxValue="0.42857142857142855"/>
    </cacheField>
    <cacheField name="WR5,5FTC" numFmtId="0">
      <sharedItems containsString="0" containsBlank="1" containsNumber="1" minValue="0" maxValue="0.2857142857142857"/>
    </cacheField>
    <cacheField name="WR5,5FTV" numFmtId="0">
      <sharedItems containsString="0" containsBlank="1" containsNumber="1" minValue="0" maxValue="0.2857142857142857"/>
    </cacheField>
    <cacheField name="T7" numFmtId="0">
      <sharedItems containsBlank="1" containsMixedTypes="1" containsNumber="1" containsInteger="1" minValue="0" maxValue="0"/>
    </cacheField>
    <cacheField name="AMBFTC" numFmtId="0">
      <sharedItems containsString="0" containsBlank="1" containsNumber="1" minValue="0.16666666666666666" maxValue="0.8571428571428571"/>
    </cacheField>
    <cacheField name="AMBFTV" numFmtId="0">
      <sharedItems containsString="0" containsBlank="1" containsNumber="1" minValue="0.14285714285714285" maxValue="1"/>
    </cacheField>
    <cacheField name="T8" numFmtId="0">
      <sharedItems containsBlank="1" containsMixedTypes="1" containsNumber="1" containsInteger="1" minValue="0" maxValue="0"/>
    </cacheField>
    <cacheField name="PESOGC" numFmtId="0">
      <sharedItems containsString="0" containsBlank="1" containsNumber="1" minValue="0.17611304684475418" maxValue="0.6801154543955138"/>
    </cacheField>
    <cacheField name="PESOGV" numFmtId="0">
      <sharedItems containsString="0" containsBlank="1" containsNumber="1" minValue="0.16339869281045752" maxValue="0.92322866436511619"/>
    </cacheField>
    <cacheField name="DPPGC" numFmtId="0">
      <sharedItems containsString="0" containsBlank="1" containsNumber="1" minValue="8.0075693235642897E-2" maxValue="0.64327890732763138"/>
    </cacheField>
    <cacheField name="DPPGV" numFmtId="0">
      <sharedItems containsString="0" containsBlank="1" containsNumber="1" minValue="0.23973502731277266" maxValue="0.87641175450748032"/>
    </cacheField>
    <cacheField name="CVPGC" numFmtId="0">
      <sharedItems containsString="0" containsBlank="1" containsNumber="1" minValue="0.32448115443708953" maxValue="1.1186759674764253"/>
    </cacheField>
    <cacheField name="CVPGV" numFmtId="0">
      <sharedItems containsString="0" containsBlank="1" containsNumber="1" minValue="0.55082113962703738" maxValue="2"/>
    </cacheField>
    <cacheField name="T9" numFmtId="0">
      <sharedItems containsBlank="1" containsMixedTypes="1" containsNumber="1" containsInteger="1" minValue="0" maxValue="0"/>
    </cacheField>
    <cacheField name="CUSTGC2" numFmtId="0">
      <sharedItems containsString="0" containsBlank="1" containsNumber="1" minValue="0.31469271413076905" maxValue="0.6700421194975491"/>
    </cacheField>
    <cacheField name="CUSTGV2" numFmtId="0">
      <sharedItems containsString="0" containsBlank="1" containsNumber="1" minValue="0.24665471923536444" maxValue="0.79166666666666674"/>
    </cacheField>
    <cacheField name="DPCGC" numFmtId="0">
      <sharedItems containsString="0" containsBlank="1" containsNumber="1" minValue="0.10784089341813685" maxValue="0.41881392853490812"/>
    </cacheField>
    <cacheField name="DPCGV" numFmtId="0">
      <sharedItems containsString="0" containsBlank="1" containsNumber="1" minValue="0.10015140260341478" maxValue="0.45843527844383786"/>
    </cacheField>
    <cacheField name="CVCGC" numFmtId="0">
      <sharedItems containsString="0" containsBlank="1" containsNumber="1" minValue="0.2903945639993073" maxValue="1.1012789945400698"/>
    </cacheField>
    <cacheField name="CVCGV" numFmtId="0">
      <sharedItems containsString="0" containsBlank="1" containsNumber="1" minValue="0.4060388664522071" maxValue="1.4039723302084335"/>
    </cacheField>
    <cacheField name="T10" numFmtId="0">
      <sharedItems containsBlank="1" containsMixedTypes="1" containsNumber="1" containsInteger="1" minValue="0" maxValue="0"/>
    </cacheField>
    <cacheField name="MPT*ODDC" numFmtId="0">
      <sharedItems containsString="0" containsBlank="1" containsNumber="1" minValue="1.4193877551020408" maxValue="6.5"/>
    </cacheField>
    <cacheField name="MPT*ODDV" numFmtId="0">
      <sharedItems containsString="0" containsBlank="1" containsNumber="1" minValue="0.80800000000000005" maxValue="9.8847222222222211"/>
    </cacheField>
    <cacheField name="T11" numFmtId="0">
      <sharedItems containsBlank="1" containsMixedTypes="1" containsNumber="1" containsInteger="1" minValue="0" maxValue="0"/>
    </cacheField>
    <cacheField name="PLTTBCKC" numFmtId="0">
      <sharedItems containsString="0" containsBlank="1" containsNumber="1" minValue="-5.63" maxValue="4.1500000000000004"/>
    </cacheField>
    <cacheField name="PLTTBCKV" numFmtId="0">
      <sharedItems containsString="0" containsBlank="1" containsNumber="1" minValue="-7" maxValue="14.75"/>
    </cacheField>
    <cacheField name="PLEMPC" numFmtId="0">
      <sharedItems containsString="0" containsBlank="1" containsNumber="1" minValue="-6" maxValue="5.9"/>
    </cacheField>
    <cacheField name="PLEMPV" numFmtId="0">
      <sharedItems containsString="0" containsBlank="1" containsNumber="1" minValue="-7" maxValue="6.6"/>
    </cacheField>
  </cacheFields>
  <extLst>
    <ext xmlns:x14="http://schemas.microsoft.com/office/spreadsheetml/2009/9/main" uri="{725AE2AE-9491-48be-B2B4-4EB974FC3084}">
      <x14:pivotCacheDefinition pivotCacheId="11533668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u Computador" refreshedDate="46135.625743518518" createdVersion="7" refreshedVersion="8" minRefreshableVersion="3" recordCount="413" xr:uid="{56C93BB8-30DE-4C60-880B-3BC42AA63291}">
  <cacheSource type="worksheet">
    <worksheetSource name="Tabela1"/>
  </cacheSource>
  <cacheFields count="42">
    <cacheField name="Date" numFmtId="14">
      <sharedItems containsNonDate="0" containsDate="1" containsString="0" containsBlank="1" minDate="2026-01-28T00:00:00" maxDate="2026-04-20T00:00:00"/>
    </cacheField>
    <cacheField name="HomeTeam" numFmtId="0">
      <sharedItems containsBlank="1" count="181">
        <s v="Atletico-MG"/>
        <s v="Coritiba"/>
        <s v="Internacional"/>
        <s v="Vitoria"/>
        <s v="Fluminense"/>
        <s v="Chapecoense-SC"/>
        <s v="Corinthians"/>
        <s v="Sao Paulo"/>
        <s v="Mirassol"/>
        <s v="Botafogo RJ"/>
        <s v="Bragantino"/>
        <s v="Flamengo RJ"/>
        <s v="Remo"/>
        <s v="Santos"/>
        <s v="Gremio"/>
        <s v="Palmeiras"/>
        <s v="Bahia"/>
        <s v="Vasco"/>
        <s v="Cruzeiro"/>
        <s v="Athletico-PR"/>
        <m/>
        <s v="Fortaleza" u="1"/>
        <s v="Juventude" u="1"/>
        <s v="Ceara" u="1"/>
        <s v="Sport Recife" u="1"/>
        <s v="America MG" u="1"/>
        <s v="Cuiaba" u="1"/>
        <s v="Goias" u="1"/>
        <s v="Port Vale" u="1"/>
        <s v="Ath Bilbao" u="1"/>
        <s v="Osasuna" u="1"/>
        <s v="Helmond" u="1"/>
        <s v="Shrewsbury" u="1"/>
        <s v="Cambridge" u="1"/>
        <s v="Milton Keynes Dons" u="1"/>
        <s v="Jong AZ" u="1"/>
        <s v="Zwolle" u="1"/>
        <s v="Carlisle" u="1"/>
        <s v="Swindon" u="1"/>
        <s v="Alaves" u="1"/>
        <s v="Sheffield United" u="1"/>
        <s v="Harrogate" u="1"/>
        <s v="Willem II" u="1"/>
        <s v="Wycombe" u="1"/>
        <s v="Nott'm Forest" u="1"/>
        <s v="Den Haag" u="1"/>
        <s v="Salernitana" u="1"/>
        <s v="Cheltenham" u="1"/>
        <s v="Juventus" u="1"/>
        <s v="Luton" u="1"/>
        <s v="Heracles" u="1"/>
        <s v="Hartlepool" u="1"/>
        <s v="Sheffield Weds" u="1"/>
        <s v="Blackburn" u="1"/>
        <s v="Inter" u="1"/>
        <s v="Empoli" u="1"/>
        <s v="Cadiz" u="1"/>
        <s v="Exeter" u="1"/>
        <s v="Charlton" u="1"/>
        <s v="Swansea" u="1"/>
        <s v="Ipswich" u="1"/>
        <s v="Almere City" u="1"/>
        <s v="Mallorca" u="1"/>
        <s v="Sunderland" u="1"/>
        <s v="Milan" u="1"/>
        <s v="Preston" u="1"/>
        <s v="Torino" u="1"/>
        <s v="Mansfield" u="1"/>
        <s v="Celta" u="1"/>
        <s v="Scunthorpe" u="1"/>
        <s v="Birmingham" u="1"/>
        <s v="Dordrecht" u="1"/>
        <s v="Sutton" u="1"/>
        <s v="Rochdale" u="1"/>
        <s v="Londrina" u="1"/>
        <s v="Hull" u="1"/>
        <s v="Morecambe" u="1"/>
        <s v="Sociedad" u="1"/>
        <s v="Lincoln" u="1"/>
        <s v="Salford" u="1"/>
        <s v="Stoke" u="1"/>
        <s v="Vila Nova FC" u="1"/>
        <s v="Avai" u="1"/>
        <s v="Bologna" u="1"/>
        <s v="Bristol Rvs" u="1"/>
        <s v="Oxford" u="1"/>
        <s v="Genoa" u="1"/>
        <s v="Den Bosch" u="1"/>
        <s v="Portsmouth" u="1"/>
        <s v="Barnsley" u="1"/>
        <s v="Cruzeiro " u="1"/>
        <s v="Middlesbrough" u="1"/>
        <s v="Leyton Orient" u="1"/>
        <s v="Telstar" u="1"/>
        <s v="Operario" u="1"/>
        <s v="Peterboro" u="1"/>
        <s v="Verona" u="1"/>
        <s v="Accrington" u="1"/>
        <s v="Bolton" u="1"/>
        <s v="Tombense" u="1"/>
        <s v="Ponte Preta" u="1"/>
        <s v="Granada" u="1"/>
        <s v="Vallecano" u="1"/>
        <s v="Betis" u="1"/>
        <s v="Jong Ajax" u="1"/>
        <s v="Brusque" u="1"/>
        <s v="Villarreal" u="1"/>
        <s v="Barrow" u="1"/>
        <s v="Eindhoven FC" u="1"/>
        <s v="Elche" u="1"/>
        <s v="Stevenage" u="1"/>
        <s v="Huddersfield" u="1"/>
        <s v="Udinese" u="1"/>
        <s v="Sampdoria" u="1"/>
        <s v="Fiorentina" u="1"/>
        <s v="Bristol City" u="1"/>
        <s v="Fleetwood Town" u="1"/>
        <s v="Newport County" u="1"/>
        <s v="Burton" u="1"/>
        <s v="Walsall" u="1"/>
        <s v="Ath Madrid" u="1"/>
        <s v="Lazio" u="1"/>
        <s v="Tranmere" u="1"/>
        <s v="Sevilla" u="1"/>
        <s v="Atletico GO" u="1"/>
        <s v="HomeTeam" u="1"/>
        <s v="Wigan" u="1"/>
        <s v="Levante" u="1"/>
        <s v="Sassuolo" u="1"/>
        <s v="Graafschap" u="1"/>
        <s v="Botafogo SP" u="1"/>
        <s v="Napoli" u="1"/>
        <s v="Bradford" u="1"/>
        <s v="Guarani " u="1"/>
        <s v="Sampaio Correa" u="1"/>
        <s v="Derby" u="1"/>
        <s v="Doncaster" u="1"/>
        <s v="Plymouth" u="1"/>
        <s v="Roda" u="1"/>
        <s v="Crewe" u="1"/>
        <s v="Colchester" u="1"/>
        <s v="West Brom" u="1"/>
        <s v="Getafe" u="1"/>
        <s v="QPR" u="1"/>
        <s v="Nautico" u="1"/>
        <s v="Jong Utrecht" u="1"/>
        <s v="Maastricht" u="1"/>
        <s v="Barcelona" u="1"/>
        <s v="Crawley Town" u="1"/>
        <s v="Breda" u="1"/>
        <s v="CSA" u="1"/>
        <s v="Roma" u="1"/>
        <s v="Gillingham" u="1"/>
        <s v="Guarani" u="1"/>
        <s v="Valencia" u="1"/>
        <s v="Cagliari" u="1"/>
        <s v="Cardiff" u="1"/>
        <s v="Coventry" u="1"/>
        <s v="Real Madrid" u="1"/>
        <s v="Forest Green" u="1"/>
        <s v="Oss" u="1"/>
        <s v="Bournemouth" u="1"/>
        <s v="Northampton" u="1"/>
        <s v="ABC" u="1"/>
        <s v="Atalanta" u="1"/>
        <s v="Espanol" u="1"/>
        <s v="Novorizontino" u="1"/>
        <s v="Reading" u="1"/>
        <s v="Venezia" u="1"/>
        <s v="Rotherham" u="1"/>
        <s v="AFC Wimbledon" u="1"/>
        <s v="Blackpool" u="1"/>
        <s v="Fulham" u="1"/>
        <s v="Criciuma" u="1"/>
        <s v="Millwall" u="1"/>
        <s v="Venlo" u="1"/>
        <s v="Ituano" u="1"/>
        <s v="Oldham" u="1"/>
        <s v="Spezia" u="1"/>
        <s v="CRB" u="1"/>
        <s v="Jong PSV" u="1"/>
      </sharedItems>
    </cacheField>
    <cacheField name="AwayTeam" numFmtId="0">
      <sharedItems containsBlank="1" count="179">
        <s v="Palmeiras"/>
        <s v="Bragantino"/>
        <s v="Athletico-PR"/>
        <s v="Remo"/>
        <s v="Gremio"/>
        <s v="Santos"/>
        <s v="Bahia"/>
        <s v="Flamengo RJ"/>
        <s v="Vasco"/>
        <s v="Cruzeiro"/>
        <s v="Atletico-MG"/>
        <s v="Internacional"/>
        <s v="Mirassol"/>
        <s v="Sao Paulo"/>
        <s v="Botafogo RJ"/>
        <s v="Vitoria"/>
        <s v="Fluminense"/>
        <s v="Chapecoense-SC"/>
        <s v="Coritiba"/>
        <s v="Corinthians"/>
        <m/>
        <s v="Sport Recife" u="1"/>
        <s v="Ceara" u="1"/>
        <s v="Juventude" u="1"/>
        <s v="Fortaleza" u="1"/>
        <s v="Goias" u="1"/>
        <s v="Cuiaba" u="1"/>
        <s v="America MG" u="1"/>
        <s v="Port Vale" u="1"/>
        <s v="Ath Bilbao" u="1"/>
        <s v="Osasuna" u="1"/>
        <s v="Helmond" u="1"/>
        <s v="Shrewsbury" u="1"/>
        <s v="Cambridge" u="1"/>
        <s v="Milton Keynes Dons" u="1"/>
        <s v="Jong AZ" u="1"/>
        <s v="Zwolle" u="1"/>
        <s v="Carlisle" u="1"/>
        <s v="Swindon" u="1"/>
        <s v="Alaves" u="1"/>
        <s v="Sheffield United" u="1"/>
        <s v="Harrogate" u="1"/>
        <s v="Willem II" u="1"/>
        <s v="Wycombe" u="1"/>
        <s v="Nott'm Forest" u="1"/>
        <s v="Den Haag" u="1"/>
        <s v="Salernitana" u="1"/>
        <s v="Cheltenham" u="1"/>
        <s v="Juventus" u="1"/>
        <s v="Luton" u="1"/>
        <s v="Heracles" u="1"/>
        <s v="Hartlepool" u="1"/>
        <s v="Sheffield Weds" u="1"/>
        <s v="Blackburn" u="1"/>
        <s v="Inter" u="1"/>
        <s v="Empoli" u="1"/>
        <s v="Cadiz" u="1"/>
        <s v="Exeter" u="1"/>
        <s v="Charlton" u="1"/>
        <s v="Swansea" u="1"/>
        <s v="Ipswich" u="1"/>
        <s v="Almere City" u="1"/>
        <s v="Mallorca" u="1"/>
        <s v="Sunderland" u="1"/>
        <s v="Milan" u="1"/>
        <s v="Preston" u="1"/>
        <s v="Torino" u="1"/>
        <s v="Mansfield" u="1"/>
        <s v="Celta" u="1"/>
        <s v="Scunthorpe" u="1"/>
        <s v="Birmingham" u="1"/>
        <s v="Dordrecht" u="1"/>
        <s v="Sutton" u="1"/>
        <s v="Rochdale" u="1"/>
        <s v="Londrina" u="1"/>
        <s v="Hull" u="1"/>
        <s v="Morecambe" u="1"/>
        <s v="Sociedad" u="1"/>
        <s v="Lincoln" u="1"/>
        <s v="Salford" u="1"/>
        <s v="Stoke" u="1"/>
        <s v="Vila Nova FC" u="1"/>
        <s v="Avai" u="1"/>
        <s v="Bologna" u="1"/>
        <s v="Bristol Rvs" u="1"/>
        <s v="Oxford" u="1"/>
        <s v="Genoa" u="1"/>
        <s v="Den Bosch" u="1"/>
        <s v="Portsmouth" u="1"/>
        <s v="Barnsley" u="1"/>
        <s v="Middlesbrough" u="1"/>
        <s v="Leyton Orient" u="1"/>
        <s v="Telstar" u="1"/>
        <s v="Operario" u="1"/>
        <s v="Peterboro" u="1"/>
        <s v="Verona" u="1"/>
        <s v="Accrington" u="1"/>
        <s v="Bolton" u="1"/>
        <s v="Tombense" u="1"/>
        <s v="Ponte Preta" u="1"/>
        <s v="Granada" u="1"/>
        <s v="Vallecano" u="1"/>
        <s v="Betis" u="1"/>
        <s v="Jong Ajax" u="1"/>
        <s v="Brusque" u="1"/>
        <s v="Villarreal" u="1"/>
        <s v="Barrow" u="1"/>
        <s v="Eindhoven FC" u="1"/>
        <s v="Elche" u="1"/>
        <s v="Stevenage" u="1"/>
        <s v="Huddersfield" u="1"/>
        <s v="Udinese" u="1"/>
        <s v="Sampdoria" u="1"/>
        <s v="Fiorentina" u="1"/>
        <s v="Bristol City" u="1"/>
        <s v="Fleetwood Town" u="1"/>
        <s v="Newport County" u="1"/>
        <s v="Burton" u="1"/>
        <s v="Walsall" u="1"/>
        <s v="AwayTeam" u="1"/>
        <s v="Ath Madrid" u="1"/>
        <s v="Lazio" u="1"/>
        <s v="Tranmere" u="1"/>
        <s v="Sevilla" u="1"/>
        <s v="Atletico GO" u="1"/>
        <s v="Wigan" u="1"/>
        <s v="Levante" u="1"/>
        <s v="Sassuolo" u="1"/>
        <s v="Graafschap" u="1"/>
        <s v="Botafogo SP" u="1"/>
        <s v="Napoli" u="1"/>
        <s v="Bradford" u="1"/>
        <s v="Sampaio Correa" u="1"/>
        <s v="Derby" u="1"/>
        <s v="Doncaster" u="1"/>
        <s v="Plymouth" u="1"/>
        <s v="Roda" u="1"/>
        <s v="Crewe" u="1"/>
        <s v="Colchester" u="1"/>
        <s v="West Brom" u="1"/>
        <s v="Getafe" u="1"/>
        <s v="QPR" u="1"/>
        <s v="Nautico" u="1"/>
        <s v="Jong Utrecht" u="1"/>
        <s v="Maastricht" u="1"/>
        <s v="Barcelona" u="1"/>
        <s v="Crawley Town" u="1"/>
        <s v="Breda" u="1"/>
        <s v="CSA" u="1"/>
        <s v="Roma" u="1"/>
        <s v="Gillingham" u="1"/>
        <s v="Guarani" u="1"/>
        <s v="Valencia" u="1"/>
        <s v="Cagliari" u="1"/>
        <s v="Cardiff" u="1"/>
        <s v="Coventry" u="1"/>
        <s v="Real Madrid" u="1"/>
        <s v="Forest Green" u="1"/>
        <s v="Oss" u="1"/>
        <s v="Bournemouth" u="1"/>
        <s v="Northampton" u="1"/>
        <s v="ABC" u="1"/>
        <s v="Atalanta" u="1"/>
        <s v="Espanol" u="1"/>
        <s v="Novorizontino" u="1"/>
        <s v="Reading" u="1"/>
        <s v="Venezia" u="1"/>
        <s v="Rotherham" u="1"/>
        <s v="AFC Wimbledon" u="1"/>
        <s v="Blackpool" u="1"/>
        <s v="Fulham" u="1"/>
        <s v="Criciuma" u="1"/>
        <s v="Millwall" u="1"/>
        <s v="Venlo" u="1"/>
        <s v="Ituano" u="1"/>
        <s v="Oldham" u="1"/>
        <s v="Spezia" u="1"/>
        <s v="CRB" u="1"/>
        <s v="Jong PSV" u="1"/>
      </sharedItems>
    </cacheField>
    <cacheField name="FTHG" numFmtId="0">
      <sharedItems containsString="0" containsBlank="1" containsNumber="1" containsInteger="1" minValue="0" maxValue="5"/>
    </cacheField>
    <cacheField name="FTAG" numFmtId="0">
      <sharedItems containsString="0" containsBlank="1" containsNumber="1" containsInteger="1" minValue="0" maxValue="4"/>
    </cacheField>
    <cacheField name="FTR" numFmtId="0">
      <sharedItems containsBlank="1"/>
    </cacheField>
    <cacheField name="ODDC" numFmtId="0">
      <sharedItems containsString="0" containsBlank="1" containsNumber="1" minValue="1.1299999999999999" maxValue="5.75"/>
    </cacheField>
    <cacheField name="ODDE" numFmtId="0">
      <sharedItems containsString="0" containsBlank="1" containsNumber="1" minValue="2.82" maxValue="7.5"/>
    </cacheField>
    <cacheField name="ODDV" numFmtId="0">
      <sharedItems containsString="0" containsBlank="1" containsNumber="1" minValue="1.57" maxValue="17"/>
    </cacheField>
    <cacheField name="PTC" numFmtId="0">
      <sharedItems containsMixedTypes="1" containsNumber="1" containsInteger="1" minValue="0" maxValue="3"/>
    </cacheField>
    <cacheField name="PTV" numFmtId="0">
      <sharedItems containsMixedTypes="1" containsNumber="1" containsInteger="1" minValue="0" maxValue="3"/>
    </cacheField>
    <cacheField name="GC/ODDV" numFmtId="2">
      <sharedItems containsMixedTypes="1" containsNumber="1" minValue="0" maxValue="1.7021276595744681"/>
    </cacheField>
    <cacheField name="GV/ODDC" numFmtId="2">
      <sharedItems containsMixedTypes="1" containsNumber="1" minValue="0" maxValue="2.1276595744680851"/>
    </cacheField>
    <cacheField name="PESOPTC" numFmtId="2">
      <sharedItems containsMixedTypes="1" containsNumber="1" minValue="0" maxValue="11.399999999999999"/>
    </cacheField>
    <cacheField name="PESOPTV" numFmtId="2">
      <sharedItems containsMixedTypes="1" containsNumber="1" minValue="0" maxValue="28.5"/>
    </cacheField>
    <cacheField name="SLDC" numFmtId="0">
      <sharedItems containsMixedTypes="1" containsNumber="1" containsInteger="1" minValue="-4" maxValue="4"/>
    </cacheField>
    <cacheField name="SLDV" numFmtId="0">
      <sharedItems containsMixedTypes="1" containsNumber="1" containsInteger="1" minValue="-4" maxValue="4"/>
    </cacheField>
    <cacheField name="PLBACKC" numFmtId="0">
      <sharedItems containsMixedTypes="1" containsNumber="1" minValue="-1" maxValue="2.8"/>
    </cacheField>
    <cacheField name="PLBACKV" numFmtId="0">
      <sharedItems containsMixedTypes="1" containsNumber="1" minValue="-1" maxValue="8.5"/>
    </cacheField>
    <cacheField name="PLEMP" numFmtId="0">
      <sharedItems containsMixedTypes="1" containsNumber="1" minValue="-1" maxValue="3.5"/>
    </cacheField>
    <cacheField name="GOLEAC" numFmtId="1">
      <sharedItems containsMixedTypes="1" containsNumber="1" containsInteger="1" minValue="0" maxValue="1"/>
    </cacheField>
    <cacheField name="GOLEAV" numFmtId="1">
      <sharedItems containsMixedTypes="1" containsNumber="1" containsInteger="1" minValue="0" maxValue="1"/>
    </cacheField>
    <cacheField name="0,5FT" numFmtId="1">
      <sharedItems containsMixedTypes="1" containsNumber="1" containsInteger="1" minValue="0" maxValue="1"/>
    </cacheField>
    <cacheField name="1,5FT" numFmtId="1">
      <sharedItems containsMixedTypes="1" containsNumber="1" containsInteger="1" minValue="0" maxValue="1"/>
    </cacheField>
    <cacheField name="2,5FT" numFmtId="1">
      <sharedItems containsMixedTypes="1" containsNumber="1" containsInteger="1" minValue="0" maxValue="1"/>
    </cacheField>
    <cacheField name="3,5FT" numFmtId="1">
      <sharedItems containsMixedTypes="1" containsNumber="1" containsInteger="1" minValue="0" maxValue="1"/>
    </cacheField>
    <cacheField name="4,5FT" numFmtId="1">
      <sharedItems containsMixedTypes="1" containsNumber="1" containsInteger="1" minValue="0" maxValue="1"/>
    </cacheField>
    <cacheField name="5,5FT" numFmtId="1">
      <sharedItems containsMixedTypes="1" containsNumber="1" containsInteger="1" minValue="0" maxValue="1"/>
    </cacheField>
    <cacheField name="AMBFT" numFmtId="1">
      <sharedItems containsMixedTypes="1" containsNumber="1" containsInteger="1" minValue="0" maxValue="1"/>
    </cacheField>
    <cacheField name="MÊS" numFmtId="14">
      <sharedItems/>
    </cacheField>
    <cacheField name="CONTAG" numFmtId="164">
      <sharedItems containsMixedTypes="1" containsNumber="1" containsInteger="1" minValue="1" maxValue="419" count="4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s v=""/>
        <n v="417" u="1"/>
        <n v="352" u="1"/>
        <n v="287" u="1"/>
        <n v="239" u="1"/>
        <n v="174" u="1"/>
        <n v="385" u="1"/>
        <n v="320" u="1"/>
        <n v="223" u="1"/>
        <n v="158" u="1"/>
        <n v="418" u="1"/>
        <n v="353" u="1"/>
        <n v="288" u="1"/>
        <n v="207" u="1"/>
        <n v="142" u="1"/>
        <n v="386" u="1"/>
        <n v="321" u="1"/>
        <n v="256" u="1"/>
        <n v="191" u="1"/>
        <n v="127" u="1"/>
        <n v="419" u="1"/>
        <n v="354" u="1"/>
        <n v="289" u="1"/>
        <n v="240" u="1"/>
        <n v="175" u="1"/>
        <n v="119" u="1"/>
        <n v="387" u="1"/>
        <n v="322" u="1"/>
        <n v="257" u="1"/>
        <n v="224" u="1"/>
        <n v="159" u="1"/>
        <n v="355" u="1"/>
        <n v="290" u="1"/>
        <n v="208" u="1"/>
        <n v="143" u="1"/>
        <n v="388" u="1"/>
        <n v="323" u="1"/>
        <n v="258" u="1"/>
        <n v="192" u="1"/>
        <n v="356" u="1"/>
        <n v="291" u="1"/>
        <n v="241" u="1"/>
        <n v="176" u="1"/>
        <n v="389" u="1"/>
        <n v="324" u="1"/>
        <n v="259" u="1"/>
        <n v="225" u="1"/>
        <n v="160" u="1"/>
        <n v="357" u="1"/>
        <n v="292" u="1"/>
        <n v="209" u="1"/>
        <n v="144" u="1"/>
        <n v="390" u="1"/>
        <n v="325" u="1"/>
        <n v="260" u="1"/>
        <n v="193" u="1"/>
        <n v="128" u="1"/>
        <n v="358" u="1"/>
        <n v="293" u="1"/>
        <n v="242" u="1"/>
        <n v="177" u="1"/>
        <n v="120" u="1"/>
        <n v="391" u="1"/>
        <n v="326" u="1"/>
        <n v="261" u="1"/>
        <n v="226" u="1"/>
        <n v="161" u="1"/>
        <n v="359" u="1"/>
        <n v="294" u="1"/>
        <n v="210" u="1"/>
        <n v="145" u="1"/>
        <n v="392" u="1"/>
        <n v="327" u="1"/>
        <n v="262" u="1"/>
        <n v="194" u="1"/>
        <n v="129" u="1"/>
        <n v="360" u="1"/>
        <n v="295" u="1"/>
        <n v="243" u="1"/>
        <n v="178" u="1"/>
        <n v="393" u="1"/>
        <n v="328" u="1"/>
        <n v="263" u="1"/>
        <n v="227" u="1"/>
        <n v="162" u="1"/>
        <n v="361" u="1"/>
        <n v="296" u="1"/>
        <n v="211" u="1"/>
        <n v="146" u="1"/>
        <n v="394" u="1"/>
        <n v="329" u="1"/>
        <n v="264" u="1"/>
        <n v="195" u="1"/>
        <n v="130" u="1"/>
        <n v="362" u="1"/>
        <n v="297" u="1"/>
        <n v="244" u="1"/>
        <n v="179" u="1"/>
        <n v="121" u="1"/>
        <n v="395" u="1"/>
        <n v="330" u="1"/>
        <n v="265" u="1"/>
        <n v="228" u="1"/>
        <n v="163" u="1"/>
        <n v="363" u="1"/>
        <n v="298" u="1"/>
        <n v="212" u="1"/>
        <n v="147" u="1"/>
        <n v="396" u="1"/>
        <n v="331" u="1"/>
        <n v="266" u="1"/>
        <n v="196" u="1"/>
        <n v="131" u="1"/>
        <n v="364" u="1"/>
        <n v="299" u="1"/>
        <n v="245" u="1"/>
        <n v="180" u="1"/>
        <n v="397" u="1"/>
        <n v="332" u="1"/>
        <n v="267" u="1"/>
        <n v="229" u="1"/>
        <n v="164" u="1"/>
        <n v="365" u="1"/>
        <n v="300" u="1"/>
        <n v="213" u="1"/>
        <n v="148" u="1"/>
        <n v="398" u="1"/>
        <n v="333" u="1"/>
        <n v="268" u="1"/>
        <n v="197" u="1"/>
        <n v="132" u="1"/>
        <n v="366" u="1"/>
        <n v="301" u="1"/>
        <n v="246" u="1"/>
        <n v="181" u="1"/>
        <n v="122" u="1"/>
        <n v="399" u="1"/>
        <n v="334" u="1"/>
        <n v="269" u="1"/>
        <n v="230" u="1"/>
        <n v="165" u="1"/>
        <n v="367" u="1"/>
        <n v="302" u="1"/>
        <n v="214" u="1"/>
        <n v="149" u="1"/>
        <n v="400" u="1"/>
        <n v="335" u="1"/>
        <n v="270" u="1"/>
        <n v="198" u="1"/>
        <n v="133" u="1"/>
        <n v="368" u="1"/>
        <n v="303" u="1"/>
        <n v="247" u="1"/>
        <n v="182" u="1"/>
        <n v="401" u="1"/>
        <n v="336" u="1"/>
        <n v="271" u="1"/>
        <n v="231" u="1"/>
        <n v="166" u="1"/>
        <n v="369" u="1"/>
        <n v="304" u="1"/>
        <n v="215" u="1"/>
        <n v="150" u="1"/>
        <n v="402" u="1"/>
        <n v="337" u="1"/>
        <n v="272" u="1"/>
        <n v="199" u="1"/>
        <n v="134" u="1"/>
        <n v="370" u="1"/>
        <n v="305" u="1"/>
        <n v="248" u="1"/>
        <n v="183" u="1"/>
        <n v="123" u="1"/>
        <n v="403" u="1"/>
        <n v="338" u="1"/>
        <n v="273" u="1"/>
        <n v="232" u="1"/>
        <n v="167" u="1"/>
        <n v="371" u="1"/>
        <n v="306" u="1"/>
        <n v="216" u="1"/>
        <n v="151" u="1"/>
        <n v="404" u="1"/>
        <n v="339" u="1"/>
        <n v="274" u="1"/>
        <n v="200" u="1"/>
        <n v="135" u="1"/>
        <n v="372" u="1"/>
        <n v="307" u="1"/>
        <n v="249" u="1"/>
        <n v="184" u="1"/>
        <n v="405" u="1"/>
        <n v="340" u="1"/>
        <n v="275" u="1"/>
        <n v="233" u="1"/>
        <n v="168" u="1"/>
        <n v="373" u="1"/>
        <n v="308" u="1"/>
        <n v="217" u="1"/>
        <n v="152" u="1"/>
        <n v="406" u="1"/>
        <n v="341" u="1"/>
        <n v="276" u="1"/>
        <n v="201" u="1"/>
        <n v="136" u="1"/>
        <n v="374" u="1"/>
        <n v="309" u="1"/>
        <n v="250" u="1"/>
        <n v="185" u="1"/>
        <n v="124" u="1"/>
        <n v="407" u="1"/>
        <n v="342" u="1"/>
        <n v="277" u="1"/>
        <n v="234" u="1"/>
        <n v="169" u="1"/>
        <n v="375" u="1"/>
        <n v="310" u="1"/>
        <n v="218" u="1"/>
        <n v="153" u="1"/>
        <n v="408" u="1"/>
        <n v="343" u="1"/>
        <n v="278" u="1"/>
        <n v="202" u="1"/>
        <n v="137" u="1"/>
        <n v="376" u="1"/>
        <n v="311" u="1"/>
        <n v="251" u="1"/>
        <n v="186" u="1"/>
        <n v="409" u="1"/>
        <n v="344" u="1"/>
        <n v="279" u="1"/>
        <n v="235" u="1"/>
        <n v="170" u="1"/>
        <n v="377" u="1"/>
        <n v="312" u="1"/>
        <n v="219" u="1"/>
        <n v="154" u="1"/>
        <n v="410" u="1"/>
        <n v="345" u="1"/>
        <n v="280" u="1"/>
        <n v="203" u="1"/>
        <n v="138" u="1"/>
        <n v="378" u="1"/>
        <n v="313" u="1"/>
        <n v="252" u="1"/>
        <n v="187" u="1"/>
        <n v="125" u="1"/>
        <n v="411" u="1"/>
        <n v="346" u="1"/>
        <n v="281" u="1"/>
        <n v="236" u="1"/>
        <n v="171" u="1"/>
        <n v="379" u="1"/>
        <n v="314" u="1"/>
        <n v="220" u="1"/>
        <n v="155" u="1"/>
        <n v="412" u="1"/>
        <n v="347" u="1"/>
        <n v="282" u="1"/>
        <n v="204" u="1"/>
        <n v="139" u="1"/>
        <n v="380" u="1"/>
        <n v="315" u="1"/>
        <n v="253" u="1"/>
        <n v="188" u="1"/>
        <n v="413" u="1"/>
        <n v="348" u="1"/>
        <n v="283" u="1"/>
        <n v="237" u="1"/>
        <n v="172" u="1"/>
        <n v="381" u="1"/>
        <n v="316" u="1"/>
        <n v="221" u="1"/>
        <n v="156" u="1"/>
        <n v="414" u="1"/>
        <n v="349" u="1"/>
        <n v="284" u="1"/>
        <n v="205" u="1"/>
        <n v="140" u="1"/>
        <n v="382" u="1"/>
        <n v="317" u="1"/>
        <n v="254" u="1"/>
        <n v="189" u="1"/>
        <n v="126" u="1"/>
        <n v="415" u="1"/>
        <n v="350" u="1"/>
        <n v="285" u="1"/>
        <n v="238" u="1"/>
        <n v="173" u="1"/>
        <n v="118" u="1"/>
        <n v="383" u="1"/>
        <n v="318" u="1"/>
        <n v="222" u="1"/>
        <n v="157" u="1"/>
        <n v="416" u="1"/>
        <n v="351" u="1"/>
        <n v="286" u="1"/>
        <n v="206" u="1"/>
        <n v="141" u="1"/>
        <n v="384" u="1"/>
        <n v="319" u="1"/>
        <n v="255" u="1"/>
        <n v="190" u="1"/>
      </sharedItems>
    </cacheField>
    <cacheField name="VITC" numFmtId="0">
      <sharedItems containsMixedTypes="1" containsNumber="1" containsInteger="1" minValue="0" maxValue="1"/>
    </cacheField>
    <cacheField name="EMP" numFmtId="0">
      <sharedItems containsMixedTypes="1" containsNumber="1" containsInteger="1" minValue="0" maxValue="1"/>
    </cacheField>
    <cacheField name="VITV" numFmtId="0">
      <sharedItems containsMixedTypes="1" containsNumber="1" containsInteger="1" minValue="0" maxValue="1"/>
    </cacheField>
    <cacheField name="FAVC" numFmtId="0">
      <sharedItems/>
    </cacheField>
    <cacheField name="FAVV" numFmtId="0">
      <sharedItems/>
    </cacheField>
    <cacheField name="p(H)" numFmtId="0">
      <sharedItems containsMixedTypes="1" containsNumber="1" minValue="0.17391304347826086" maxValue="0.88495575221238942"/>
    </cacheField>
    <cacheField name="p(D)" numFmtId="0">
      <sharedItems containsMixedTypes="1" containsNumber="1" minValue="0.13333333333333333" maxValue="0.3546099290780142"/>
    </cacheField>
    <cacheField name="p(A)" numFmtId="0">
      <sharedItems containsMixedTypes="1" containsNumber="1" minValue="5.8823529411764705E-2" maxValue="0.63694267515923564"/>
    </cacheField>
    <cacheField name="JUICE" numFmtId="0">
      <sharedItems containsMixedTypes="1" containsNumber="1" minValue="-0.13723994293430586" maxValue="-4.6939619520264708E-2"/>
    </cacheField>
    <cacheField name="CustGC" numFmtId="0">
      <sharedItems containsMixedTypes="1" containsNumber="1" minValue="8.3333333333333329E-2" maxValue="1"/>
    </cacheField>
    <cacheField name="CustGV" numFmtId="0">
      <sharedItems containsMixedTypes="1" containsNumber="1" minValue="4.4444444444444446E-2" maxValue="1"/>
    </cacheField>
  </cacheFields>
  <extLst>
    <ext xmlns:x14="http://schemas.microsoft.com/office/spreadsheetml/2009/9/main" uri="{725AE2AE-9491-48be-B2B4-4EB974FC3084}">
      <x14:pivotCacheDefinition pivotCacheId="2383922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u Computador" refreshedDate="46135.625744328703" createdVersion="8" refreshedVersion="8" minRefreshableVersion="3" recordCount="1088" xr:uid="{A743158A-35AB-4C8B-BE88-4DFF3652B1B1}">
  <cacheSource type="worksheet">
    <worksheetSource ref="A1:AC1048576" sheet="BDBRA1"/>
  </cacheSource>
  <cacheFields count="29">
    <cacheField name="Date" numFmtId="0">
      <sharedItems containsNonDate="0" containsDate="1" containsString="0" containsBlank="1" minDate="2026-01-28T00:00:00" maxDate="2026-04-20T00:00:00" count="35">
        <d v="2026-01-28T00:00:00"/>
        <d v="2026-01-29T00:00:00"/>
        <d v="2026-01-30T00:00:00"/>
        <d v="2026-02-04T00:00:00"/>
        <d v="2026-02-05T00:00:00"/>
        <d v="2026-02-06T00:00:00"/>
        <d v="2026-02-11T00:00:00"/>
        <d v="2026-02-12T00:00:00"/>
        <d v="2026-02-13T00:00:00"/>
        <d v="2026-02-19T00:00:00"/>
        <d v="2026-02-25T00:00:00"/>
        <d v="2026-02-26T00:00:00"/>
        <d v="2026-03-11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9T00:00:00"/>
        <d v="2026-04-01T00:00:00"/>
        <d v="2026-04-02T00:00:00"/>
        <d v="2026-04-03T00:00:00"/>
        <d v="2026-04-04T00:00:00"/>
        <d v="2026-04-05T00:00:00"/>
        <d v="2026-04-06T00:00:00"/>
        <d v="2026-04-11T00:00:00"/>
        <d v="2026-04-12T00:00:00"/>
        <d v="2026-04-18T00:00:00"/>
        <d v="2026-04-19T00:00:00"/>
        <m/>
      </sharedItems>
    </cacheField>
    <cacheField name="HomeTeam" numFmtId="0">
      <sharedItems containsBlank="1"/>
    </cacheField>
    <cacheField name="AwayTeam" numFmtId="0">
      <sharedItems containsBlank="1"/>
    </cacheField>
    <cacheField name="FTHG" numFmtId="0">
      <sharedItems containsString="0" containsBlank="1" containsNumber="1" containsInteger="1" minValue="0" maxValue="5"/>
    </cacheField>
    <cacheField name="FTAG" numFmtId="0">
      <sharedItems containsString="0" containsBlank="1" containsNumber="1" containsInteger="1" minValue="0" maxValue="4"/>
    </cacheField>
    <cacheField name="FTR" numFmtId="0">
      <sharedItems containsBlank="1"/>
    </cacheField>
    <cacheField name="ODDC" numFmtId="0">
      <sharedItems containsString="0" containsBlank="1" containsNumber="1" minValue="1.1299999999999999" maxValue="5.75" count="50">
        <n v="3"/>
        <n v="2.7"/>
        <n v="1.96"/>
        <n v="1.79"/>
        <n v="1.53"/>
        <n v="2.2000000000000002"/>
        <n v="3.7"/>
        <n v="2.2999999999999998"/>
        <n v="2.0099999999999998"/>
        <n v="1.41"/>
        <n v="3.1"/>
        <n v="1.3"/>
        <n v="1.35"/>
        <n v="5.75"/>
        <n v="2.4"/>
        <n v="1.91"/>
        <n v="1.76"/>
        <n v="1.86"/>
        <n v="2.57"/>
        <n v="3.25"/>
        <n v="2.5"/>
        <n v="1.66"/>
        <n v="2.1"/>
        <n v="1.62"/>
        <n v="1.45"/>
        <n v="4"/>
        <n v="1.39"/>
        <n v="2.15"/>
        <n v="2.3199999999999998"/>
        <n v="4.0999999999999996"/>
        <n v="1.61"/>
        <n v="2.35"/>
        <n v="2.85"/>
        <n v="1.51"/>
        <n v="1.57"/>
        <n v="2.0499999999999998"/>
        <n v="1.1299999999999999"/>
        <n v="3.4"/>
        <n v="1.81"/>
        <n v="1.37"/>
        <n v="1.71"/>
        <n v="1.49"/>
        <n v="2.75"/>
        <n v="3.8"/>
        <n v="1.68"/>
        <n v="3.2"/>
        <n v="2.65"/>
        <n v="1.56"/>
        <n v="1.42"/>
        <m/>
      </sharedItems>
      <fieldGroup base="6">
        <rangePr autoStart="0" autoEnd="0" startNum="1.3" endNum="5.0999999999999996" groupInterval="0.2"/>
        <groupItems count="21">
          <s v="&lt;1,3 ou (vazio)"/>
          <s v="1,3-1,5"/>
          <s v="1,5-1,7"/>
          <s v="1,7-1,9"/>
          <s v="1,9-2,1"/>
          <s v="2,1-2,3"/>
          <s v="2,3-2,5"/>
          <s v="2,5-2,7"/>
          <s v="2,7-2,9"/>
          <s v="2,9-3,1"/>
          <s v="3,1-3,3"/>
          <s v="3,3-3,5"/>
          <s v="3,5-3,7"/>
          <s v="3,7-3,9"/>
          <s v="3,9-4,1"/>
          <s v="4,1-4,3"/>
          <s v="4,3-4,5"/>
          <s v="4,5-4,7"/>
          <s v="4,7-4,9"/>
          <s v="4,9-5,1"/>
          <s v="&gt;5,1"/>
        </groupItems>
      </fieldGroup>
    </cacheField>
    <cacheField name="ODDE" numFmtId="0">
      <sharedItems containsString="0" containsBlank="1" containsNumber="1" minValue="2.82" maxValue="7.5"/>
    </cacheField>
    <cacheField name="ODDV" numFmtId="0">
      <sharedItems containsString="0" containsBlank="1" containsNumber="1" minValue="1.57" maxValue="17"/>
    </cacheField>
    <cacheField name="PTC" numFmtId="0">
      <sharedItems containsBlank="1" containsMixedTypes="1" containsNumber="1" containsInteger="1" minValue="0" maxValue="3"/>
    </cacheField>
    <cacheField name="PTV" numFmtId="0">
      <sharedItems containsBlank="1" containsMixedTypes="1" containsNumber="1" containsInteger="1" minValue="0" maxValue="3"/>
    </cacheField>
    <cacheField name="GC/ODDV" numFmtId="0">
      <sharedItems containsBlank="1" containsMixedTypes="1" containsNumber="1" minValue="0" maxValue="1.7021276595744681"/>
    </cacheField>
    <cacheField name="GV/ODDC" numFmtId="0">
      <sharedItems containsBlank="1" containsMixedTypes="1" containsNumber="1" minValue="0" maxValue="2.1276595744680851"/>
    </cacheField>
    <cacheField name="PESOPTC" numFmtId="0">
      <sharedItems containsBlank="1" containsMixedTypes="1" containsNumber="1" minValue="0" maxValue="11.399999999999999"/>
    </cacheField>
    <cacheField name="PESOPTV" numFmtId="0">
      <sharedItems containsBlank="1" containsMixedTypes="1" containsNumber="1" minValue="0" maxValue="28.5"/>
    </cacheField>
    <cacheField name="SLDC" numFmtId="0">
      <sharedItems containsBlank="1" containsMixedTypes="1" containsNumber="1" containsInteger="1" minValue="-4" maxValue="4"/>
    </cacheField>
    <cacheField name="SLDV" numFmtId="0">
      <sharedItems containsBlank="1" containsMixedTypes="1" containsNumber="1" containsInteger="1" minValue="-4" maxValue="4"/>
    </cacheField>
    <cacheField name="PLBACKC" numFmtId="0">
      <sharedItems containsBlank="1" containsMixedTypes="1" containsNumber="1" minValue="-1" maxValue="2.8"/>
    </cacheField>
    <cacheField name="PLBACKV" numFmtId="0">
      <sharedItems containsBlank="1" containsMixedTypes="1" containsNumber="1" minValue="-1" maxValue="8.5"/>
    </cacheField>
    <cacheField name="PLEMP" numFmtId="0">
      <sharedItems containsBlank="1" containsMixedTypes="1" containsNumber="1" minValue="-1" maxValue="3.5"/>
    </cacheField>
    <cacheField name="GOLEAC" numFmtId="0">
      <sharedItems containsBlank="1" containsMixedTypes="1" containsNumber="1" containsInteger="1" minValue="0" maxValue="1"/>
    </cacheField>
    <cacheField name="GOLEAV" numFmtId="0">
      <sharedItems containsBlank="1" containsMixedTypes="1" containsNumber="1" containsInteger="1" minValue="0" maxValue="1"/>
    </cacheField>
    <cacheField name="0,5FT" numFmtId="0">
      <sharedItems containsBlank="1" containsMixedTypes="1" containsNumber="1" containsInteger="1" minValue="0" maxValue="1"/>
    </cacheField>
    <cacheField name="1,5FT" numFmtId="0">
      <sharedItems containsBlank="1" containsMixedTypes="1" containsNumber="1" containsInteger="1" minValue="0" maxValue="1"/>
    </cacheField>
    <cacheField name="2,5FT" numFmtId="0">
      <sharedItems containsBlank="1" containsMixedTypes="1" containsNumber="1" containsInteger="1" minValue="0" maxValue="1"/>
    </cacheField>
    <cacheField name="3,5FT" numFmtId="0">
      <sharedItems containsBlank="1" containsMixedTypes="1" containsNumber="1" containsInteger="1" minValue="0" maxValue="1"/>
    </cacheField>
    <cacheField name="4,5FT" numFmtId="0">
      <sharedItems containsBlank="1" containsMixedTypes="1" containsNumber="1" containsInteger="1" minValue="0" maxValue="1"/>
    </cacheField>
    <cacheField name="5,5FT" numFmtId="0">
      <sharedItems containsBlank="1" containsMixedTypes="1" containsNumber="1" containsInteger="1" minValue="0" maxValue="1"/>
    </cacheField>
    <cacheField name="AMBFT" numFmtId="0">
      <sharedItems containsBlank="1"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33504898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u Computador" refreshedDate="46135.625744791665" missingItemsLimit="0" createdVersion="7" refreshedVersion="8" minRefreshableVersion="3" recordCount="1088" xr:uid="{A0A5AB47-0831-4038-BD54-90D95FDA0854}">
  <cacheSource type="worksheet">
    <worksheetSource ref="A1:DP1048576" sheet="BDBRA1"/>
  </cacheSource>
  <cacheFields count="120">
    <cacheField name="Date" numFmtId="0">
      <sharedItems containsNonDate="0" containsDate="1" containsString="0" containsBlank="1" minDate="2026-01-28T00:00:00" maxDate="2026-04-20T00:00:00" count="35">
        <d v="2026-01-28T00:00:00"/>
        <d v="2026-01-29T00:00:00"/>
        <d v="2026-01-30T00:00:00"/>
        <d v="2026-02-04T00:00:00"/>
        <d v="2026-02-05T00:00:00"/>
        <d v="2026-02-06T00:00:00"/>
        <d v="2026-02-11T00:00:00"/>
        <d v="2026-02-12T00:00:00"/>
        <d v="2026-02-13T00:00:00"/>
        <d v="2026-02-19T00:00:00"/>
        <d v="2026-02-25T00:00:00"/>
        <d v="2026-02-26T00:00:00"/>
        <d v="2026-03-11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1T00:00:00"/>
        <d v="2026-03-22T00:00:00"/>
        <d v="2026-03-29T00:00:00"/>
        <d v="2026-04-01T00:00:00"/>
        <d v="2026-04-02T00:00:00"/>
        <d v="2026-04-03T00:00:00"/>
        <d v="2026-04-04T00:00:00"/>
        <d v="2026-04-05T00:00:00"/>
        <d v="2026-04-06T00:00:00"/>
        <d v="2026-04-11T00:00:00"/>
        <d v="2026-04-12T00:00:00"/>
        <d v="2026-04-18T00:00:00"/>
        <d v="2026-04-19T00:00:00"/>
        <m/>
      </sharedItems>
    </cacheField>
    <cacheField name="HomeTeam" numFmtId="0">
      <sharedItems containsBlank="1" count="21">
        <s v="Atletico-MG"/>
        <s v="Coritiba"/>
        <s v="Internacional"/>
        <s v="Vitoria"/>
        <s v="Fluminense"/>
        <s v="Chapecoense-SC"/>
        <s v="Corinthians"/>
        <s v="Sao Paulo"/>
        <s v="Mirassol"/>
        <s v="Botafogo RJ"/>
        <s v="Bragantino"/>
        <s v="Flamengo RJ"/>
        <s v="Remo"/>
        <s v="Santos"/>
        <s v="Gremio"/>
        <s v="Palmeiras"/>
        <s v="Bahia"/>
        <s v="Vasco"/>
        <s v="Cruzeiro"/>
        <s v="Athletico-PR"/>
        <m/>
      </sharedItems>
    </cacheField>
    <cacheField name="AwayTeam" numFmtId="0">
      <sharedItems containsBlank="1" count="21">
        <s v="Palmeiras"/>
        <s v="Bragantino"/>
        <s v="Athletico-PR"/>
        <s v="Remo"/>
        <s v="Gremio"/>
        <s v="Santos"/>
        <s v="Bahia"/>
        <s v="Flamengo RJ"/>
        <s v="Vasco"/>
        <s v="Cruzeiro"/>
        <s v="Atletico-MG"/>
        <s v="Internacional"/>
        <s v="Mirassol"/>
        <s v="Sao Paulo"/>
        <s v="Botafogo RJ"/>
        <s v="Vitoria"/>
        <s v="Fluminense"/>
        <s v="Chapecoense-SC"/>
        <s v="Coritiba"/>
        <s v="Corinthians"/>
        <m/>
      </sharedItems>
    </cacheField>
    <cacheField name="FTHG" numFmtId="0">
      <sharedItems containsString="0" containsBlank="1" containsNumber="1" containsInteger="1" minValue="0" maxValue="5"/>
    </cacheField>
    <cacheField name="FTAG" numFmtId="0">
      <sharedItems containsString="0" containsBlank="1" containsNumber="1" containsInteger="1" minValue="0" maxValue="4"/>
    </cacheField>
    <cacheField name="FTR" numFmtId="0">
      <sharedItems containsBlank="1"/>
    </cacheField>
    <cacheField name="ODDC" numFmtId="0">
      <sharedItems containsString="0" containsBlank="1" containsNumber="1" minValue="1.1299999999999999" maxValue="5.75" count="50">
        <n v="3"/>
        <n v="2.7"/>
        <n v="1.96"/>
        <n v="1.79"/>
        <n v="1.53"/>
        <n v="2.2000000000000002"/>
        <n v="3.7"/>
        <n v="2.2999999999999998"/>
        <n v="2.0099999999999998"/>
        <n v="1.41"/>
        <n v="3.1"/>
        <n v="1.3"/>
        <n v="1.35"/>
        <n v="5.75"/>
        <n v="2.4"/>
        <n v="1.91"/>
        <n v="1.76"/>
        <n v="1.86"/>
        <n v="2.57"/>
        <n v="3.25"/>
        <n v="2.5"/>
        <n v="1.66"/>
        <n v="2.1"/>
        <n v="1.62"/>
        <n v="1.45"/>
        <n v="4"/>
        <n v="1.39"/>
        <n v="2.15"/>
        <n v="2.3199999999999998"/>
        <n v="4.0999999999999996"/>
        <n v="1.61"/>
        <n v="2.35"/>
        <n v="2.85"/>
        <n v="1.51"/>
        <n v="1.57"/>
        <n v="2.0499999999999998"/>
        <n v="1.1299999999999999"/>
        <n v="3.4"/>
        <n v="1.81"/>
        <n v="1.37"/>
        <n v="1.71"/>
        <n v="1.49"/>
        <n v="2.75"/>
        <n v="3.8"/>
        <n v="1.68"/>
        <n v="3.2"/>
        <n v="2.65"/>
        <n v="1.56"/>
        <n v="1.42"/>
        <m/>
      </sharedItems>
    </cacheField>
    <cacheField name="ODDE" numFmtId="0">
      <sharedItems containsString="0" containsBlank="1" containsNumber="1" minValue="2.82" maxValue="7.5"/>
    </cacheField>
    <cacheField name="ODDV" numFmtId="0">
      <sharedItems containsString="0" containsBlank="1" containsNumber="1" minValue="1.57" maxValue="17" count="47">
        <n v="2.5"/>
        <n v="2.82"/>
        <n v="3.9"/>
        <n v="4.75"/>
        <n v="6"/>
        <n v="3.2"/>
        <n v="2.2000000000000002"/>
        <n v="4.5"/>
        <n v="3.4"/>
        <n v="4"/>
        <n v="7.5"/>
        <n v="2.4"/>
        <n v="3.3"/>
        <n v="10"/>
        <n v="3.6"/>
        <n v="9.5"/>
        <n v="1.57"/>
        <n v="2.65"/>
        <n v="4.2"/>
        <n v="3.1"/>
        <n v="5.5"/>
        <n v="2.25"/>
        <n v="2.85"/>
        <n v="2.15"/>
        <n v="3"/>
        <n v="5"/>
        <n v="3.75"/>
        <n v="3.7"/>
        <n v="5.25"/>
        <n v="6.5"/>
        <n v="1.86"/>
        <n v="3.25"/>
        <n v="1.91"/>
        <n v="4.33"/>
        <n v="2.2999999999999998"/>
        <n v="6.25"/>
        <n v="2.1"/>
        <n v="17"/>
        <n v="2.35"/>
        <n v="2.75"/>
        <n v="5.75"/>
        <n v="2.0499999999999998"/>
        <n v="3.5"/>
        <n v="11"/>
        <n v="1.96"/>
        <n v="4.0999999999999996"/>
        <m/>
      </sharedItems>
    </cacheField>
    <cacheField name="PTC" numFmtId="0">
      <sharedItems containsBlank="1" containsMixedTypes="1" containsNumber="1" containsInteger="1" minValue="0" maxValue="3"/>
    </cacheField>
    <cacheField name="PTV" numFmtId="0">
      <sharedItems containsBlank="1" containsMixedTypes="1" containsNumber="1" containsInteger="1" minValue="0" maxValue="3"/>
    </cacheField>
    <cacheField name="GC/ODDV" numFmtId="0">
      <sharedItems containsBlank="1" containsMixedTypes="1" containsNumber="1" minValue="0" maxValue="1.7021276595744681"/>
    </cacheField>
    <cacheField name="GV/ODDC" numFmtId="0">
      <sharedItems containsBlank="1" containsMixedTypes="1" containsNumber="1" minValue="0" maxValue="2.1276595744680851"/>
    </cacheField>
    <cacheField name="PESOPTC" numFmtId="0">
      <sharedItems containsBlank="1" containsMixedTypes="1" containsNumber="1" minValue="0" maxValue="11.399999999999999"/>
    </cacheField>
    <cacheField name="PESOPTV" numFmtId="0">
      <sharedItems containsBlank="1" containsMixedTypes="1" containsNumber="1" minValue="0" maxValue="28.5"/>
    </cacheField>
    <cacheField name="SLDC" numFmtId="0">
      <sharedItems containsBlank="1" containsMixedTypes="1" containsNumber="1" containsInteger="1" minValue="-4" maxValue="4"/>
    </cacheField>
    <cacheField name="SLDV" numFmtId="0">
      <sharedItems containsBlank="1" containsMixedTypes="1" containsNumber="1" containsInteger="1" minValue="-4" maxValue="4"/>
    </cacheField>
    <cacheField name="PLBACKC" numFmtId="0">
      <sharedItems containsBlank="1" containsMixedTypes="1" containsNumber="1" minValue="-1" maxValue="2.8"/>
    </cacheField>
    <cacheField name="PLBACKV" numFmtId="0">
      <sharedItems containsBlank="1" containsMixedTypes="1" containsNumber="1" minValue="-1" maxValue="8.5"/>
    </cacheField>
    <cacheField name="PLEMP" numFmtId="0">
      <sharedItems containsBlank="1" containsMixedTypes="1" containsNumber="1" minValue="-1" maxValue="3.5"/>
    </cacheField>
    <cacheField name="GOLEAC" numFmtId="0">
      <sharedItems containsBlank="1" containsMixedTypes="1" containsNumber="1" containsInteger="1" minValue="0" maxValue="1"/>
    </cacheField>
    <cacheField name="GOLEAV" numFmtId="0">
      <sharedItems containsBlank="1" containsMixedTypes="1" containsNumber="1" containsInteger="1" minValue="0" maxValue="1"/>
    </cacheField>
    <cacheField name="0,5FT" numFmtId="0">
      <sharedItems containsBlank="1" containsMixedTypes="1" containsNumber="1" containsInteger="1" minValue="0" maxValue="1"/>
    </cacheField>
    <cacheField name="1,5FT" numFmtId="0">
      <sharedItems containsBlank="1" containsMixedTypes="1" containsNumber="1" containsInteger="1" minValue="0" maxValue="1"/>
    </cacheField>
    <cacheField name="2,5FT" numFmtId="0">
      <sharedItems containsBlank="1" containsMixedTypes="1" containsNumber="1" containsInteger="1" minValue="0" maxValue="1"/>
    </cacheField>
    <cacheField name="3,5FT" numFmtId="0">
      <sharedItems containsBlank="1" containsMixedTypes="1" containsNumber="1" containsInteger="1" minValue="0" maxValue="1"/>
    </cacheField>
    <cacheField name="4,5FT" numFmtId="0">
      <sharedItems containsBlank="1" containsMixedTypes="1" containsNumber="1" containsInteger="1" minValue="0" maxValue="1"/>
    </cacheField>
    <cacheField name="5,5FT" numFmtId="0">
      <sharedItems containsBlank="1" containsMixedTypes="1" containsNumber="1" containsInteger="1" minValue="0" maxValue="1"/>
    </cacheField>
    <cacheField name="AMBFT" numFmtId="0">
      <sharedItems containsBlank="1" containsMixedTypes="1" containsNumber="1" containsInteger="1" minValue="0" maxValue="1"/>
    </cacheField>
    <cacheField name="MÊS" numFmtId="0">
      <sharedItems containsBlank="1"/>
    </cacheField>
    <cacheField name="CONTAG" numFmtId="164">
      <sharedItems containsBlank="1" containsMixedTypes="1" containsNumber="1" containsInteger="1" minValue="1" maxValue="117" count="11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s v=""/>
        <m/>
      </sharedItems>
    </cacheField>
    <cacheField name="VITC" numFmtId="0">
      <sharedItems containsBlank="1" containsMixedTypes="1" containsNumber="1" containsInteger="1" minValue="0" maxValue="1"/>
    </cacheField>
    <cacheField name="EMP" numFmtId="0">
      <sharedItems containsBlank="1" containsMixedTypes="1" containsNumber="1" containsInteger="1" minValue="0" maxValue="1"/>
    </cacheField>
    <cacheField name="VITV" numFmtId="0">
      <sharedItems containsBlank="1" containsMixedTypes="1" containsNumber="1" containsInteger="1" minValue="0" maxValue="1"/>
    </cacheField>
    <cacheField name="FAVC" numFmtId="0">
      <sharedItems containsBlank="1"/>
    </cacheField>
    <cacheField name="FAVV" numFmtId="0">
      <sharedItems containsBlank="1"/>
    </cacheField>
    <cacheField name="p(H)" numFmtId="0">
      <sharedItems containsBlank="1" containsMixedTypes="1" containsNumber="1" minValue="0.17391304347826086" maxValue="0.88495575221238942"/>
    </cacheField>
    <cacheField name="p(D)" numFmtId="0">
      <sharedItems containsBlank="1" containsMixedTypes="1" containsNumber="1" minValue="0.13333333333333333" maxValue="0.3546099290780142"/>
    </cacheField>
    <cacheField name="p(A)" numFmtId="0">
      <sharedItems containsBlank="1" containsMixedTypes="1" containsNumber="1" minValue="5.8823529411764705E-2" maxValue="0.63694267515923564"/>
    </cacheField>
    <cacheField name="JUICE" numFmtId="0">
      <sharedItems containsBlank="1" containsMixedTypes="1" containsNumber="1" minValue="-0.13723994293430586" maxValue="-4.6939619520264708E-2"/>
    </cacheField>
    <cacheField name="CustGC" numFmtId="0">
      <sharedItems containsBlank="1" containsMixedTypes="1" containsNumber="1" minValue="8.3333333333333329E-2" maxValue="1"/>
    </cacheField>
    <cacheField name="CustGV" numFmtId="0">
      <sharedItems containsBlank="1" containsMixedTypes="1" containsNumber="1" minValue="4.4444444444444446E-2" maxValue="1"/>
    </cacheField>
    <cacheField name="T" numFmtId="0">
      <sharedItems containsBlank="1"/>
    </cacheField>
    <cacheField name="MPTC" numFmtId="0">
      <sharedItems containsString="0" containsBlank="1" containsNumber="1" minValue="0.7142857142857143" maxValue="3"/>
    </cacheField>
    <cacheField name="MPTV" numFmtId="0">
      <sharedItems containsString="0" containsBlank="1" containsNumber="1" minValue="0.2" maxValue="2"/>
    </cacheField>
    <cacheField name="DPMPTC" numFmtId="0">
      <sharedItems containsString="0" containsBlank="1" containsNumber="1" minValue="0" maxValue="1.505545305418162"/>
    </cacheField>
    <cacheField name="DPMPTV" numFmtId="0">
      <sharedItems containsString="0" containsBlank="1" containsNumber="1" minValue="0.44721359549995793" maxValue="1.6035674514745464"/>
    </cacheField>
    <cacheField name="CVMPTC" numFmtId="0">
      <sharedItems containsString="0" containsBlank="1" containsNumber="1" minValue="0" maxValue="1.5577761927397231"/>
    </cacheField>
    <cacheField name="CVMPTV" numFmtId="0">
      <sharedItems containsString="0" containsBlank="1" containsNumber="1" minValue="0.72499643772279587" maxValue="2.6457513110645907"/>
    </cacheField>
    <cacheField name="T1" numFmtId="0">
      <sharedItems containsBlank="1"/>
    </cacheField>
    <cacheField name="MGOLEFC" numFmtId="0">
      <sharedItems containsString="0" containsBlank="1" containsNumber="1" minValue="0" maxValue="0.25"/>
    </cacheField>
    <cacheField name="MGOLESC" numFmtId="0">
      <sharedItems containsString="0" containsBlank="1" containsNumber="1" minValue="0" maxValue="0.2857142857142857"/>
    </cacheField>
    <cacheField name="MGOLEFV" numFmtId="0">
      <sharedItems containsString="0" containsBlank="1" containsNumber="1" minValue="0" maxValue="0.14285714285714285"/>
    </cacheField>
    <cacheField name="MGOLESV" numFmtId="0">
      <sharedItems containsString="0" containsBlank="1" containsNumber="1" minValue="0" maxValue="0.4"/>
    </cacheField>
    <cacheField name="T2" numFmtId="0">
      <sharedItems containsBlank="1" containsMixedTypes="1" containsNumber="1" containsInteger="1" minValue="0" maxValue="0"/>
    </cacheField>
    <cacheField name="MGC" numFmtId="0">
      <sharedItems containsString="0" containsBlank="1" containsNumber="1" minValue="0.66666666666666663" maxValue="2.25"/>
    </cacheField>
    <cacheField name="MGV" numFmtId="0">
      <sharedItems containsString="0" containsBlank="1" containsNumber="1" minValue="0.25" maxValue="1.8571428571428572"/>
    </cacheField>
    <cacheField name="DPMGC" numFmtId="0">
      <sharedItems containsString="0" containsBlank="1" containsNumber="1" minValue="0.53452248382484868" maxValue="1.8708286933869707"/>
    </cacheField>
    <cacheField name="DPMGV" numFmtId="0">
      <sharedItems containsString="0" containsBlank="1" containsNumber="1" minValue="0" maxValue="1.4960264830861913"/>
    </cacheField>
    <cacheField name="CVMGC" numFmtId="0">
      <sharedItems containsString="0" containsBlank="1" containsNumber="1" minValue="0.37416573867739406" maxValue="1.7206230751033911"/>
    </cacheField>
    <cacheField name="CVMGV" numFmtId="0">
      <sharedItems containsString="0" containsBlank="1" containsNumber="1" minValue="0" maxValue="2.0944370763206677"/>
    </cacheField>
    <cacheField name="T3" numFmtId="0">
      <sharedItems containsBlank="1" containsMixedTypes="1" containsNumber="1" containsInteger="1" minValue="0" maxValue="0"/>
    </cacheField>
    <cacheField name="MGSC" numFmtId="0">
      <sharedItems containsString="0" containsBlank="1" containsNumber="1" minValue="0.33333333333333331" maxValue="2.1428571428571428"/>
    </cacheField>
    <cacheField name="MGSV" numFmtId="0">
      <sharedItems containsString="0" containsBlank="1" containsNumber="1" minValue="0.8" maxValue="2.8"/>
    </cacheField>
    <cacheField name="DPMGSC" numFmtId="0">
      <sharedItems containsString="0" containsBlank="1" containsNumber="1" minValue="0.48795003647426666" maxValue="1.5735915849388862"/>
    </cacheField>
    <cacheField name="DPMGSV" numFmtId="0">
      <sharedItems containsString="0" containsBlank="1" containsNumber="1" minValue="0" maxValue="1.6761634196950514"/>
    </cacheField>
    <cacheField name="CVMGSC" numFmtId="0">
      <sharedItems containsString="0" containsBlank="1" containsNumber="1" minValue="0.36514837167011072" maxValue="2.4494897427831783"/>
    </cacheField>
    <cacheField name="CVMGSV" numFmtId="0">
      <sharedItems containsString="0" containsBlank="1" containsNumber="1" minValue="0" maxValue="1.4028542333400147"/>
    </cacheField>
    <cacheField name="T4" numFmtId="0">
      <sharedItems containsBlank="1" containsMixedTypes="1" containsNumber="1" containsInteger="1" minValue="0" maxValue="0"/>
    </cacheField>
    <cacheField name="FCAtC" numFmtId="0">
      <sharedItems containsString="0" containsBlank="1" containsNumber="1" minValue="0.41484554411437879" maxValue="1.4001037113860284"/>
    </cacheField>
    <cacheField name="FCAtV" numFmtId="0">
      <sharedItems containsString="0" containsBlank="1" containsNumber="1" minValue="0.24002743170648072" maxValue="1.7830609212481425"/>
    </cacheField>
    <cacheField name="FCDfC" numFmtId="0">
      <sharedItems containsString="0" containsBlank="1" containsNumber="1" minValue="0.31952527673171294" maxValue="2.054091064703869"/>
    </cacheField>
    <cacheField name="FCDfV" numFmtId="0">
      <sharedItems containsString="0" containsBlank="1" containsNumber="1" minValue="0.50310698510144491" maxValue="1.7608744478550569"/>
    </cacheField>
    <cacheField name="FCSALDC" numFmtId="0">
      <sharedItems containsString="0" containsBlank="1" containsNumber="1" minValue="-1.1651363273159143" maxValue="0.98555996349939456"/>
    </cacheField>
    <cacheField name="FCSALDV" numFmtId="0">
      <sharedItems containsString="0" containsBlank="1" containsNumber="1" minValue="-0.99278666639431856" maxValue="0.81128085886207812"/>
    </cacheField>
    <cacheField name="T5" numFmtId="0">
      <sharedItems containsBlank="1" containsMixedTypes="1" containsNumber="1" containsInteger="1" minValue="0" maxValue="0"/>
    </cacheField>
    <cacheField name="ODDMC" numFmtId="0">
      <sharedItems containsString="0" containsBlank="1" containsNumber="1" minValue="1.3420000000000001" maxValue="3.2399999999999998"/>
    </cacheField>
    <cacheField name="ODDMV" numFmtId="0">
      <sharedItems containsString="0" containsBlank="1" containsNumber="1" minValue="2.0550000000000002" maxValue="7.3214285714285712"/>
    </cacheField>
    <cacheField name="DPODDMC" numFmtId="0">
      <sharedItems containsString="0" containsBlank="1" containsNumber="1" minValue="0.11686174167222851" maxValue="1.4041937188294209"/>
    </cacheField>
    <cacheField name="DPODDMV" numFmtId="0">
      <sharedItems containsString="0" containsBlank="1" containsNumber="1" minValue="0.26770630673681689" maxValue="4.386803804485405"/>
    </cacheField>
    <cacheField name="CVODDMC" numFmtId="0">
      <sharedItems containsString="0" containsBlank="1" containsNumber="1" minValue="7.6967118554705935E-2" maxValue="0.4680645729431403"/>
    </cacheField>
    <cacheField name="CVODDMV" numFmtId="0">
      <sharedItems containsString="0" containsBlank="1" containsNumber="1" minValue="0.10230814270196824" maxValue="0.5991732025638602"/>
    </cacheField>
    <cacheField name="T6" numFmtId="0">
      <sharedItems containsBlank="1" containsMixedTypes="1" containsNumber="1" containsInteger="1" minValue="0" maxValue="0"/>
    </cacheField>
    <cacheField name="WR0,5FTC" numFmtId="0">
      <sharedItems containsString="0" containsBlank="1" containsNumber="1" minValue="0.8" maxValue="1"/>
    </cacheField>
    <cacheField name="WR0,5FTV" numFmtId="0">
      <sharedItems containsString="0" containsBlank="1" containsNumber="1" minValue="0.66666666666666663" maxValue="1"/>
    </cacheField>
    <cacheField name="WR1,5FTC" numFmtId="0">
      <sharedItems containsString="0" containsBlank="1" containsNumber="1" minValue="0.5" maxValue="1"/>
    </cacheField>
    <cacheField name="WR1,5FTV" numFmtId="0">
      <sharedItems containsString="0" containsBlank="1" containsNumber="1" minValue="0.5" maxValue="1"/>
    </cacheField>
    <cacheField name="WR2,5FTC" numFmtId="0">
      <sharedItems containsString="0" containsBlank="1" containsNumber="1" minValue="0" maxValue="1"/>
    </cacheField>
    <cacheField name="WR2,5FTV" numFmtId="0">
      <sharedItems containsString="0" containsBlank="1" containsNumber="1" minValue="0" maxValue="0.8571428571428571"/>
    </cacheField>
    <cacheField name="WR3,5FTC" numFmtId="0">
      <sharedItems containsString="0" containsBlank="1" containsNumber="1" minValue="0" maxValue="0.75"/>
    </cacheField>
    <cacheField name="WR3,5FTV" numFmtId="0">
      <sharedItems containsString="0" containsBlank="1" containsNumber="1" minValue="0" maxValue="0.6"/>
    </cacheField>
    <cacheField name="WR4,5FTC" numFmtId="0">
      <sharedItems containsString="0" containsBlank="1" containsNumber="1" minValue="0" maxValue="0.42857142857142855"/>
    </cacheField>
    <cacheField name="WR4,5FTV" numFmtId="0">
      <sharedItems containsString="0" containsBlank="1" containsNumber="1" minValue="0" maxValue="0.42857142857142855"/>
    </cacheField>
    <cacheField name="WR5,5FTC" numFmtId="0">
      <sharedItems containsString="0" containsBlank="1" containsNumber="1" minValue="0" maxValue="0.2857142857142857"/>
    </cacheField>
    <cacheField name="WR5,5FTV" numFmtId="0">
      <sharedItems containsString="0" containsBlank="1" containsNumber="1" minValue="0" maxValue="0.2857142857142857"/>
    </cacheField>
    <cacheField name="T7" numFmtId="0">
      <sharedItems containsBlank="1" containsMixedTypes="1" containsNumber="1" containsInteger="1" minValue="0" maxValue="0"/>
    </cacheField>
    <cacheField name="AMBFTC" numFmtId="0">
      <sharedItems containsString="0" containsBlank="1" containsNumber="1" minValue="0.16666666666666666" maxValue="0.8571428571428571"/>
    </cacheField>
    <cacheField name="AMBFTV" numFmtId="0">
      <sharedItems containsString="0" containsBlank="1" containsNumber="1" minValue="0.14285714285714285" maxValue="1"/>
    </cacheField>
    <cacheField name="T8" numFmtId="0">
      <sharedItems containsBlank="1" containsMixedTypes="1" containsNumber="1" containsInteger="1" minValue="0" maxValue="0"/>
    </cacheField>
    <cacheField name="PESOGC" numFmtId="0">
      <sharedItems containsString="0" containsBlank="1" containsNumber="1" minValue="0.17611304684475418" maxValue="0.6801154543955138"/>
    </cacheField>
    <cacheField name="PESOGV" numFmtId="0">
      <sharedItems containsString="0" containsBlank="1" containsNumber="1" minValue="0.16339869281045752" maxValue="0.92322866436511619"/>
    </cacheField>
    <cacheField name="DPPGC" numFmtId="0">
      <sharedItems containsString="0" containsBlank="1" containsNumber="1" minValue="8.0075693235642897E-2" maxValue="0.64327890732763138"/>
    </cacheField>
    <cacheField name="DPPGV" numFmtId="0">
      <sharedItems containsString="0" containsBlank="1" containsNumber="1" minValue="0.23973502731277266" maxValue="0.87641175450748032"/>
    </cacheField>
    <cacheField name="CVPGC" numFmtId="0">
      <sharedItems containsString="0" containsBlank="1" containsNumber="1" minValue="0.32448115443708953" maxValue="1.1186759674764253"/>
    </cacheField>
    <cacheField name="CVPGV" numFmtId="0">
      <sharedItems containsString="0" containsBlank="1" containsNumber="1" minValue="0.55082113962703738" maxValue="2"/>
    </cacheField>
    <cacheField name="T9" numFmtId="0">
      <sharedItems containsBlank="1" containsMixedTypes="1" containsNumber="1" containsInteger="1" minValue="0" maxValue="0"/>
    </cacheField>
    <cacheField name="CUSTGC2" numFmtId="0">
      <sharedItems containsString="0" containsBlank="1" containsNumber="1" minValue="0.31469271413076905" maxValue="0.6700421194975491"/>
    </cacheField>
    <cacheField name="CUSTGV2" numFmtId="0">
      <sharedItems containsString="0" containsBlank="1" containsNumber="1" minValue="0.24665471923536444" maxValue="0.79166666666666674"/>
    </cacheField>
    <cacheField name="DPCGC" numFmtId="0">
      <sharedItems containsString="0" containsBlank="1" containsNumber="1" minValue="0.10784089341813685" maxValue="0.41881392853490812"/>
    </cacheField>
    <cacheField name="DPCGV" numFmtId="0">
      <sharedItems containsString="0" containsBlank="1" containsNumber="1" minValue="0.10015140260341478" maxValue="0.45843527844383786"/>
    </cacheField>
    <cacheField name="CVCGC" numFmtId="0">
      <sharedItems containsString="0" containsBlank="1" containsNumber="1" minValue="0.2903945639993073" maxValue="1.1012789945400698"/>
    </cacheField>
    <cacheField name="CVCGV" numFmtId="0">
      <sharedItems containsString="0" containsBlank="1" containsNumber="1" minValue="0.4060388664522071" maxValue="1.4039723302084335"/>
    </cacheField>
    <cacheField name="T10" numFmtId="0">
      <sharedItems containsBlank="1" containsMixedTypes="1" containsNumber="1" containsInteger="1" minValue="0" maxValue="0"/>
    </cacheField>
    <cacheField name="MPT*ODDC" numFmtId="0">
      <sharedItems containsString="0" containsBlank="1" containsNumber="1" minValue="1.4193877551020408" maxValue="6.5"/>
    </cacheField>
    <cacheField name="MPT*ODDV" numFmtId="0">
      <sharedItems containsString="0" containsBlank="1" containsNumber="1" minValue="0.80800000000000005" maxValue="9.8847222222222211"/>
    </cacheField>
    <cacheField name="T11" numFmtId="0">
      <sharedItems containsBlank="1" containsMixedTypes="1" containsNumber="1" containsInteger="1" minValue="0" maxValue="0"/>
    </cacheField>
    <cacheField name="PLTTBCKC" numFmtId="0">
      <sharedItems containsString="0" containsBlank="1" containsNumber="1" minValue="-5.63" maxValue="4.1500000000000004"/>
    </cacheField>
    <cacheField name="PLTTBCKV" numFmtId="0">
      <sharedItems containsString="0" containsBlank="1" containsNumber="1" minValue="-7" maxValue="14.75"/>
    </cacheField>
    <cacheField name="PLEMPC" numFmtId="0">
      <sharedItems containsString="0" containsBlank="1" containsNumber="1" minValue="-6" maxValue="5.9"/>
    </cacheField>
    <cacheField name="PLEMPV" numFmtId="0">
      <sharedItems containsString="0" containsBlank="1" containsNumber="1" minValue="-7" maxValue="6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x v="0"/>
    <x v="0"/>
    <n v="2"/>
    <n v="2"/>
    <s v="D"/>
    <x v="0"/>
    <x v="0"/>
    <x v="0"/>
    <n v="1"/>
    <n v="1"/>
    <n v="0.8"/>
    <n v="0.66666666666666663"/>
    <n v="3"/>
    <n v="2.5"/>
    <n v="0"/>
    <n v="0"/>
    <n v="-1"/>
    <n v="-1"/>
    <n v="2.1"/>
    <n v="0"/>
    <n v="0"/>
    <n v="1"/>
    <n v="1"/>
    <n v="1"/>
    <n v="1"/>
    <n v="0"/>
    <n v="0"/>
    <n v="1"/>
    <s v="JAN"/>
    <n v="1"/>
    <n v="0"/>
    <n v="1"/>
    <n v="0"/>
    <x v="0"/>
    <x v="0"/>
    <n v="0.33333333333333331"/>
    <n v="0.32258064516129031"/>
    <n v="0.4"/>
    <n v="-5.5913978494623651E-2"/>
    <n v="0.16666666666666666"/>
    <n v="0.2"/>
    <s v="Athletico-PR"/>
    <n v="2.5"/>
    <n v="0.66666666666666663"/>
    <n v="1.2247448713915889"/>
    <n v="1.2110601416389968"/>
    <n v="0.4898979485566356"/>
    <n v="1.8165902124584952"/>
    <s v="Athletico-PR"/>
    <n v="0.16666666666666666"/>
    <n v="0"/>
    <n v="0"/>
    <n v="0"/>
    <s v="Athletico-PR"/>
    <n v="2"/>
    <n v="0.83333333333333337"/>
    <n v="1.2649110640673518"/>
    <n v="0.752772652709081"/>
    <n v="0.63245553203367588"/>
    <n v="0.90332718325089711"/>
    <s v="Athletico-PR"/>
    <n v="0.66666666666666663"/>
    <n v="1.6666666666666667"/>
    <n v="0.51639777949432231"/>
    <n v="1.2110601416389966"/>
    <n v="0.77459666924148352"/>
    <n v="0.72663608498339793"/>
    <s v="Athletico-PR"/>
    <n v="1.2445366323431364"/>
    <n v="0.8000914390216024"/>
    <n v="0.63905055346342587"/>
    <n v="1.0481395522946768"/>
    <n v="0.60548607887971051"/>
    <n v="-0.24804811327307441"/>
    <s v="Athletico-PR"/>
    <n v="1.9733333333333334"/>
    <n v="4.5166666666666666"/>
    <n v="0.37961383887664901"/>
    <n v="1.1210114480533477"/>
    <n v="0.19237187780911266"/>
    <n v="0.24819441654317662"/>
    <s v="Athletico-PR"/>
    <n v="1"/>
    <n v="1"/>
    <n v="0.83333333333333337"/>
    <n v="0.66666666666666663"/>
    <n v="0.5"/>
    <n v="0.5"/>
    <n v="0.16666666666666666"/>
    <n v="0.16666666666666666"/>
    <n v="0.16666666666666666"/>
    <n v="0.16666666666666666"/>
    <n v="0"/>
    <n v="0"/>
    <s v="Athletico-PR"/>
    <n v="0.5"/>
    <n v="0.5"/>
    <s v="Athletico-PR"/>
    <n v="0.4750125499553417"/>
    <n v="0.43353757189804409"/>
    <n v="0.33317510664009814"/>
    <n v="0.41358329988006054"/>
    <n v="0.7014027454041406"/>
    <n v="0.95397337321740538"/>
    <s v="Athletico-PR"/>
    <n v="0.3742632776992425"/>
    <n v="0.48685232895759212"/>
    <n v="0.31508167354603622"/>
    <n v="0.40305061589849173"/>
    <n v="0.84187173126623305"/>
    <n v="0.82787036628020316"/>
    <s v="Athletico-PR"/>
    <n v="4.9333333333333336"/>
    <n v="3.0111111111111111"/>
    <s v="Athletico-PR"/>
    <n v="3.2699999999999996"/>
    <n v="-2.1"/>
    <n v="-6"/>
    <n v="-2.7"/>
  </r>
  <r>
    <x v="0"/>
    <x v="1"/>
    <x v="1"/>
    <n v="0"/>
    <n v="1"/>
    <s v="A"/>
    <x v="1"/>
    <x v="1"/>
    <x v="1"/>
    <n v="0"/>
    <n v="3"/>
    <n v="0"/>
    <n v="0.37037037037037035"/>
    <n v="0"/>
    <n v="8.4599999999999991"/>
    <n v="-1"/>
    <n v="1"/>
    <n v="-1"/>
    <n v="1.8199999999999998"/>
    <n v="-1"/>
    <n v="0"/>
    <n v="0"/>
    <n v="1"/>
    <n v="0"/>
    <n v="0"/>
    <n v="0"/>
    <n v="0"/>
    <n v="0"/>
    <n v="0"/>
    <s v="JAN"/>
    <n v="2"/>
    <n v="0"/>
    <n v="0"/>
    <n v="1"/>
    <x v="0"/>
    <x v="0"/>
    <n v="0.37037037037037035"/>
    <n v="0.3546099290780142"/>
    <n v="0.3546099290780142"/>
    <n v="-7.9590228526398743E-2"/>
    <n v="1"/>
    <n v="0.3546099290780142"/>
    <s v="Atletico-MG"/>
    <n v="2.2000000000000002"/>
    <n v="0.42857142857142855"/>
    <n v="1.0954451150103324"/>
    <n v="1.1338934190276817"/>
    <n v="0.49792959773196921"/>
    <n v="2.6457513110645907"/>
    <s v="Atletico-MG"/>
    <n v="0"/>
    <n v="0"/>
    <n v="0.14285714285714285"/>
    <n v="0"/>
    <s v="Atletico-MG"/>
    <n v="1.8"/>
    <n v="0.7142857142857143"/>
    <n v="0.83666002653407567"/>
    <n v="1.4960264830861913"/>
    <n v="0.46481112585226425"/>
    <n v="2.0944370763206677"/>
    <s v="Atletico-MG"/>
    <n v="1.2"/>
    <n v="1.2857142857142858"/>
    <n v="1.3038404810405297"/>
    <n v="0.75592894601845451"/>
    <n v="1.0865337342004415"/>
    <n v="0.58794473579213125"/>
    <s v="Atletico-MG"/>
    <n v="1.1200829691088228"/>
    <n v="0.6857926620185163"/>
    <n v="1.1502909962341668"/>
    <n v="0.80856479748446497"/>
    <n v="-3.0208027125343984E-2"/>
    <n v="-0.12277213546594867"/>
    <s v="Atletico-MG"/>
    <n v="2.1639999999999997"/>
    <n v="3.6785714285714279"/>
    <n v="0.57308812585849389"/>
    <n v="1.1582519669949309"/>
    <n v="0.26482815427841683"/>
    <n v="0.31486461238697155"/>
    <s v="Atletico-MG"/>
    <n v="1"/>
    <n v="1"/>
    <n v="0.6"/>
    <n v="0.5714285714285714"/>
    <n v="0.6"/>
    <n v="0.2857142857142857"/>
    <n v="0.4"/>
    <n v="0.14285714285714285"/>
    <n v="0.2"/>
    <n v="0"/>
    <n v="0.2"/>
    <n v="0"/>
    <s v="Atletico-MG"/>
    <n v="0.6"/>
    <n v="0.14285714285714285"/>
    <s v="Atletico-MG"/>
    <n v="0.47408970467794004"/>
    <n v="0.23609443777511002"/>
    <n v="0.22530835931776419"/>
    <n v="0.45104625220310357"/>
    <n v="0.47524415125365632"/>
    <n v="1.9104484478907728"/>
    <s v="Atletico-MG"/>
    <n v="0.31469271413076905"/>
    <n v="0.77253628724216961"/>
    <n v="0.14296173512206778"/>
    <n v="0.39194646907252156"/>
    <n v="0.45428994286363017"/>
    <n v="0.50735023784022815"/>
    <s v="Atletico-MG"/>
    <n v="4.7607999999999997"/>
    <n v="1.5765306122448977"/>
    <s v="Atletico-MG"/>
    <n v="1.4099999999999997"/>
    <n v="-4.8"/>
    <n v="2.5999999999999996"/>
    <n v="-7"/>
  </r>
  <r>
    <x v="0"/>
    <x v="2"/>
    <x v="2"/>
    <n v="0"/>
    <n v="1"/>
    <s v="A"/>
    <x v="2"/>
    <x v="2"/>
    <x v="2"/>
    <n v="0"/>
    <n v="3"/>
    <n v="0"/>
    <n v="0.51020408163265307"/>
    <n v="0"/>
    <n v="11.7"/>
    <n v="-1"/>
    <n v="1"/>
    <n v="-1"/>
    <n v="2.9"/>
    <n v="-1"/>
    <n v="0"/>
    <n v="0"/>
    <n v="1"/>
    <n v="0"/>
    <n v="0"/>
    <n v="0"/>
    <n v="0"/>
    <n v="0"/>
    <n v="0"/>
    <s v="JAN"/>
    <n v="3"/>
    <n v="0"/>
    <n v="0"/>
    <n v="1"/>
    <x v="1"/>
    <x v="1"/>
    <n v="0.51020408163265307"/>
    <n v="0.30769230769230771"/>
    <n v="0.25641025641025644"/>
    <n v="-7.430664573521728E-2"/>
    <n v="1"/>
    <n v="0.25641025641025644"/>
    <s v="Bahia"/>
    <n v="1.6"/>
    <n v="2"/>
    <n v="1.3416407864998738"/>
    <n v="1.5491933384829668"/>
    <n v="0.83852549156242107"/>
    <n v="0.7745966692414834"/>
    <s v="Bahia"/>
    <n v="0"/>
    <n v="0"/>
    <n v="0"/>
    <n v="0.16666666666666666"/>
    <s v="Bahia"/>
    <n v="1.6"/>
    <n v="1.1666666666666667"/>
    <n v="0.89442719099991574"/>
    <n v="0.75277265270908111"/>
    <n v="0.55901699437494734"/>
    <n v="0.64523370232206945"/>
    <s v="Bahia"/>
    <n v="0.8"/>
    <n v="1.3333333333333333"/>
    <n v="0.83666002653407556"/>
    <n v="1.505545305418162"/>
    <n v="1.0458250331675945"/>
    <n v="1.1291589790636216"/>
    <s v="Bahia"/>
    <n v="0.99562930587450926"/>
    <n v="1.1201280146302435"/>
    <n v="0.7668606641561112"/>
    <n v="0.83851164183574134"/>
    <n v="0.22876864171839806"/>
    <n v="0.28161637279450213"/>
    <s v="Bahia"/>
    <n v="1.9079999999999999"/>
    <n v="3.813333333333333"/>
    <n v="0.36162134892729997"/>
    <n v="1.4616657164573128"/>
    <n v="0.1895290088717505"/>
    <n v="0.38330394662342121"/>
    <s v="Bahia"/>
    <n v="1"/>
    <n v="1"/>
    <n v="1"/>
    <n v="0.66666666666666663"/>
    <n v="0.4"/>
    <n v="0.5"/>
    <n v="0"/>
    <n v="0.16666666666666666"/>
    <n v="0"/>
    <n v="0.16666666666666666"/>
    <n v="0"/>
    <n v="0"/>
    <s v="Bahia"/>
    <n v="0.6"/>
    <n v="0.5"/>
    <s v="Bahia"/>
    <n v="0.36633249791144523"/>
    <n v="0.53256401221517502"/>
    <n v="0.1655110764441656"/>
    <n v="0.3551297200870831"/>
    <n v="0.45180560662181585"/>
    <n v="0.66683011232760114"/>
    <s v="Bahia"/>
    <n v="0.39921173390428261"/>
    <n v="0.38039471096690153"/>
    <n v="0.15991301978631853"/>
    <n v="0.32134457795948462"/>
    <n v="0.4005719426690505"/>
    <n v="0.84476615656058662"/>
    <s v="Bahia"/>
    <n v="3.0528"/>
    <n v="7.626666666666666"/>
    <s v="Bahia"/>
    <n v="-1.6300000000000001"/>
    <n v="8.0300000000000011"/>
    <n v="1.9000000000000004"/>
    <n v="-6"/>
  </r>
  <r>
    <x v="0"/>
    <x v="3"/>
    <x v="3"/>
    <n v="2"/>
    <n v="0"/>
    <s v="H"/>
    <x v="3"/>
    <x v="3"/>
    <x v="3"/>
    <n v="3"/>
    <n v="0"/>
    <n v="0.42105263157894735"/>
    <n v="0"/>
    <n v="5.37"/>
    <n v="0"/>
    <n v="2"/>
    <n v="-2"/>
    <n v="0.79"/>
    <n v="-1"/>
    <n v="-1"/>
    <n v="0"/>
    <n v="0"/>
    <n v="1"/>
    <n v="1"/>
    <n v="0"/>
    <n v="0"/>
    <n v="0"/>
    <n v="0"/>
    <n v="0"/>
    <s v="JAN"/>
    <n v="4"/>
    <n v="1"/>
    <n v="0"/>
    <n v="0"/>
    <x v="1"/>
    <x v="2"/>
    <n v="0.55865921787709494"/>
    <n v="0.29411764705882354"/>
    <n v="0.21052631578947367"/>
    <n v="-6.3303180725392094E-2"/>
    <n v="0.27932960893854747"/>
    <n v="1"/>
    <s v="Botafogo RJ"/>
    <n v="1.75"/>
    <n v="1.2857142857142858"/>
    <n v="1.5"/>
    <n v="1.6035674514745464"/>
    <n v="0.8571428571428571"/>
    <n v="1.247219128924647"/>
    <s v="Botafogo RJ"/>
    <n v="0.25"/>
    <n v="0"/>
    <n v="0.14285714285714285"/>
    <n v="0.2857142857142857"/>
    <s v="Botafogo RJ"/>
    <n v="2.25"/>
    <n v="1.8571428571428572"/>
    <n v="1.707825127659933"/>
    <n v="1.3451854182690985"/>
    <n v="0.75903339007108128"/>
    <n v="0.72433060983720687"/>
    <s v="Botafogo RJ"/>
    <n v="1.75"/>
    <n v="2.1428571428571428"/>
    <n v="1.2583057392117916"/>
    <n v="1.6761634196950514"/>
    <n v="0.71903185097816658"/>
    <n v="0.78220959585769068"/>
    <s v="Botafogo RJ"/>
    <n v="1.4001037113860284"/>
    <n v="1.7830609212481425"/>
    <n v="1.6775077028414931"/>
    <n v="1.3476079958074416"/>
    <n v="-0.27740399145546468"/>
    <n v="0.43545292544070091"/>
    <s v="Botafogo RJ"/>
    <n v="2.6449999999999996"/>
    <n v="4.1728571428571426"/>
    <n v="0.99295854226985214"/>
    <n v="1.394927886854302"/>
    <n v="0.37540965681279859"/>
    <n v="0.33428603930092826"/>
    <s v="Botafogo RJ"/>
    <n v="1"/>
    <n v="1"/>
    <n v="1"/>
    <n v="0.8571428571428571"/>
    <n v="1"/>
    <n v="0.8571428571428571"/>
    <n v="0.75"/>
    <n v="0.42857142857142855"/>
    <n v="0.25"/>
    <n v="0.42857142857142855"/>
    <n v="0"/>
    <n v="0.14285714285714285"/>
    <s v="Botafogo RJ"/>
    <n v="0.5"/>
    <n v="0.8571428571428571"/>
    <s v="Botafogo RJ"/>
    <n v="0.66316526610644266"/>
    <n v="0.81337571546767562"/>
    <n v="0.53281883535184693"/>
    <n v="0.44802453853886198"/>
    <n v="0.80344804317047236"/>
    <n v="0.55082113962703738"/>
    <s v="Botafogo RJ"/>
    <n v="0.38029775434863217"/>
    <n v="0.26943544450747331"/>
    <n v="0.41881392853490812"/>
    <n v="0.32630667949906822"/>
    <n v="1.1012789945400698"/>
    <n v="1.2110755513089797"/>
    <s v="Botafogo RJ"/>
    <n v="4.6287499999999993"/>
    <n v="5.3651020408163266"/>
    <s v="Botafogo RJ"/>
    <n v="0.61999999999999966"/>
    <n v="3.16"/>
    <n v="-0.60000000000000009"/>
    <n v="-7"/>
  </r>
  <r>
    <x v="0"/>
    <x v="4"/>
    <x v="4"/>
    <n v="2"/>
    <n v="1"/>
    <s v="H"/>
    <x v="4"/>
    <x v="4"/>
    <x v="4"/>
    <n v="3"/>
    <n v="0"/>
    <n v="0.33333333333333331"/>
    <n v="0.65359477124183007"/>
    <n v="4.59"/>
    <n v="0"/>
    <n v="1"/>
    <n v="-1"/>
    <n v="0.53"/>
    <n v="-1"/>
    <n v="-1"/>
    <n v="0"/>
    <n v="0"/>
    <n v="1"/>
    <n v="1"/>
    <n v="1"/>
    <n v="0"/>
    <n v="0"/>
    <n v="0"/>
    <n v="1"/>
    <s v="JAN"/>
    <n v="5"/>
    <n v="1"/>
    <n v="0"/>
    <n v="0"/>
    <x v="2"/>
    <x v="3"/>
    <n v="0.65359477124183007"/>
    <n v="0.24390243902439027"/>
    <n v="0.16666666666666666"/>
    <n v="-6.4163876932886943E-2"/>
    <n v="0.32679738562091504"/>
    <n v="0.16666666666666666"/>
    <s v="Bragantino"/>
    <n v="1.6666666666666667"/>
    <n v="1.1666666666666667"/>
    <n v="1.505545305418162"/>
    <n v="1.4719601443879746"/>
    <n v="0.90332718325089711"/>
    <n v="1.261680123761121"/>
    <s v="Bragantino"/>
    <n v="0.16666666666666666"/>
    <n v="0"/>
    <n v="0"/>
    <n v="0"/>
    <s v="Bragantino"/>
    <n v="1.8333333333333333"/>
    <n v="0.66666666666666663"/>
    <n v="1.3291601358251257"/>
    <n v="0.51639777949432231"/>
    <n v="0.72499643772279587"/>
    <n v="0.77459666924148352"/>
    <s v="Bragantino"/>
    <n v="1.1666666666666667"/>
    <n v="1.1666666666666667"/>
    <n v="0.98319208025017513"/>
    <n v="0.98319208025017513"/>
    <n v="0.84273606878586438"/>
    <n v="0.84273606878586438"/>
    <s v="Bragantino"/>
    <n v="1.1408252463145416"/>
    <n v="0.64007315121728192"/>
    <n v="1.1183384685609954"/>
    <n v="0.73369768660627377"/>
    <n v="2.2486777753546239E-2"/>
    <n v="-9.3624535388991847E-2"/>
    <s v="Bragantino"/>
    <n v="2.253333333333333"/>
    <n v="3.92"/>
    <n v="0.80713485036062493"/>
    <n v="0.92617492948146696"/>
    <n v="0.35819593950915313"/>
    <n v="0.23626911466363953"/>
    <s v="Bragantino"/>
    <n v="1"/>
    <n v="1"/>
    <n v="0.83333333333333337"/>
    <n v="0.66666666666666663"/>
    <n v="0.66666666666666663"/>
    <n v="0.16666666666666666"/>
    <n v="0.16666666666666666"/>
    <n v="0"/>
    <n v="0.16666666666666666"/>
    <n v="0"/>
    <n v="0.16666666666666666"/>
    <n v="0"/>
    <s v="Bragantino"/>
    <n v="0.66666666666666663"/>
    <n v="0.33333333333333331"/>
    <s v="Bragantino"/>
    <n v="0.52263412400607534"/>
    <n v="0.30364686787721112"/>
    <n v="0.48249225130112866"/>
    <n v="0.23973502731277266"/>
    <n v="0.92319316542660335"/>
    <n v="0.78951918387551701"/>
    <s v="Bragantino"/>
    <n v="0.36894928871043348"/>
    <n v="0.53354966054434139"/>
    <n v="0.19197422428779828"/>
    <n v="0.36283873101375402"/>
    <n v="0.52032685835713188"/>
    <n v="0.68004678448033573"/>
    <s v="Bragantino"/>
    <n v="3.7555555555555551"/>
    <n v="4.5733333333333333"/>
    <s v="Bragantino"/>
    <n v="1.2999999999999996"/>
    <n v="0.41999999999999993"/>
    <n v="-2.7"/>
    <n v="-2.6"/>
  </r>
  <r>
    <x v="0"/>
    <x v="5"/>
    <x v="5"/>
    <n v="4"/>
    <n v="2"/>
    <s v="H"/>
    <x v="0"/>
    <x v="0"/>
    <x v="0"/>
    <n v="3"/>
    <n v="0"/>
    <n v="1.6"/>
    <n v="0.66666666666666663"/>
    <n v="9"/>
    <n v="0"/>
    <n v="2"/>
    <n v="-2"/>
    <n v="2"/>
    <n v="-1"/>
    <n v="-1"/>
    <n v="1"/>
    <n v="0"/>
    <n v="1"/>
    <n v="1"/>
    <n v="1"/>
    <n v="1"/>
    <n v="1"/>
    <n v="1"/>
    <n v="1"/>
    <s v="JAN"/>
    <n v="6"/>
    <n v="1"/>
    <n v="0"/>
    <n v="0"/>
    <x v="0"/>
    <x v="0"/>
    <n v="0.33333333333333331"/>
    <n v="0.32258064516129031"/>
    <n v="0.4"/>
    <n v="-5.5913978494623651E-2"/>
    <n v="8.3333333333333329E-2"/>
    <n v="0.2"/>
    <s v="Chapecoense-SC"/>
    <n v="1"/>
    <n v="0.25"/>
    <n v="1"/>
    <n v="0.5"/>
    <n v="1"/>
    <n v="2"/>
    <s v="Chapecoense-SC"/>
    <n v="0.14285714285714285"/>
    <n v="0.2857142857142857"/>
    <n v="0"/>
    <n v="0"/>
    <s v="Chapecoense-SC"/>
    <n v="1.4285714285714286"/>
    <n v="0.25"/>
    <n v="1.5118578920369088"/>
    <n v="0.5"/>
    <n v="1.0583005244258361"/>
    <n v="2"/>
    <s v="Chapecoense-SC"/>
    <n v="2.1428571428571428"/>
    <n v="1.75"/>
    <n v="1.5735915849388862"/>
    <n v="0.5"/>
    <n v="0.73434273963814689"/>
    <n v="0.2857142857142857"/>
    <s v="Chapecoense-SC"/>
    <n v="0.88895473738795461"/>
    <n v="0.24002743170648072"/>
    <n v="2.054091064703869"/>
    <n v="1.1005465299094106"/>
    <n v="-1.1651363273159143"/>
    <n v="-0.86051909820292982"/>
    <s v="Chapecoense-SC"/>
    <n v="3.0785714285714287"/>
    <n v="6.6875"/>
    <n v="0.43383670397314628"/>
    <n v="0.94372930440884373"/>
    <n v="0.14092143516529113"/>
    <n v="0.14111840065926634"/>
    <s v="Chapecoense-SC"/>
    <n v="0.8571428571428571"/>
    <n v="1"/>
    <n v="0.8571428571428571"/>
    <n v="1"/>
    <n v="0.5714285714285714"/>
    <n v="0"/>
    <n v="0.5714285714285714"/>
    <n v="0"/>
    <n v="0.42857142857142855"/>
    <n v="0"/>
    <n v="0.2857142857142857"/>
    <n v="0"/>
    <s v="Chapecoense-SC"/>
    <n v="0.7142857142857143"/>
    <n v="0.25"/>
    <s v="Chapecoense-SC"/>
    <n v="0.57724264652325463"/>
    <n v="0.16339869281045752"/>
    <n v="0.59029750826197802"/>
    <n v="0.32679738562091504"/>
    <n v="1.0226158996001995"/>
    <n v="2"/>
    <s v="Chapecoense-SC"/>
    <n v="0.46113394095850235"/>
    <n v="0.79166666666666674"/>
    <n v="0.3851050217130837"/>
    <n v="0.41666666666666635"/>
    <n v="0.83512616944355322"/>
    <n v="0.52631578947368374"/>
    <s v="Chapecoense-SC"/>
    <n v="3.0785714285714287"/>
    <n v="1.671875"/>
    <s v="Chapecoense-SC"/>
    <n v="-4"/>
    <n v="-4"/>
    <n v="5.9"/>
    <n v="-0.10000000000000009"/>
  </r>
  <r>
    <x v="0"/>
    <x v="6"/>
    <x v="6"/>
    <n v="1"/>
    <n v="2"/>
    <s v="A"/>
    <x v="5"/>
    <x v="5"/>
    <x v="5"/>
    <n v="0"/>
    <n v="3"/>
    <n v="0.3125"/>
    <n v="0.90909090909090906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JAN"/>
    <n v="7"/>
    <n v="0"/>
    <n v="0"/>
    <n v="1"/>
    <x v="3"/>
    <x v="1"/>
    <n v="0.45454545454545453"/>
    <n v="0.2857142857142857"/>
    <n v="0.3125"/>
    <n v="-5.2759740259740173E-2"/>
    <n v="0.45454545454545453"/>
    <n v="0.15625"/>
    <s v="Corinthians"/>
    <n v="0.83333333333333337"/>
    <n v="1.1666666666666667"/>
    <n v="1.1690451944500122"/>
    <n v="0.98319208025017513"/>
    <n v="1.4028542333400147"/>
    <n v="0.84273606878586438"/>
    <s v="Corinthians"/>
    <n v="0"/>
    <n v="0"/>
    <n v="0"/>
    <n v="0"/>
    <s v="Corinthians"/>
    <n v="0.66666666666666663"/>
    <n v="0.66666666666666663"/>
    <n v="1.1470820500689274"/>
    <n v="0.51639777949432231"/>
    <n v="1.7206230751033911"/>
    <n v="0.77459666924148352"/>
    <s v="Corinthians"/>
    <n v="1"/>
    <n v="0.83333333333333337"/>
    <n v="0.9545368424290267"/>
    <n v="1.1690451944500122"/>
    <n v="0.9545368424290267"/>
    <n v="1.4028542333400147"/>
    <s v="Corinthians"/>
    <n v="0.41484554411437879"/>
    <n v="0.64007315121728192"/>
    <n v="0.95857583019513892"/>
    <n v="0.52406977614733841"/>
    <n v="-0.54373028608076013"/>
    <n v="0.11600337506994352"/>
    <s v="Corinthians"/>
    <n v="2.3050000000000002"/>
    <n v="3.5583333333333336"/>
    <n v="0.63849040713232297"/>
    <n v="1.2670503804769029"/>
    <n v="0.27700234582747196"/>
    <n v="0.35607973221833333"/>
    <s v="Corinthians"/>
    <n v="0.83333333333333337"/>
    <n v="0.66666666666666663"/>
    <n v="0.66666666666666663"/>
    <n v="0.5"/>
    <n v="0.16666666666666666"/>
    <n v="0.16666666666666666"/>
    <n v="0"/>
    <n v="0.16666666666666666"/>
    <n v="0"/>
    <n v="0"/>
    <n v="0"/>
    <n v="0"/>
    <s v="Corinthians"/>
    <n v="0.33333333333333331"/>
    <n v="0.5"/>
    <s v="Corinthians"/>
    <n v="0.19633284600389864"/>
    <n v="0.32218432385517309"/>
    <n v="0.21963283645081133"/>
    <n v="0.26386641394706128"/>
    <n v="1.1186759674764253"/>
    <n v="0.81899209368632531"/>
    <s v="Corinthians"/>
    <n v="0.66958005098422557"/>
    <n v="0.51275917065390753"/>
    <n v="0.36752000811693775"/>
    <n v="0.38316401031616204"/>
    <n v="0.5488813586616188"/>
    <n v="0.74725920518890698"/>
    <s v="Corinthians"/>
    <n v="1.9208333333333336"/>
    <n v="4.1513888888888895"/>
    <s v="Corinthians"/>
    <n v="-4.1399999999999997"/>
    <n v="-3.15"/>
    <n v="0.10000000000000009"/>
    <n v="6.6"/>
  </r>
  <r>
    <x v="1"/>
    <x v="7"/>
    <x v="7"/>
    <n v="2"/>
    <n v="1"/>
    <s v="H"/>
    <x v="6"/>
    <x v="6"/>
    <x v="6"/>
    <n v="3"/>
    <n v="0"/>
    <n v="0.90909090909090906"/>
    <n v="0.27027027027027023"/>
    <n v="11.100000000000001"/>
    <n v="0"/>
    <n v="1"/>
    <n v="-1"/>
    <n v="2.7"/>
    <n v="-1"/>
    <n v="-1"/>
    <n v="0"/>
    <n v="0"/>
    <n v="1"/>
    <n v="1"/>
    <n v="1"/>
    <n v="0"/>
    <n v="0"/>
    <n v="0"/>
    <n v="1"/>
    <s v="JAN"/>
    <n v="8"/>
    <n v="1"/>
    <n v="0"/>
    <n v="0"/>
    <x v="4"/>
    <x v="4"/>
    <n v="0.27027027027027023"/>
    <n v="0.33333333333333331"/>
    <n v="0.45454545454545453"/>
    <n v="-5.8149058149058019E-2"/>
    <n v="0.13513513513513511"/>
    <n v="0.45454545454545453"/>
    <s v="Coritiba"/>
    <n v="1.3333333333333333"/>
    <n v="1.8333333333333333"/>
    <n v="1.3662601021279464"/>
    <n v="1.3291601358251257"/>
    <n v="1.0246950765959599"/>
    <n v="0.72499643772279587"/>
    <s v="Coritiba"/>
    <n v="0"/>
    <n v="0"/>
    <n v="0"/>
    <n v="0"/>
    <s v="Coritiba"/>
    <n v="0.83333333333333337"/>
    <n v="1.6666666666666667"/>
    <n v="0.752772652709081"/>
    <n v="1.0327955589886444"/>
    <n v="0.90332718325089711"/>
    <n v="0.61967733539318659"/>
    <s v="Coritiba"/>
    <n v="0.66666666666666663"/>
    <n v="1.3333333333333333"/>
    <n v="0.51639777949432231"/>
    <n v="1.2110601416389968"/>
    <n v="0.77459666924148352"/>
    <n v="0.90829510622924758"/>
    <s v="Coritiba"/>
    <n v="0.51855693014297355"/>
    <n v="1.6001828780432048"/>
    <n v="0.63905055346342587"/>
    <n v="0.83851164183574134"/>
    <n v="-0.12049362332045233"/>
    <n v="0.76167123620746346"/>
    <s v="Coritiba"/>
    <n v="2.4849999999999999"/>
    <n v="5.3916666666666666"/>
    <n v="0.50134818240420576"/>
    <n v="2.3288230217572687"/>
    <n v="0.2017497715912297"/>
    <n v="0.43193008131510396"/>
    <s v="Coritiba"/>
    <n v="1"/>
    <n v="1"/>
    <n v="0.5"/>
    <n v="0.83333333333333337"/>
    <n v="0"/>
    <n v="0.5"/>
    <n v="0"/>
    <n v="0.33333333333333331"/>
    <n v="0"/>
    <n v="0.16666666666666666"/>
    <n v="0"/>
    <n v="0.16666666666666666"/>
    <s v="Coritiba"/>
    <n v="0.33333333333333331"/>
    <n v="0.5"/>
    <s v="Coritiba"/>
    <n v="0.25864527629233514"/>
    <n v="0.92322866436511619"/>
    <n v="0.23531591213274219"/>
    <n v="0.52939686142334086"/>
    <n v="0.90980170025133256"/>
    <n v="0.57341900425870695"/>
    <s v="Coritiba"/>
    <n v="0.58598322910409972"/>
    <n v="0.25957756025283335"/>
    <n v="0.34368062908134678"/>
    <n v="0.36443971213799048"/>
    <n v="0.58650250043298091"/>
    <n v="1.4039723302084335"/>
    <s v="Coritiba"/>
    <n v="3.313333333333333"/>
    <n v="9.8847222222222211"/>
    <s v="Coritiba"/>
    <n v="-2.1399999999999997"/>
    <n v="14.75"/>
    <n v="0"/>
    <n v="0.60000000000000009"/>
  </r>
  <r>
    <x v="1"/>
    <x v="8"/>
    <x v="8"/>
    <n v="2"/>
    <n v="1"/>
    <s v="H"/>
    <x v="3"/>
    <x v="7"/>
    <x v="7"/>
    <n v="3"/>
    <n v="0"/>
    <n v="0.44444444444444442"/>
    <n v="0.55865921787709494"/>
    <n v="5.37"/>
    <n v="0"/>
    <n v="1"/>
    <n v="-1"/>
    <n v="0.79"/>
    <n v="-1"/>
    <n v="-1"/>
    <n v="0"/>
    <n v="0"/>
    <n v="1"/>
    <n v="1"/>
    <n v="1"/>
    <n v="0"/>
    <n v="0"/>
    <n v="0"/>
    <n v="1"/>
    <s v="JAN"/>
    <n v="9"/>
    <n v="1"/>
    <n v="0"/>
    <n v="0"/>
    <x v="1"/>
    <x v="2"/>
    <n v="0.55865921787709494"/>
    <n v="0.30303030303030304"/>
    <n v="0.22222222222222221"/>
    <n v="-8.3911743129620131E-2"/>
    <n v="0.27932960893854747"/>
    <n v="0.22222222222222221"/>
    <s v="Cruzeiro"/>
    <n v="1.7142857142857142"/>
    <n v="0.2"/>
    <n v="1.2535663410560174"/>
    <n v="0.44721359549995793"/>
    <n v="0.73124703228267685"/>
    <n v="2.2360679774997894"/>
    <s v="Cruzeiro"/>
    <n v="0"/>
    <n v="0"/>
    <n v="0"/>
    <n v="0.4"/>
    <s v="Cruzeiro"/>
    <n v="1.7142857142857142"/>
    <n v="0.8"/>
    <n v="1.1126972805283735"/>
    <n v="0.83666002653407556"/>
    <n v="0.64907341364155124"/>
    <n v="1.0458250331675945"/>
    <s v="Cruzeiro"/>
    <n v="1"/>
    <n v="2.8"/>
    <n v="1.1547005383792515"/>
    <n v="1.0954451150103319"/>
    <n v="1.1547005383792515"/>
    <n v="0.39123039821797573"/>
    <s v="Cruzeiro"/>
    <n v="1.0667456848655454"/>
    <n v="0.76808778146073831"/>
    <n v="0.95857583019513892"/>
    <n v="1.7608744478550569"/>
    <n v="0.10816985467040652"/>
    <n v="-0.99278666639431856"/>
    <s v="Cruzeiro"/>
    <n v="1.6642857142857146"/>
    <n v="4.04"/>
    <n v="0.21562754484350402"/>
    <n v="1.3831124321616086"/>
    <n v="0.12956161492742729"/>
    <n v="0.34235456241623974"/>
    <s v="Cruzeiro"/>
    <n v="0.8571428571428571"/>
    <n v="1"/>
    <n v="0.8571428571428571"/>
    <n v="1"/>
    <n v="0.5714285714285714"/>
    <n v="0.8"/>
    <n v="0.14285714285714285"/>
    <n v="0.6"/>
    <n v="0.14285714285714285"/>
    <n v="0.2"/>
    <n v="0.14285714285714285"/>
    <n v="0"/>
    <s v="Cruzeiro"/>
    <n v="0.5714285714285714"/>
    <n v="0.6"/>
    <s v="Cruzeiro"/>
    <n v="0.34216284968164673"/>
    <n v="0.35492801771871541"/>
    <n v="0.25590491407591887"/>
    <n v="0.35625323798738268"/>
    <n v="0.74790385430217365"/>
    <n v="1.0037337719270094"/>
    <s v="Cruzeiro"/>
    <n v="0.47216115882291326"/>
    <n v="0.54394841269841265"/>
    <n v="0.31408148328921065"/>
    <n v="0.41946627725085722"/>
    <n v="0.66519974678181593"/>
    <n v="0.77115084345953699"/>
    <s v="Cruzeiro"/>
    <n v="2.8530612244897964"/>
    <n v="0.80800000000000005"/>
    <s v="Cruzeiro"/>
    <n v="-1.9299999999999997"/>
    <n v="-5"/>
    <n v="3.5"/>
    <n v="-2"/>
  </r>
  <r>
    <x v="2"/>
    <x v="9"/>
    <x v="9"/>
    <n v="4"/>
    <n v="0"/>
    <s v="H"/>
    <x v="7"/>
    <x v="6"/>
    <x v="8"/>
    <n v="3"/>
    <n v="0"/>
    <n v="1.1764705882352942"/>
    <n v="0"/>
    <n v="6.8999999999999995"/>
    <n v="0"/>
    <n v="4"/>
    <n v="-4"/>
    <n v="1.2999999999999998"/>
    <n v="-1"/>
    <n v="-1"/>
    <n v="1"/>
    <n v="0"/>
    <n v="1"/>
    <n v="1"/>
    <n v="1"/>
    <n v="1"/>
    <n v="0"/>
    <n v="0"/>
    <n v="0"/>
    <s v="JAN"/>
    <n v="10"/>
    <n v="1"/>
    <n v="0"/>
    <n v="0"/>
    <x v="3"/>
    <x v="1"/>
    <n v="0.43478260869565222"/>
    <n v="0.33333333333333331"/>
    <n v="0.29411764705882354"/>
    <n v="-6.2233589087809182E-2"/>
    <n v="0.10869565217391305"/>
    <n v="1"/>
    <s v="Flamengo RJ"/>
    <n v="2.6"/>
    <n v="1.6666666666666667"/>
    <n v="0.8944271909999163"/>
    <n v="1.505545305418162"/>
    <n v="0.34401045807689085"/>
    <n v="0.90332718325089711"/>
    <s v="Flamengo RJ"/>
    <n v="0"/>
    <n v="0"/>
    <n v="0"/>
    <n v="0"/>
    <s v="Flamengo RJ"/>
    <n v="2.2000000000000002"/>
    <n v="1.5"/>
    <n v="0.83666002653407567"/>
    <n v="1.0488088481701516"/>
    <n v="0.38030001206094344"/>
    <n v="0.69920589878010109"/>
    <s v="Flamengo RJ"/>
    <n v="0.4"/>
    <n v="1.3333333333333333"/>
    <n v="0.54772255750516607"/>
    <n v="1.0327955589886446"/>
    <n v="1.3693063937629151"/>
    <n v="0.77459666924148352"/>
    <s v="Flamengo RJ"/>
    <n v="1.3689902955774502"/>
    <n v="1.4401645902388842"/>
    <n v="0.3834303320780556"/>
    <n v="0.83851164183574134"/>
    <n v="0.98555996349939456"/>
    <n v="0.60165294840314287"/>
    <s v="Flamengo RJ"/>
    <n v="1.3420000000000001"/>
    <n v="2.0550000000000002"/>
    <n v="0.13141537200799611"/>
    <n v="0.2836723462024473"/>
    <n v="9.7925016399400974E-2"/>
    <n v="0.1380400711447432"/>
    <s v="Flamengo RJ"/>
    <n v="1"/>
    <n v="1"/>
    <n v="1"/>
    <n v="1"/>
    <n v="0.4"/>
    <n v="0.83333333333333337"/>
    <n v="0.2"/>
    <n v="0"/>
    <n v="0"/>
    <n v="0"/>
    <n v="0"/>
    <n v="0"/>
    <s v="Flamengo RJ"/>
    <n v="0.4"/>
    <n v="0.66666666666666663"/>
    <s v="Flamengo RJ"/>
    <n v="0.23958316193610313"/>
    <n v="0.37815355355979774"/>
    <n v="8.0075693235642897E-2"/>
    <n v="0.26402807938167117"/>
    <n v="0.33422921956843987"/>
    <n v="0.69820335389211197"/>
    <s v="Flamengo RJ"/>
    <n v="0.39151112551339645"/>
    <n v="0.43412454397072553"/>
    <n v="0.18182403498497676"/>
    <n v="0.30016939106195656"/>
    <n v="0.46441601051961739"/>
    <n v="0.69143612180148462"/>
    <s v="Flamengo RJ"/>
    <n v="3.4892000000000003"/>
    <n v="3.4250000000000003"/>
    <s v="Flamengo RJ"/>
    <n v="0.29999999999999982"/>
    <n v="-0.16999999999999993"/>
    <n v="-0.5"/>
    <n v="-2.9"/>
  </r>
  <r>
    <x v="3"/>
    <x v="10"/>
    <x v="10"/>
    <n v="1"/>
    <n v="0"/>
    <s v="H"/>
    <x v="8"/>
    <x v="8"/>
    <x v="9"/>
    <n v="3"/>
    <n v="0"/>
    <n v="0.25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FEV"/>
    <n v="11"/>
    <n v="1"/>
    <n v="0"/>
    <n v="0"/>
    <x v="3"/>
    <x v="1"/>
    <n v="0.49751243781094534"/>
    <n v="0.3125"/>
    <n v="0.25"/>
    <n v="-6.0012437810945229E-2"/>
    <n v="0.49751243781094534"/>
    <n v="1"/>
    <s v="Fluminense"/>
    <n v="2.5"/>
    <n v="1.3333333333333333"/>
    <n v="1.2247448713915889"/>
    <n v="1.3662601021279464"/>
    <n v="0.4898979485566356"/>
    <n v="1.0246950765959599"/>
    <s v="Fluminense"/>
    <n v="0"/>
    <n v="0"/>
    <n v="0"/>
    <n v="0"/>
    <s v="Fluminense"/>
    <n v="1.8333333333333333"/>
    <n v="1.6666666666666667"/>
    <n v="0.9831920802501749"/>
    <n v="0.81649658092772592"/>
    <n v="0.53628658922736816"/>
    <n v="0.48989794855663554"/>
    <s v="Fluminense"/>
    <n v="1"/>
    <n v="1.5"/>
    <n v="0.89442719099991586"/>
    <n v="1.0488088481701516"/>
    <n v="0.89442719099991586"/>
    <n v="0.69920589878010109"/>
    <s v="Fluminense"/>
    <n v="1.1408252463145416"/>
    <n v="1.6001828780432048"/>
    <n v="0.95857583019513892"/>
    <n v="0.94332559706520913"/>
    <n v="0.18224941611940271"/>
    <n v="0.65685728097799567"/>
    <s v="Fluminense"/>
    <n v="1.95"/>
    <n v="3.0933333333333333"/>
    <n v="0.62222182539669946"/>
    <n v="1.1762085982795176"/>
    <n v="0.319088115588051"/>
    <n v="0.38023984858174065"/>
    <s v="Fluminense"/>
    <n v="1"/>
    <n v="1"/>
    <n v="0.66666666666666663"/>
    <n v="1"/>
    <n v="0.66666666666666663"/>
    <n v="0.5"/>
    <n v="0.33333333333333331"/>
    <n v="0.33333333333333331"/>
    <n v="0.16666666666666666"/>
    <n v="0.33333333333333331"/>
    <n v="0"/>
    <n v="0"/>
    <s v="Fluminense"/>
    <n v="0.66666666666666663"/>
    <n v="0.83333333333333337"/>
    <s v="Fluminense"/>
    <n v="0.39508466524144015"/>
    <n v="0.64554440188989382"/>
    <n v="0.20700566561616005"/>
    <n v="0.37985085986472966"/>
    <n v="0.52395267097916043"/>
    <n v="0.5884194158491336"/>
    <s v="Fluminense"/>
    <n v="0.3664965030220933"/>
    <n v="0.24665471923536444"/>
    <n v="0.18748134913147516"/>
    <n v="0.10015140260341478"/>
    <n v="0.51155017192666996"/>
    <n v="0.4060388664522071"/>
    <s v="Fluminense"/>
    <n v="4.875"/>
    <n v="4.1244444444444444"/>
    <s v="Fluminense"/>
    <n v="2.5000000000000004"/>
    <n v="-0.63999999999999968"/>
    <n v="-6"/>
    <n v="0.29999999999999982"/>
  </r>
  <r>
    <x v="3"/>
    <x v="11"/>
    <x v="11"/>
    <n v="1"/>
    <n v="1"/>
    <s v="D"/>
    <x v="9"/>
    <x v="9"/>
    <x v="10"/>
    <n v="1"/>
    <n v="1"/>
    <n v="0.13333333333333333"/>
    <n v="0.70921985815602839"/>
    <n v="1.41"/>
    <n v="7.5"/>
    <n v="0"/>
    <n v="0"/>
    <n v="-1"/>
    <n v="-1"/>
    <n v="3.5"/>
    <n v="0"/>
    <n v="0"/>
    <n v="1"/>
    <n v="1"/>
    <n v="0"/>
    <n v="0"/>
    <n v="0"/>
    <n v="0"/>
    <n v="1"/>
    <s v="FEV"/>
    <n v="12"/>
    <n v="0"/>
    <n v="1"/>
    <n v="0"/>
    <x v="2"/>
    <x v="3"/>
    <n v="0.70921985815602839"/>
    <n v="0.22222222222222221"/>
    <n v="0.13333333333333333"/>
    <n v="-6.4775413711583907E-2"/>
    <n v="0.70921985815602839"/>
    <n v="0.13333333333333333"/>
    <s v="Gremio"/>
    <n v="2.2000000000000002"/>
    <n v="0.2857142857142857"/>
    <n v="1.0954451150103324"/>
    <n v="0.4879500364742666"/>
    <n v="0.49792959773196921"/>
    <n v="1.7078251276599332"/>
    <s v="Gremio"/>
    <n v="0.2"/>
    <n v="0"/>
    <n v="0"/>
    <n v="0"/>
    <s v="Gremio"/>
    <n v="2"/>
    <n v="0.5714285714285714"/>
    <n v="1.8708286933869707"/>
    <n v="0.53452248382484879"/>
    <n v="0.93541434669348533"/>
    <n v="0.93541434669348544"/>
    <s v="Gremio"/>
    <n v="1"/>
    <n v="1.5714285714285714"/>
    <n v="1.2247448713915889"/>
    <n v="0.7867957924694432"/>
    <n v="1.2247448713915889"/>
    <n v="0.50068823157146392"/>
    <s v="Gremio"/>
    <n v="1.2445366323431364"/>
    <n v="0.54863412961481306"/>
    <n v="0.95857583019513892"/>
    <n v="0.98824586359212385"/>
    <n v="0.28596080214799746"/>
    <n v="-0.43961173397731079"/>
    <s v="Gremio"/>
    <n v="1.998"/>
    <n v="4.6899999999999995"/>
    <n v="0.26574423794317537"/>
    <n v="1.280052082273738"/>
    <n v="0.13300512409568335"/>
    <n v="0.27293221370442178"/>
    <s v="Gremio"/>
    <n v="0.8"/>
    <n v="0.8571428571428571"/>
    <n v="0.8"/>
    <n v="0.8571428571428571"/>
    <n v="0.4"/>
    <n v="0.42857142857142855"/>
    <n v="0.2"/>
    <n v="0"/>
    <n v="0.2"/>
    <n v="0"/>
    <n v="0.2"/>
    <n v="0"/>
    <s v="Gremio"/>
    <n v="0.6"/>
    <n v="0.5714285714285714"/>
    <s v="Gremio"/>
    <n v="0.55847523219814244"/>
    <n v="0.31702997252838994"/>
    <n v="0.55319959388471485"/>
    <n v="0.31373108132173183"/>
    <n v="0.99055349636068402"/>
    <n v="0.98959438699013647"/>
    <s v="Gremio"/>
    <n v="0.41485178959900904"/>
    <n v="0.57129468917801085"/>
    <n v="0.35382959885123333"/>
    <n v="0.41095104769395313"/>
    <n v="0.85290604433270245"/>
    <n v="0.71933286879532687"/>
    <s v="Gremio"/>
    <n v="4.3956"/>
    <n v="1.3399999999999999"/>
    <s v="Gremio"/>
    <n v="1.1600000000000001"/>
    <n v="-7"/>
    <n v="2.1"/>
    <n v="0"/>
  </r>
  <r>
    <x v="3"/>
    <x v="12"/>
    <x v="12"/>
    <n v="2"/>
    <n v="2"/>
    <s v="D"/>
    <x v="10"/>
    <x v="0"/>
    <x v="11"/>
    <n v="1"/>
    <n v="1"/>
    <n v="0.83333333333333337"/>
    <n v="0.64516129032258063"/>
    <n v="3.1"/>
    <n v="2.4"/>
    <n v="0"/>
    <n v="0"/>
    <n v="-1"/>
    <n v="-1"/>
    <n v="2.1"/>
    <n v="0"/>
    <n v="0"/>
    <n v="1"/>
    <n v="1"/>
    <n v="1"/>
    <n v="1"/>
    <n v="0"/>
    <n v="0"/>
    <n v="1"/>
    <s v="FEV"/>
    <n v="13"/>
    <n v="0"/>
    <n v="1"/>
    <n v="0"/>
    <x v="4"/>
    <x v="4"/>
    <n v="0.32258064516129031"/>
    <n v="0.32258064516129031"/>
    <n v="0.41666666666666669"/>
    <n v="-6.1827956989247257E-2"/>
    <n v="0.16129032258064516"/>
    <n v="0.20833333333333334"/>
    <s v="Internacional"/>
    <n v="0.7142857142857143"/>
    <n v="1.6"/>
    <n v="1.1126972805283737"/>
    <n v="1.3416407864998738"/>
    <n v="1.5577761927397231"/>
    <n v="0.83852549156242107"/>
    <s v="Internacional"/>
    <n v="0"/>
    <n v="0"/>
    <n v="0"/>
    <n v="0"/>
    <s v="Internacional"/>
    <n v="0.7142857142857143"/>
    <n v="1"/>
    <n v="0.7559289460184544"/>
    <n v="0"/>
    <n v="1.0583005244258361"/>
    <n v="0"/>
    <s v="Internacional"/>
    <n v="1.1428571428571428"/>
    <n v="0.8"/>
    <n v="1.0690449676496976"/>
    <n v="0"/>
    <n v="0.93541434669348544"/>
    <n v="0"/>
    <s v="Internacional"/>
    <n v="0.4444773686939773"/>
    <n v="0.96010972682592288"/>
    <n v="1.0955152345087302"/>
    <n v="0.50310698510144491"/>
    <n v="-0.65103786581475287"/>
    <n v="0.45700274172447797"/>
    <s v="Internacional"/>
    <n v="1.9871428571428571"/>
    <n v="4.1500000000000004"/>
    <n v="0.54637332431571839"/>
    <n v="1.9893466264077759"/>
    <n v="0.27495422503307182"/>
    <n v="0.47936063286934355"/>
    <s v="Internacional"/>
    <n v="0.8571428571428571"/>
    <n v="1"/>
    <n v="0.5714285714285714"/>
    <n v="0.6"/>
    <n v="0.2857142857142857"/>
    <n v="0.2"/>
    <n v="0.14285714285714285"/>
    <n v="0"/>
    <n v="0"/>
    <n v="0"/>
    <n v="0"/>
    <n v="0"/>
    <s v="Internacional"/>
    <n v="0.42857142857142855"/>
    <n v="0.6"/>
    <s v="Internacional"/>
    <n v="0.17611304684475418"/>
    <n v="0.49374247962727463"/>
    <n v="0.17709706943521625"/>
    <n v="0.37327300608290748"/>
    <n v="1.0055874485626808"/>
    <n v="0.75600747653856037"/>
    <s v="Internacional"/>
    <n v="0.6700421194975491"/>
    <n v="0.4007710035617012"/>
    <n v="0.31621339015824079"/>
    <n v="0.36136251469064068"/>
    <n v="0.471930615937044"/>
    <n v="0.90166831302456407"/>
    <s v="Internacional"/>
    <n v="1.4193877551020408"/>
    <n v="6.6400000000000006"/>
    <s v="Internacional"/>
    <n v="-5.63"/>
    <n v="2.4000000000000004"/>
    <n v="-0.39999999999999991"/>
    <n v="2.9000000000000004"/>
  </r>
  <r>
    <x v="3"/>
    <x v="13"/>
    <x v="13"/>
    <n v="1"/>
    <n v="1"/>
    <s v="D"/>
    <x v="5"/>
    <x v="0"/>
    <x v="12"/>
    <n v="1"/>
    <n v="1"/>
    <n v="0.30303030303030304"/>
    <n v="0.45454545454545453"/>
    <n v="2.2000000000000002"/>
    <n v="3.3"/>
    <n v="0"/>
    <n v="0"/>
    <n v="-1"/>
    <n v="-1"/>
    <n v="2.1"/>
    <n v="0"/>
    <n v="0"/>
    <n v="1"/>
    <n v="1"/>
    <n v="0"/>
    <n v="0"/>
    <n v="0"/>
    <n v="0"/>
    <n v="1"/>
    <s v="FEV"/>
    <n v="14"/>
    <n v="0"/>
    <n v="1"/>
    <n v="0"/>
    <x v="3"/>
    <x v="1"/>
    <n v="0.45454545454545453"/>
    <n v="0.32258064516129031"/>
    <n v="0.30303030303030304"/>
    <n v="-8.0156402737047827E-2"/>
    <n v="0.45454545454545453"/>
    <n v="0.30303030303030304"/>
    <s v="Mirassol"/>
    <n v="0.83333333333333337"/>
    <n v="0.8"/>
    <n v="1.1690451944500122"/>
    <n v="1.3038404810405297"/>
    <n v="1.4028542333400147"/>
    <n v="1.6298006013006621"/>
    <s v="Mirassol"/>
    <n v="0"/>
    <n v="0"/>
    <n v="0"/>
    <n v="0"/>
    <s v="Mirassol"/>
    <n v="1.1666666666666667"/>
    <n v="1.2"/>
    <n v="0.98319208025017513"/>
    <n v="1.0954451150103321"/>
    <n v="0.84273606878586438"/>
    <n v="0.91287092917527679"/>
    <s v="Mirassol"/>
    <n v="1.5"/>
    <n v="1.6"/>
    <n v="0.54772255750516607"/>
    <n v="0.89442719099991574"/>
    <n v="0.36514837167011072"/>
    <n v="0.55901699437494734"/>
    <s v="Mirassol"/>
    <n v="0.72597970220016295"/>
    <n v="1.1521316721911075"/>
    <n v="1.4378637452927083"/>
    <n v="1.0062139702028898"/>
    <n v="-0.71188404309254538"/>
    <n v="0.14591770198821763"/>
    <s v="Mirassol"/>
    <n v="1.9450000000000001"/>
    <n v="3.5700000000000003"/>
    <n v="0.32216455422656298"/>
    <n v="1.246795893480563"/>
    <n v="0.1656373029442483"/>
    <n v="0.349242547193435"/>
    <s v="Mirassol"/>
    <n v="1"/>
    <n v="1"/>
    <n v="0.66666666666666663"/>
    <n v="0.6"/>
    <n v="0.66666666666666663"/>
    <n v="0.6"/>
    <n v="0.33333333333333331"/>
    <n v="0.4"/>
    <n v="0"/>
    <n v="0.2"/>
    <n v="0"/>
    <n v="0"/>
    <s v="Mirassol"/>
    <n v="0.66666666666666663"/>
    <n v="0.6"/>
    <s v="Mirassol"/>
    <n v="0.29743578718036923"/>
    <n v="0.51649981460882466"/>
    <n v="0.25343168235043972"/>
    <n v="0.49541364752998313"/>
    <n v="0.85205510995472511"/>
    <n v="0.95917487967578208"/>
    <s v="Mirassol"/>
    <n v="0.54233067343645935"/>
    <n v="0.49939024390243897"/>
    <n v="0.36434871986017464"/>
    <n v="0.45801189312379748"/>
    <n v="0.67182023386487011"/>
    <n v="0.91714225240906955"/>
    <s v="Mirassol"/>
    <n v="1.6208333333333333"/>
    <n v="2.8560000000000003"/>
    <s v="Mirassol"/>
    <n v="-4.21"/>
    <n v="-0.90000000000000036"/>
    <n v="0.70000000000000018"/>
    <n v="-1.9"/>
  </r>
  <r>
    <x v="4"/>
    <x v="14"/>
    <x v="14"/>
    <n v="5"/>
    <n v="3"/>
    <s v="H"/>
    <x v="7"/>
    <x v="6"/>
    <x v="8"/>
    <n v="3"/>
    <n v="0"/>
    <n v="1.4705882352941178"/>
    <n v="1.3043478260869565"/>
    <n v="6.8999999999999995"/>
    <n v="0"/>
    <n v="2"/>
    <n v="-2"/>
    <n v="1.2999999999999998"/>
    <n v="-1"/>
    <n v="-1"/>
    <n v="1"/>
    <n v="0"/>
    <n v="1"/>
    <n v="1"/>
    <n v="1"/>
    <n v="1"/>
    <n v="1"/>
    <n v="1"/>
    <n v="1"/>
    <s v="FEV"/>
    <n v="15"/>
    <n v="1"/>
    <n v="0"/>
    <n v="0"/>
    <x v="3"/>
    <x v="1"/>
    <n v="0.43478260869565222"/>
    <n v="0.33333333333333331"/>
    <n v="0.29411764705882354"/>
    <n v="-6.2233589087809182E-2"/>
    <n v="8.6956521739130446E-2"/>
    <n v="9.8039215686274508E-2"/>
    <s v="Palmeiras"/>
    <n v="3"/>
    <n v="1.8333333333333333"/>
    <n v="0"/>
    <n v="1.3291601358251257"/>
    <n v="0"/>
    <n v="0.72499643772279587"/>
    <s v="Palmeiras"/>
    <n v="0.16666666666666666"/>
    <n v="0"/>
    <n v="0"/>
    <n v="0"/>
    <s v="Palmeiras"/>
    <n v="2.1666666666666665"/>
    <n v="1.5"/>
    <n v="1.4719601443879744"/>
    <n v="1.0488088481701516"/>
    <n v="0.67936622048675743"/>
    <n v="0.69920589878010109"/>
    <s v="Palmeiras"/>
    <n v="0.66666666666666663"/>
    <n v="1"/>
    <n v="0.51639777949432231"/>
    <n v="0.89442719099991586"/>
    <n v="0.77459666924148352"/>
    <n v="0.89442719099991586"/>
    <s v="Palmeiras"/>
    <n v="1.3482480183717311"/>
    <n v="1.4401645902388842"/>
    <n v="0.63905055346342587"/>
    <n v="0.62888373137680609"/>
    <n v="0.70919746490830526"/>
    <n v="0.81128085886207812"/>
    <s v="Palmeiras"/>
    <n v="1.5183333333333333"/>
    <n v="2.6166666666666667"/>
    <n v="0.11686174167222851"/>
    <n v="0.26770630673681689"/>
    <n v="7.6967118554705935E-2"/>
    <n v="0.10230814270196824"/>
    <s v="Palmeiras"/>
    <n v="1"/>
    <n v="0.83333333333333337"/>
    <n v="0.66666666666666663"/>
    <n v="0.66666666666666663"/>
    <n v="0.66666666666666663"/>
    <n v="0.66666666666666663"/>
    <n v="0.16666666666666666"/>
    <n v="0.33333333333333331"/>
    <n v="0.16666666666666666"/>
    <n v="0"/>
    <n v="0.16666666666666666"/>
    <n v="0"/>
    <s v="Palmeiras"/>
    <n v="0.66666666666666663"/>
    <n v="0.66666666666666663"/>
    <s v="Palmeiras"/>
    <n v="0.31483294483294483"/>
    <n v="0.52434905094626449"/>
    <n v="0.13078142260346501"/>
    <n v="0.3540560277265502"/>
    <n v="0.41539941975532335"/>
    <n v="0.67522965300996418"/>
    <s v="Palmeiras"/>
    <n v="0.39781390637198927"/>
    <n v="0.38185510071474987"/>
    <n v="0.19255293758217698"/>
    <n v="0.32080292484753498"/>
    <n v="0.48402766845994538"/>
    <n v="0.84011690362931257"/>
    <s v="Palmeiras"/>
    <n v="4.5549999999999997"/>
    <n v="4.7972222222222225"/>
    <s v="Palmeiras"/>
    <n v="3.11"/>
    <n v="1.9500000000000002"/>
    <n v="-6"/>
    <n v="0.10000000000000009"/>
  </r>
  <r>
    <x v="4"/>
    <x v="15"/>
    <x v="15"/>
    <n v="5"/>
    <n v="1"/>
    <s v="H"/>
    <x v="11"/>
    <x v="10"/>
    <x v="13"/>
    <n v="3"/>
    <n v="0"/>
    <n v="0.5"/>
    <n v="0.76923076923076916"/>
    <n v="3.9000000000000004"/>
    <n v="0"/>
    <n v="4"/>
    <n v="-4"/>
    <n v="0.30000000000000004"/>
    <n v="-1"/>
    <n v="-1"/>
    <n v="1"/>
    <n v="0"/>
    <n v="1"/>
    <n v="1"/>
    <n v="1"/>
    <n v="1"/>
    <n v="1"/>
    <n v="1"/>
    <n v="1"/>
    <s v="FEV"/>
    <n v="16"/>
    <n v="1"/>
    <n v="0"/>
    <n v="0"/>
    <x v="5"/>
    <x v="5"/>
    <n v="0.76923076923076916"/>
    <n v="0.21052631578947367"/>
    <n v="0.1"/>
    <n v="-7.9757085020242924E-2"/>
    <n v="0.15384615384615383"/>
    <n v="0.1"/>
    <s v="Remo"/>
    <n v="1.2"/>
    <n v="0.2857142857142857"/>
    <n v="1.0954451150103321"/>
    <n v="0.4879500364742666"/>
    <n v="0.91287092917527679"/>
    <n v="1.7078251276599332"/>
    <s v="Remo"/>
    <n v="0.2"/>
    <n v="0"/>
    <n v="0"/>
    <n v="0.14285714285714285"/>
    <s v="Remo"/>
    <n v="1.6"/>
    <n v="0.7142857142857143"/>
    <n v="1.51657508881031"/>
    <n v="1.2535663410560174"/>
    <n v="0.94785943050644372"/>
    <n v="1.7549928774784243"/>
    <s v="Remo"/>
    <n v="1.4"/>
    <n v="2.1428571428571428"/>
    <n v="0.54772255750516596"/>
    <n v="1.3451854182690983"/>
    <n v="0.39123039821797573"/>
    <n v="0.62775319519224593"/>
    <s v="Remo"/>
    <n v="0.99562930587450926"/>
    <n v="0.6857926620185163"/>
    <n v="1.3420061622731945"/>
    <n v="1.3476079958074416"/>
    <n v="-0.34637685639868521"/>
    <n v="-0.66181533378892532"/>
    <s v="Remo"/>
    <n v="3.2399999999999998"/>
    <n v="7.3214285714285712"/>
    <n v="0.44916589362951476"/>
    <n v="4.386803804485405"/>
    <n v="0.13863144865108482"/>
    <n v="0.5991732025638602"/>
    <s v="Remo"/>
    <n v="1"/>
    <n v="0.8571428571428571"/>
    <n v="1"/>
    <n v="0.7142857142857143"/>
    <n v="0.4"/>
    <n v="0.42857142857142855"/>
    <n v="0.4"/>
    <n v="0.2857142857142857"/>
    <n v="0.2"/>
    <n v="0.2857142857142857"/>
    <n v="0"/>
    <n v="0.2857142857142857"/>
    <s v="Remo"/>
    <n v="0.8"/>
    <n v="0.2857142857142857"/>
    <s v="Remo"/>
    <n v="0.6801154543955138"/>
    <n v="0.49570592195181656"/>
    <n v="0.64327890732763138"/>
    <n v="0.87641175450748032"/>
    <n v="0.9458378032291257"/>
    <n v="1.7680074328276212"/>
    <s v="Remo"/>
    <n v="0.38063863131774844"/>
    <n v="0.73162393162393158"/>
    <n v="0.36273941580480129"/>
    <n v="0.45843527844383786"/>
    <n v="0.95297583051152446"/>
    <n v="0.62659962123748869"/>
    <s v="Remo"/>
    <n v="3.8879999999999995"/>
    <n v="2.0918367346938775"/>
    <s v="Remo"/>
    <n v="-2"/>
    <n v="-7"/>
    <n v="4.7"/>
    <n v="1.2000000000000002"/>
  </r>
  <r>
    <x v="4"/>
    <x v="16"/>
    <x v="16"/>
    <n v="1"/>
    <n v="1"/>
    <s v="D"/>
    <x v="8"/>
    <x v="7"/>
    <x v="14"/>
    <n v="1"/>
    <n v="1"/>
    <n v="0.27777777777777779"/>
    <n v="0.49751243781094534"/>
    <n v="2.0099999999999998"/>
    <n v="3.6"/>
    <n v="0"/>
    <n v="0"/>
    <n v="-1"/>
    <n v="-1"/>
    <n v="2.2999999999999998"/>
    <n v="0"/>
    <n v="0"/>
    <n v="1"/>
    <n v="1"/>
    <n v="0"/>
    <n v="0"/>
    <n v="0"/>
    <n v="0"/>
    <n v="1"/>
    <s v="FEV"/>
    <n v="17"/>
    <n v="0"/>
    <n v="1"/>
    <n v="0"/>
    <x v="3"/>
    <x v="1"/>
    <n v="0.49751243781094534"/>
    <n v="0.30303030303030304"/>
    <n v="0.27777777777777779"/>
    <n v="-7.8320518619026114E-2"/>
    <n v="0.49751243781094534"/>
    <n v="0.27777777777777779"/>
    <s v="Santos"/>
    <n v="1.5714285714285714"/>
    <n v="0.4"/>
    <n v="1.3972762620115438"/>
    <n v="0.54772255750516607"/>
    <n v="0.88917580309825517"/>
    <n v="1.3693063937629151"/>
    <s v="Santos"/>
    <n v="0"/>
    <n v="0"/>
    <n v="0"/>
    <n v="0.2"/>
    <s v="Santos"/>
    <n v="1.4285714285714286"/>
    <n v="1.2"/>
    <n v="0.53452248382484868"/>
    <n v="0.83666002653407556"/>
    <n v="0.37416573867739406"/>
    <n v="0.69721668877839638"/>
    <s v="Santos"/>
    <n v="1.1428571428571428"/>
    <n v="2.2000000000000002"/>
    <n v="1.0690449676496976"/>
    <n v="1.4832396974191326"/>
    <n v="0.93541434669348544"/>
    <n v="0.67419986246324204"/>
    <s v="Santos"/>
    <n v="0.88895473738795461"/>
    <n v="1.1521316721911075"/>
    <n v="1.0955152345087302"/>
    <n v="1.3835442090289736"/>
    <n v="-0.20656049712077562"/>
    <n v="-0.23141253683786611"/>
    <s v="Santos"/>
    <n v="2.0985714285714283"/>
    <n v="5.5"/>
    <n v="0.28404392685102875"/>
    <n v="3.2451887464367926"/>
    <n v="0.13535108835651474"/>
    <n v="0.59003431753396229"/>
    <s v="Santos"/>
    <n v="1"/>
    <n v="0.8"/>
    <n v="0.8571428571428571"/>
    <n v="0.8"/>
    <n v="0.42857142857142855"/>
    <n v="0.8"/>
    <n v="0.14285714285714285"/>
    <n v="0.6"/>
    <n v="0.14285714285714285"/>
    <n v="0.2"/>
    <n v="0"/>
    <n v="0.2"/>
    <s v="Santos"/>
    <n v="0.7142857142857143"/>
    <n v="0.8"/>
    <s v="Santos"/>
    <n v="0.37784802629523118"/>
    <n v="0.63018415892770452"/>
    <n v="0.12260456377405236"/>
    <n v="0.43657695351605008"/>
    <n v="0.32448115443708953"/>
    <n v="0.69277678172506196"/>
    <s v="Santos"/>
    <n v="0.37135989025742949"/>
    <n v="0.32923444976076555"/>
    <n v="0.10784089341813685"/>
    <n v="0.38074538102041344"/>
    <n v="0.2903945639993073"/>
    <n v="1.156456687011574"/>
    <s v="Santos"/>
    <n v="3.2977551020408158"/>
    <n v="2.2000000000000002"/>
    <s v="Santos"/>
    <n v="-1.28"/>
    <n v="-5"/>
    <n v="-0.89999999999999991"/>
    <n v="2.3000000000000003"/>
  </r>
  <r>
    <x v="4"/>
    <x v="17"/>
    <x v="17"/>
    <n v="1"/>
    <n v="1"/>
    <s v="D"/>
    <x v="4"/>
    <x v="11"/>
    <x v="4"/>
    <n v="1"/>
    <n v="1"/>
    <n v="0.16666666666666666"/>
    <n v="0.65359477124183007"/>
    <n v="1.53"/>
    <n v="6"/>
    <n v="0"/>
    <n v="0"/>
    <n v="-1"/>
    <n v="-1"/>
    <n v="2.9"/>
    <n v="0"/>
    <n v="0"/>
    <n v="1"/>
    <n v="1"/>
    <n v="0"/>
    <n v="0"/>
    <n v="0"/>
    <n v="0"/>
    <n v="1"/>
    <s v="FEV"/>
    <n v="18"/>
    <n v="0"/>
    <n v="1"/>
    <n v="0"/>
    <x v="2"/>
    <x v="3"/>
    <n v="0.65359477124183007"/>
    <n v="0.25641025641025644"/>
    <n v="0.16666666666666666"/>
    <n v="-7.6671694318753314E-2"/>
    <n v="0.65359477124183007"/>
    <n v="0.16666666666666666"/>
    <s v="Sao Paulo"/>
    <n v="2.4"/>
    <n v="1.1428571428571428"/>
    <n v="1.3416407864998738"/>
    <n v="1.3451854182690985"/>
    <n v="0.55901699437494745"/>
    <n v="1.1770372409854613"/>
    <s v="Sao Paulo"/>
    <n v="0.2"/>
    <n v="0"/>
    <n v="0"/>
    <n v="0"/>
    <s v="Sao Paulo"/>
    <n v="2"/>
    <n v="0.8571428571428571"/>
    <n v="1.4142135623730951"/>
    <n v="0.69006555934235414"/>
    <n v="0.70710678118654757"/>
    <n v="0.80507648589941316"/>
    <s v="Sao Paulo"/>
    <n v="0.6"/>
    <n v="1.1428571428571428"/>
    <n v="0.54772255750516607"/>
    <n v="0.69006555934235425"/>
    <n v="0.91287092917527679"/>
    <n v="0.60380736442455996"/>
    <s v="Sao Paulo"/>
    <n v="1.2445366323431364"/>
    <n v="0.82295119442221953"/>
    <n v="0.57514549811708338"/>
    <n v="0.71872426443063542"/>
    <n v="0.66939113422605301"/>
    <n v="0.10422692999158412"/>
    <s v="Sao Paulo"/>
    <n v="2.3440000000000003"/>
    <n v="3.2285714285714286"/>
    <n v="0.8697585871953194"/>
    <n v="0.38606685826112658"/>
    <n v="0.37105741774544337"/>
    <n v="0.11957823043486221"/>
    <s v="Sao Paulo"/>
    <n v="1"/>
    <n v="1"/>
    <n v="0.8"/>
    <n v="0.7142857142857143"/>
    <n v="0.4"/>
    <n v="0.2857142857142857"/>
    <n v="0.2"/>
    <n v="0"/>
    <n v="0.2"/>
    <n v="0"/>
    <n v="0"/>
    <n v="0"/>
    <s v="Sao Paulo"/>
    <n v="0.4"/>
    <n v="0.5714285714285714"/>
    <s v="Sao Paulo"/>
    <n v="0.55896103896103888"/>
    <n v="0.38117685731620016"/>
    <n v="0.46589966605346772"/>
    <n v="0.29936110178683312"/>
    <n v="0.8335100902908229"/>
    <n v="0.78536011838332076"/>
    <s v="Sao Paulo"/>
    <n v="0.37458130796608924"/>
    <n v="0.47830988455988449"/>
    <n v="0.36336904698114214"/>
    <n v="0.36060391617078497"/>
    <n v="0.97006721705942112"/>
    <n v="0.75391274111467221"/>
    <s v="Sao Paulo"/>
    <n v="5.6256000000000004"/>
    <n v="3.6897959183673468"/>
    <s v="Sao Paulo"/>
    <n v="4.1500000000000004"/>
    <n v="-0.79999999999999982"/>
    <n v="-5"/>
    <n v="-0.89999999999999991"/>
  </r>
  <r>
    <x v="5"/>
    <x v="18"/>
    <x v="18"/>
    <n v="1"/>
    <n v="2"/>
    <s v="A"/>
    <x v="12"/>
    <x v="12"/>
    <x v="15"/>
    <n v="0"/>
    <n v="3"/>
    <n v="0.10526315789473684"/>
    <n v="1.4814814814814814"/>
    <n v="0"/>
    <n v="28.5"/>
    <n v="-1"/>
    <n v="1"/>
    <n v="-1"/>
    <n v="8.5"/>
    <n v="-1"/>
    <n v="0"/>
    <n v="0"/>
    <n v="1"/>
    <n v="1"/>
    <n v="1"/>
    <n v="0"/>
    <n v="0"/>
    <n v="0"/>
    <n v="1"/>
    <s v="FEV"/>
    <n v="19"/>
    <n v="0"/>
    <n v="0"/>
    <n v="1"/>
    <x v="5"/>
    <x v="5"/>
    <n v="0.7407407407407407"/>
    <n v="0.23094688221709006"/>
    <n v="0.10526315789473684"/>
    <n v="-7.6950780852567569E-2"/>
    <n v="0.7407407407407407"/>
    <n v="5.2631578947368418E-2"/>
    <s v="Vasco"/>
    <n v="1.8571428571428572"/>
    <n v="0.6"/>
    <n v="1.4638501094227998"/>
    <n v="0.54772255750516607"/>
    <n v="0.78822698199689223"/>
    <n v="0.91287092917527679"/>
    <s v="Vasco"/>
    <n v="0"/>
    <n v="0"/>
    <n v="0"/>
    <n v="0"/>
    <s v="Vasco"/>
    <n v="1.5714285714285714"/>
    <n v="1.4"/>
    <n v="0.97590007294853331"/>
    <n v="0.89442719099991574"/>
    <n v="0.62102731914906661"/>
    <n v="0.63887656499993983"/>
    <s v="Vasco"/>
    <n v="1.2857142857142858"/>
    <n v="1.8"/>
    <n v="0.48795003647426666"/>
    <n v="0.83666002653407567"/>
    <n v="0.3795166950355407"/>
    <n v="0.46481112585226425"/>
    <s v="Vasco"/>
    <n v="0.97785021112675008"/>
    <n v="1.3441536175562918"/>
    <n v="1.2324546388223216"/>
    <n v="1.131990716478251"/>
    <n v="-0.25460442769557157"/>
    <n v="0.21216290107804081"/>
    <s v="Vasco"/>
    <n v="2.322857142857143"/>
    <n v="3.54"/>
    <n v="0.78268159310825369"/>
    <n v="0.88133421583415317"/>
    <n v="0.33694779531105629"/>
    <n v="0.24896446774976078"/>
    <s v="Vasco"/>
    <n v="1"/>
    <n v="1"/>
    <n v="0.8571428571428571"/>
    <n v="1"/>
    <n v="0.7142857142857143"/>
    <n v="0.6"/>
    <n v="0.14285714285714285"/>
    <n v="0.2"/>
    <n v="0.14285714285714285"/>
    <n v="0.2"/>
    <n v="0"/>
    <n v="0.2"/>
    <s v="Vasco"/>
    <n v="0.8571428571428571"/>
    <n v="1"/>
    <s v="Vasco"/>
    <n v="0.52800296408016645"/>
    <n v="0.66827316811582238"/>
    <n v="0.48235817659055047"/>
    <n v="0.51211752970423863"/>
    <n v="0.91355202414605052"/>
    <n v="0.76632963006451349"/>
    <s v="Vasco"/>
    <n v="0.42193352945211055"/>
    <n v="0.26637806637806638"/>
    <n v="0.32337459981425082"/>
    <n v="0.12672576366430904"/>
    <n v="0.76641124073301181"/>
    <n v="0.47573648006157188"/>
    <s v="Vasco"/>
    <n v="4.3138775510204086"/>
    <n v="2.1240000000000001"/>
    <s v="Vasco"/>
    <n v="3.62"/>
    <n v="-5"/>
    <n v="-3.1"/>
    <n v="4.5999999999999996"/>
  </r>
  <r>
    <x v="6"/>
    <x v="3"/>
    <x v="7"/>
    <n v="1"/>
    <n v="2"/>
    <s v="A"/>
    <x v="13"/>
    <x v="13"/>
    <x v="16"/>
    <n v="0"/>
    <n v="3"/>
    <n v="0.63694267515923564"/>
    <n v="0.34782608695652173"/>
    <n v="0"/>
    <n v="4.71"/>
    <n v="-1"/>
    <n v="1"/>
    <n v="-1"/>
    <n v="0.57000000000000006"/>
    <n v="-1"/>
    <n v="0"/>
    <n v="0"/>
    <n v="1"/>
    <n v="1"/>
    <n v="1"/>
    <n v="0"/>
    <n v="0"/>
    <n v="0"/>
    <n v="1"/>
    <s v="FEV"/>
    <n v="20"/>
    <n v="0"/>
    <n v="0"/>
    <n v="1"/>
    <x v="6"/>
    <x v="6"/>
    <n v="0.17391304347826086"/>
    <n v="0.26315789473684209"/>
    <n v="0.63694267515923564"/>
    <n v="-7.4013613374338538E-2"/>
    <n v="0.17391304347826086"/>
    <n v="0.31847133757961782"/>
    <s v="Vitoria"/>
    <n v="2.1666666666666665"/>
    <n v="0.4"/>
    <n v="1.3291601358251257"/>
    <n v="0.54772255750516607"/>
    <n v="0.61345852422698111"/>
    <n v="1.3693063937629151"/>
    <s v="Vitoria"/>
    <n v="0"/>
    <n v="0"/>
    <n v="0"/>
    <n v="0.2"/>
    <s v="Vitoria"/>
    <n v="1.3333333333333333"/>
    <n v="0.6"/>
    <n v="0.81649658092772603"/>
    <n v="0.54772255750516607"/>
    <n v="0.61237243569579458"/>
    <n v="0.91287092917527679"/>
    <s v="Vitoria"/>
    <n v="0.33333333333333331"/>
    <n v="2.4"/>
    <n v="0.81649658092772603"/>
    <n v="1.6733200530681511"/>
    <n v="2.4494897427831783"/>
    <n v="0.69721668877839638"/>
    <s v="Vitoria"/>
    <n v="0.82969108822875759"/>
    <n v="0.57606583609555373"/>
    <n v="0.31952527673171294"/>
    <n v="1.5093209553043345"/>
    <n v="0.51016581149704465"/>
    <n v="-0.93325511920878079"/>
    <s v="Vitoria"/>
    <n v="3"/>
    <n v="5.75"/>
    <n v="1.4041937188294209"/>
    <n v="2.6634094690828145"/>
    <n v="0.4680645729431403"/>
    <n v="0.4632016467970112"/>
    <s v="Vitoria"/>
    <n v="0.83333333333333337"/>
    <n v="1"/>
    <n v="0.66666666666666663"/>
    <n v="1"/>
    <n v="0.16666666666666666"/>
    <n v="0.4"/>
    <n v="0"/>
    <n v="0.2"/>
    <n v="0"/>
    <n v="0.2"/>
    <n v="0"/>
    <n v="0.2"/>
    <s v="Vitoria"/>
    <n v="0.16666666666666666"/>
    <n v="0.6"/>
    <s v="Vitoria"/>
    <n v="0.47070951918420906"/>
    <n v="0.35432808155699719"/>
    <n v="0.28120796955353294"/>
    <n v="0.34888085432389121"/>
    <n v="0.59741296509341268"/>
    <n v="0.98462660027065974"/>
    <s v="Vitoria"/>
    <n v="0.37075526980475737"/>
    <n v="0.53082251082251086"/>
    <n v="0.31910567595985784"/>
    <n v="0.43864846235836352"/>
    <n v="0.86069087063253713"/>
    <n v="0.82635618010750256"/>
    <s v="Vitoria"/>
    <n v="6.5"/>
    <n v="2.3000000000000003"/>
    <s v="Vitoria"/>
    <n v="3.6799999999999997"/>
    <n v="-5"/>
    <n v="-3"/>
    <n v="1.8000000000000003"/>
  </r>
  <r>
    <x v="6"/>
    <x v="5"/>
    <x v="18"/>
    <n v="3"/>
    <n v="3"/>
    <s v="D"/>
    <x v="1"/>
    <x v="8"/>
    <x v="17"/>
    <n v="1"/>
    <n v="1"/>
    <n v="1.1320754716981132"/>
    <n v="1.1111111111111109"/>
    <n v="2.7"/>
    <n v="2.65"/>
    <n v="0"/>
    <n v="0"/>
    <n v="-1"/>
    <n v="-1"/>
    <n v="2.2000000000000002"/>
    <n v="0"/>
    <n v="0"/>
    <n v="1"/>
    <n v="1"/>
    <n v="1"/>
    <n v="1"/>
    <n v="1"/>
    <n v="1"/>
    <n v="1"/>
    <s v="FEV"/>
    <n v="21"/>
    <n v="0"/>
    <n v="1"/>
    <n v="0"/>
    <x v="0"/>
    <x v="0"/>
    <n v="0.37037037037037035"/>
    <n v="0.3125"/>
    <n v="0.37735849056603776"/>
    <n v="-6.0228860936408113E-2"/>
    <n v="0.12345679012345678"/>
    <n v="0.12578616352201258"/>
    <m/>
    <n v="1.7820238095238092"/>
    <n v="0.96726190476190455"/>
    <n v="1.1789989888551917"/>
    <n v="1.0519970140616099"/>
    <n v="0.79004185418905093"/>
    <n v="1.3457576966448981"/>
    <m/>
    <n v="7.4642857142857136E-2"/>
    <n v="1.4285714285714285E-2"/>
    <n v="1.4285714285714285E-2"/>
    <n v="6.9761904761904761E-2"/>
    <n v="0"/>
    <n v="1.6070238095238096"/>
    <n v="1.0415476190476192"/>
    <n v="1.1358431590071016"/>
    <n v="0.82577659514127788"/>
    <n v="0.75832865716859721"/>
    <n v="0.9063826423545821"/>
    <n v="0"/>
    <n v="1.0432142857142854"/>
    <n v="1.5901190476190479"/>
    <n v="0.86833097381901303"/>
    <n v="1.0396582840190534"/>
    <n v="0.93595300508632095"/>
    <n v="0.67762513548314263"/>
    <n v="0"/>
    <n v="1"/>
    <n v="1"/>
    <n v="1.0000000000000004"/>
    <n v="0.99999999999999978"/>
    <n v="-3.497202527569243E-16"/>
    <n v="4.9960036108132046E-17"/>
    <n v="0"/>
    <n v="2.2111214285714285"/>
    <n v="4.2646964285714288"/>
    <n v="0.53491721599110087"/>
    <n v="1.4895666017063567"/>
    <n v="0.23235995152075262"/>
    <n v="0.32657381137010943"/>
    <n v="0"/>
    <n v="0.95190476190476192"/>
    <n v="0.95071428571428584"/>
    <n v="0.78499999999999992"/>
    <n v="0.7857142857142857"/>
    <n v="0.48357142857142865"/>
    <n v="0.47595238095238102"/>
    <n v="0.22297619047619052"/>
    <n v="0.21785714285714289"/>
    <n v="0.12869047619047619"/>
    <n v="0.1273809523809524"/>
    <n v="5.8095238095238103E-2"/>
    <n v="5.9761904761904759E-2"/>
    <n v="0"/>
    <n v="0.55928571428571439"/>
    <n v="0.56892857142857145"/>
    <n v="0"/>
    <n v="0.42363898011541468"/>
    <n v="0.47439728825058314"/>
    <n v="0.32186986052006639"/>
    <n v="0.40187668163733248"/>
    <n v="0.74453312679421657"/>
    <n v="0.94657334280186201"/>
    <n v="0"/>
    <n v="0.43642939474508652"/>
    <n v="0.4710589693099223"/>
    <n v="0.28559056930120874"/>
    <n v="0.35529158577470016"/>
    <n v="0.66256198564963675"/>
    <n v="0.79173021502228336"/>
    <n v="0"/>
    <n v="3.8138645975056691"/>
    <n v="3.7128514597505662"/>
    <n v="0"/>
    <n v="-9.200000000000004E-2"/>
    <n v="-0.99249999999999994"/>
    <n v="-0.63500000000000001"/>
    <n v="-0.63499999999999968"/>
  </r>
  <r>
    <x v="6"/>
    <x v="8"/>
    <x v="9"/>
    <n v="2"/>
    <n v="2"/>
    <s v="D"/>
    <x v="14"/>
    <x v="6"/>
    <x v="5"/>
    <n v="1"/>
    <n v="1"/>
    <n v="0.625"/>
    <n v="0.83333333333333337"/>
    <n v="2.4"/>
    <n v="3.2"/>
    <n v="0"/>
    <n v="0"/>
    <n v="-1"/>
    <n v="-1"/>
    <n v="2"/>
    <n v="0"/>
    <n v="0"/>
    <n v="1"/>
    <n v="1"/>
    <n v="1"/>
    <n v="1"/>
    <n v="0"/>
    <n v="0"/>
    <n v="1"/>
    <s v="FEV"/>
    <n v="22"/>
    <n v="0"/>
    <n v="1"/>
    <n v="0"/>
    <x v="3"/>
    <x v="1"/>
    <n v="0.41666666666666669"/>
    <n v="0.33333333333333331"/>
    <n v="0.3125"/>
    <n v="-6.25E-2"/>
    <n v="0.20833333333333334"/>
    <n v="0.15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0"/>
    <x v="3"/>
    <n v="3"/>
    <n v="3"/>
    <s v="D"/>
    <x v="9"/>
    <x v="9"/>
    <x v="10"/>
    <n v="1"/>
    <n v="1"/>
    <n v="0.4"/>
    <n v="2.1276595744680851"/>
    <n v="1.41"/>
    <n v="7.5"/>
    <n v="0"/>
    <n v="0"/>
    <n v="-1"/>
    <n v="-1"/>
    <n v="3.5"/>
    <n v="0"/>
    <n v="0"/>
    <n v="1"/>
    <n v="1"/>
    <n v="1"/>
    <n v="1"/>
    <n v="1"/>
    <n v="1"/>
    <n v="1"/>
    <s v="FEV"/>
    <n v="23"/>
    <n v="0"/>
    <n v="1"/>
    <n v="0"/>
    <x v="2"/>
    <x v="3"/>
    <n v="0.70921985815602839"/>
    <n v="0.22222222222222221"/>
    <n v="0.13333333333333333"/>
    <n v="-6.4775413711583907E-2"/>
    <n v="0.2364066193853428"/>
    <n v="4.444444444444444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7"/>
    <x v="4"/>
    <n v="2"/>
    <n v="0"/>
    <s v="H"/>
    <x v="15"/>
    <x v="8"/>
    <x v="18"/>
    <n v="3"/>
    <n v="0"/>
    <n v="0.47619047619047616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FEV"/>
    <n v="24"/>
    <n v="1"/>
    <n v="0"/>
    <n v="0"/>
    <x v="1"/>
    <x v="2"/>
    <n v="0.52356020942408377"/>
    <n v="0.3125"/>
    <n v="0.23809523809523808"/>
    <n v="-7.4155447519321793E-2"/>
    <n v="0.2617801047120418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7"/>
    <x v="6"/>
    <n v="0"/>
    <n v="1"/>
    <s v="A"/>
    <x v="5"/>
    <x v="7"/>
    <x v="19"/>
    <n v="0"/>
    <n v="3"/>
    <n v="0"/>
    <n v="0.45454545454545453"/>
    <n v="0"/>
    <n v="9.3000000000000007"/>
    <n v="-1"/>
    <n v="1"/>
    <n v="-1"/>
    <n v="2.1"/>
    <n v="-1"/>
    <n v="0"/>
    <n v="0"/>
    <n v="1"/>
    <n v="0"/>
    <n v="0"/>
    <n v="0"/>
    <n v="0"/>
    <n v="0"/>
    <n v="0"/>
    <s v="FEV"/>
    <n v="25"/>
    <n v="0"/>
    <n v="0"/>
    <n v="1"/>
    <x v="3"/>
    <x v="1"/>
    <n v="0.45454545454545453"/>
    <n v="0.30303030303030304"/>
    <n v="0.32258064516129031"/>
    <n v="-8.0156402737047827E-2"/>
    <n v="1"/>
    <n v="0.32258064516129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9"/>
    <x v="5"/>
    <n v="2"/>
    <n v="1"/>
    <s v="H"/>
    <x v="2"/>
    <x v="2"/>
    <x v="9"/>
    <n v="3"/>
    <n v="0"/>
    <n v="0.5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FEV"/>
    <n v="26"/>
    <n v="1"/>
    <n v="0"/>
    <n v="0"/>
    <x v="1"/>
    <x v="1"/>
    <n v="0.51020408163265307"/>
    <n v="0.30769230769230771"/>
    <n v="0.25"/>
    <n v="-6.7896389324960893E-2"/>
    <n v="0.25510204081632654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4"/>
    <x v="14"/>
    <n v="1"/>
    <n v="0"/>
    <s v="H"/>
    <x v="16"/>
    <x v="7"/>
    <x v="20"/>
    <n v="3"/>
    <n v="0"/>
    <n v="0.18181818181818182"/>
    <n v="0"/>
    <n v="5.28"/>
    <n v="0"/>
    <n v="1"/>
    <n v="-1"/>
    <n v="0.76"/>
    <n v="-1"/>
    <n v="-1"/>
    <n v="0"/>
    <n v="0"/>
    <n v="1"/>
    <n v="0"/>
    <n v="0"/>
    <n v="0"/>
    <n v="0"/>
    <n v="0"/>
    <n v="0"/>
    <s v="FEV"/>
    <n v="27"/>
    <n v="1"/>
    <n v="0"/>
    <n v="0"/>
    <x v="1"/>
    <x v="2"/>
    <n v="0.56818181818181823"/>
    <n v="0.30303030303030304"/>
    <n v="0.18181818181818182"/>
    <n v="-5.3030303030303205E-2"/>
    <n v="0.5681818181818182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6"/>
    <x v="1"/>
    <n v="2"/>
    <n v="0"/>
    <s v="H"/>
    <x v="17"/>
    <x v="8"/>
    <x v="3"/>
    <n v="3"/>
    <n v="0"/>
    <n v="0.42105263157894735"/>
    <n v="0"/>
    <n v="5.58"/>
    <n v="0"/>
    <n v="2"/>
    <n v="-2"/>
    <n v="0.8600000000000001"/>
    <n v="-1"/>
    <n v="-1"/>
    <n v="0"/>
    <n v="0"/>
    <n v="1"/>
    <n v="1"/>
    <n v="0"/>
    <n v="0"/>
    <n v="0"/>
    <n v="0"/>
    <n v="0"/>
    <s v="FEV"/>
    <n v="28"/>
    <n v="1"/>
    <n v="0"/>
    <n v="0"/>
    <x v="1"/>
    <x v="2"/>
    <n v="0.5376344086021505"/>
    <n v="0.3125"/>
    <n v="0.21052631578947367"/>
    <n v="-6.0660724391624177E-2"/>
    <n v="0.2688172043010752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2"/>
    <x v="0"/>
    <n v="1"/>
    <n v="3"/>
    <s v="A"/>
    <x v="10"/>
    <x v="3"/>
    <x v="21"/>
    <n v="0"/>
    <n v="3"/>
    <n v="0.44444444444444442"/>
    <n v="0.96774193548387089"/>
    <n v="0"/>
    <n v="6.75"/>
    <n v="-2"/>
    <n v="2"/>
    <n v="-1"/>
    <n v="1.25"/>
    <n v="-1"/>
    <n v="0"/>
    <n v="0"/>
    <n v="1"/>
    <n v="1"/>
    <n v="1"/>
    <n v="1"/>
    <n v="0"/>
    <n v="0"/>
    <n v="1"/>
    <s v="FEV"/>
    <n v="29"/>
    <n v="0"/>
    <n v="0"/>
    <n v="1"/>
    <x v="4"/>
    <x v="4"/>
    <n v="0.32258064516129031"/>
    <n v="0.29411764705882354"/>
    <n v="0.44444444444444442"/>
    <n v="-6.1142736664558273E-2"/>
    <n v="0.32258064516129031"/>
    <n v="0.148148148148148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19"/>
    <x v="19"/>
    <n v="0"/>
    <n v="1"/>
    <s v="A"/>
    <x v="18"/>
    <x v="6"/>
    <x v="22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FEV"/>
    <n v="30"/>
    <n v="0"/>
    <n v="0"/>
    <n v="1"/>
    <x v="0"/>
    <x v="0"/>
    <n v="0.38910505836575876"/>
    <n v="0.33333333333333331"/>
    <n v="0.35087719298245612"/>
    <n v="-7.3315584681548085E-2"/>
    <n v="1"/>
    <n v="0.35087719298245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0"/>
    <x v="2"/>
    <n v="1"/>
    <n v="1"/>
    <s v="D"/>
    <x v="8"/>
    <x v="7"/>
    <x v="2"/>
    <n v="1"/>
    <n v="1"/>
    <n v="0.25641025641025644"/>
    <n v="0.49751243781094534"/>
    <n v="2.0099999999999998"/>
    <n v="3.9"/>
    <n v="0"/>
    <n v="0"/>
    <n v="-1"/>
    <n v="-1"/>
    <n v="2.2999999999999998"/>
    <n v="0"/>
    <n v="0"/>
    <n v="1"/>
    <n v="1"/>
    <n v="0"/>
    <n v="0"/>
    <n v="0"/>
    <n v="0"/>
    <n v="1"/>
    <s v="FEV"/>
    <n v="31"/>
    <n v="0"/>
    <n v="1"/>
    <n v="0"/>
    <x v="3"/>
    <x v="1"/>
    <n v="0.49751243781094534"/>
    <n v="0.30303030303030304"/>
    <n v="0.25641025641025644"/>
    <n v="-5.6952997251504822E-2"/>
    <n v="0.4975124378109453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2"/>
    <x v="11"/>
    <n v="1"/>
    <n v="1"/>
    <s v="D"/>
    <x v="19"/>
    <x v="3"/>
    <x v="23"/>
    <n v="1"/>
    <n v="1"/>
    <n v="0.46511627906976744"/>
    <n v="0.30769230769230771"/>
    <n v="3.25"/>
    <n v="2.15"/>
    <n v="0"/>
    <n v="0"/>
    <n v="-1"/>
    <n v="-1"/>
    <n v="2.4"/>
    <n v="0"/>
    <n v="0"/>
    <n v="1"/>
    <n v="1"/>
    <n v="0"/>
    <n v="0"/>
    <n v="0"/>
    <n v="0"/>
    <n v="1"/>
    <s v="FEV"/>
    <n v="32"/>
    <n v="0"/>
    <n v="1"/>
    <n v="0"/>
    <x v="4"/>
    <x v="4"/>
    <n v="0.30769230769230771"/>
    <n v="0.29411764705882354"/>
    <n v="0.46511627906976744"/>
    <n v="-6.6926233820898684E-2"/>
    <n v="0.30769230769230771"/>
    <n v="0.46511627906976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"/>
    <x v="13"/>
    <n v="0"/>
    <n v="1"/>
    <s v="A"/>
    <x v="20"/>
    <x v="0"/>
    <x v="24"/>
    <n v="0"/>
    <n v="3"/>
    <n v="0"/>
    <n v="0.4"/>
    <n v="0"/>
    <n v="9"/>
    <n v="-1"/>
    <n v="1"/>
    <n v="-1"/>
    <n v="2"/>
    <n v="-1"/>
    <n v="0"/>
    <n v="0"/>
    <n v="1"/>
    <n v="0"/>
    <n v="0"/>
    <n v="0"/>
    <n v="0"/>
    <n v="0"/>
    <n v="0"/>
    <s v="FEV"/>
    <n v="33"/>
    <n v="0"/>
    <n v="0"/>
    <n v="1"/>
    <x v="0"/>
    <x v="0"/>
    <n v="0.4"/>
    <n v="0.32258064516129031"/>
    <n v="0.33333333333333331"/>
    <n v="-5.5913978494623651E-2"/>
    <n v="1"/>
    <n v="0.33333333333333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8"/>
    <x v="19"/>
    <n v="1"/>
    <n v="1"/>
    <s v="D"/>
    <x v="21"/>
    <x v="5"/>
    <x v="20"/>
    <n v="1"/>
    <n v="1"/>
    <n v="0.18181818181818182"/>
    <n v="0.60240963855421692"/>
    <n v="1.66"/>
    <n v="5.5"/>
    <n v="0"/>
    <n v="0"/>
    <n v="-1"/>
    <n v="-1"/>
    <n v="2.5"/>
    <n v="0"/>
    <n v="0"/>
    <n v="1"/>
    <n v="1"/>
    <n v="0"/>
    <n v="0"/>
    <n v="0"/>
    <n v="0"/>
    <n v="1"/>
    <s v="FEV"/>
    <n v="34"/>
    <n v="0"/>
    <n v="1"/>
    <n v="0"/>
    <x v="2"/>
    <x v="2"/>
    <n v="0.60240963855421692"/>
    <n v="0.2857142857142857"/>
    <n v="0.18181818181818182"/>
    <n v="-6.9942106086684497E-2"/>
    <n v="0.60240963855421692"/>
    <n v="0.18181818181818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4"/>
    <x v="10"/>
    <n v="2"/>
    <n v="1"/>
    <s v="H"/>
    <x v="22"/>
    <x v="7"/>
    <x v="8"/>
    <n v="3"/>
    <n v="0"/>
    <n v="0.588235294117647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FEV"/>
    <n v="35"/>
    <n v="1"/>
    <n v="0"/>
    <n v="0"/>
    <x v="3"/>
    <x v="1"/>
    <n v="0.47619047619047616"/>
    <n v="0.30303030303030304"/>
    <n v="0.29411764705882354"/>
    <n v="-7.3338426279602853E-2"/>
    <n v="0.23809523809523808"/>
    <n v="0.2941176470588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5"/>
    <x v="16"/>
    <n v="2"/>
    <n v="1"/>
    <s v="H"/>
    <x v="23"/>
    <x v="11"/>
    <x v="25"/>
    <n v="3"/>
    <n v="0"/>
    <n v="0.4"/>
    <n v="0.61728395061728392"/>
    <n v="4.8600000000000003"/>
    <n v="0"/>
    <n v="1"/>
    <n v="-1"/>
    <n v="0.62000000000000011"/>
    <n v="-1"/>
    <n v="-1"/>
    <n v="0"/>
    <n v="0"/>
    <n v="1"/>
    <n v="1"/>
    <n v="1"/>
    <n v="0"/>
    <n v="0"/>
    <n v="0"/>
    <n v="1"/>
    <s v="FEV"/>
    <n v="36"/>
    <n v="1"/>
    <n v="0"/>
    <n v="0"/>
    <x v="2"/>
    <x v="2"/>
    <n v="0.61728395061728392"/>
    <n v="0.25641025641025644"/>
    <n v="0.2"/>
    <n v="-7.369420702754037E-2"/>
    <n v="0.30864197530864196"/>
    <n v="0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3"/>
    <x v="8"/>
    <n v="2"/>
    <n v="1"/>
    <s v="H"/>
    <x v="8"/>
    <x v="3"/>
    <x v="26"/>
    <n v="3"/>
    <n v="0"/>
    <n v="0.53333333333333333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FEV"/>
    <n v="37"/>
    <n v="1"/>
    <n v="0"/>
    <n v="0"/>
    <x v="3"/>
    <x v="1"/>
    <n v="0.49751243781094534"/>
    <n v="0.29411764705882354"/>
    <n v="0.26666666666666666"/>
    <n v="-5.8296751536435432E-2"/>
    <n v="0.24875621890547267"/>
    <n v="0.2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x v="5"/>
    <n v="2"/>
    <n v="2"/>
    <s v="D"/>
    <x v="21"/>
    <x v="14"/>
    <x v="3"/>
    <n v="1"/>
    <n v="1"/>
    <n v="0.42105263157894735"/>
    <n v="1.2048192771084338"/>
    <n v="1.66"/>
    <n v="4.75"/>
    <n v="0"/>
    <n v="0"/>
    <n v="-1"/>
    <n v="-1"/>
    <n v="2.7"/>
    <n v="0"/>
    <n v="0"/>
    <n v="1"/>
    <n v="1"/>
    <n v="1"/>
    <n v="1"/>
    <n v="0"/>
    <n v="0"/>
    <n v="1"/>
    <s v="MAR"/>
    <n v="38"/>
    <n v="0"/>
    <n v="1"/>
    <n v="0"/>
    <x v="2"/>
    <x v="2"/>
    <n v="0.60240963855421692"/>
    <n v="0.27027027027027023"/>
    <n v="0.21052631578947367"/>
    <n v="-8.3206224613960877E-2"/>
    <n v="0.30120481927710846"/>
    <n v="0.10526315789473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0"/>
    <x v="11"/>
    <n v="1"/>
    <n v="0"/>
    <s v="H"/>
    <x v="8"/>
    <x v="3"/>
    <x v="27"/>
    <n v="3"/>
    <n v="0"/>
    <n v="0.27027027027027023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MAR"/>
    <n v="39"/>
    <n v="1"/>
    <n v="0"/>
    <n v="0"/>
    <x v="3"/>
    <x v="1"/>
    <n v="0.49751243781094534"/>
    <n v="0.29411764705882354"/>
    <n v="0.27027027027027023"/>
    <n v="-6.1900355140038998E-2"/>
    <n v="0.4975124378109453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16"/>
    <x v="15"/>
    <n v="1"/>
    <n v="1"/>
    <s v="D"/>
    <x v="21"/>
    <x v="15"/>
    <x v="28"/>
    <n v="1"/>
    <n v="1"/>
    <n v="0.19047619047619047"/>
    <n v="0.60240963855421692"/>
    <n v="1.66"/>
    <n v="5.25"/>
    <n v="0"/>
    <n v="0"/>
    <n v="-1"/>
    <n v="-1"/>
    <n v="2.6"/>
    <n v="0"/>
    <n v="0"/>
    <n v="1"/>
    <n v="1"/>
    <n v="0"/>
    <n v="0"/>
    <n v="0"/>
    <n v="0"/>
    <n v="1"/>
    <s v="MAR"/>
    <n v="40"/>
    <n v="0"/>
    <n v="1"/>
    <n v="0"/>
    <x v="2"/>
    <x v="2"/>
    <n v="0.60240963855421692"/>
    <n v="0.27777777777777779"/>
    <n v="0.19047619047619047"/>
    <n v="-7.0663606808185175E-2"/>
    <n v="0.60240963855421692"/>
    <n v="0.19047619047619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6"/>
    <x v="18"/>
    <n v="0"/>
    <n v="2"/>
    <s v="A"/>
    <x v="23"/>
    <x v="16"/>
    <x v="25"/>
    <n v="0"/>
    <n v="3"/>
    <n v="0"/>
    <n v="1.2345679012345678"/>
    <n v="0"/>
    <n v="15"/>
    <n v="-2"/>
    <n v="2"/>
    <n v="-1"/>
    <n v="4"/>
    <n v="-1"/>
    <n v="0"/>
    <n v="0"/>
    <n v="1"/>
    <n v="1"/>
    <n v="0"/>
    <n v="0"/>
    <n v="0"/>
    <n v="0"/>
    <n v="0"/>
    <s v="MAR"/>
    <n v="41"/>
    <n v="0"/>
    <n v="0"/>
    <n v="1"/>
    <x v="2"/>
    <x v="2"/>
    <n v="0.61728395061728392"/>
    <n v="0.26666666666666666"/>
    <n v="0.2"/>
    <n v="-8.395061728395059E-2"/>
    <n v="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1"/>
    <x v="9"/>
    <n v="2"/>
    <n v="0"/>
    <s v="H"/>
    <x v="24"/>
    <x v="17"/>
    <x v="29"/>
    <n v="3"/>
    <n v="0"/>
    <n v="0.30769230769230771"/>
    <n v="0"/>
    <n v="4.3499999999999996"/>
    <n v="0"/>
    <n v="2"/>
    <n v="-2"/>
    <n v="0.44999999999999996"/>
    <n v="-1"/>
    <n v="-1"/>
    <n v="0"/>
    <n v="0"/>
    <n v="1"/>
    <n v="1"/>
    <n v="0"/>
    <n v="0"/>
    <n v="0"/>
    <n v="0"/>
    <n v="0"/>
    <s v="MAR"/>
    <n v="42"/>
    <n v="1"/>
    <n v="0"/>
    <n v="0"/>
    <x v="2"/>
    <x v="3"/>
    <n v="0.68965517241379315"/>
    <n v="0.23809523809523808"/>
    <n v="0.15384615384615385"/>
    <n v="-8.1596564355185031E-2"/>
    <n v="0.3448275862068965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2"/>
    <x v="16"/>
    <n v="0"/>
    <n v="2"/>
    <s v="A"/>
    <x v="25"/>
    <x v="5"/>
    <x v="30"/>
    <n v="0"/>
    <n v="3"/>
    <n v="0"/>
    <n v="0.5"/>
    <n v="0"/>
    <n v="5.58"/>
    <n v="-2"/>
    <n v="2"/>
    <n v="-1"/>
    <n v="0.8600000000000001"/>
    <n v="-1"/>
    <n v="0"/>
    <n v="0"/>
    <n v="1"/>
    <n v="1"/>
    <n v="0"/>
    <n v="0"/>
    <n v="0"/>
    <n v="0"/>
    <n v="0"/>
    <s v="MAR"/>
    <n v="43"/>
    <n v="0"/>
    <n v="0"/>
    <n v="1"/>
    <x v="4"/>
    <x v="7"/>
    <n v="0.25"/>
    <n v="0.2857142857142857"/>
    <n v="0.5376344086021505"/>
    <n v="-7.3348694316436092E-2"/>
    <n v="1"/>
    <n v="0.268817204301075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7"/>
    <x v="0"/>
    <n v="2"/>
    <n v="1"/>
    <s v="H"/>
    <x v="10"/>
    <x v="2"/>
    <x v="11"/>
    <n v="3"/>
    <n v="0"/>
    <n v="0.83333333333333337"/>
    <n v="0.32258064516129031"/>
    <n v="9.3000000000000007"/>
    <n v="0"/>
    <n v="1"/>
    <n v="-1"/>
    <n v="2.1"/>
    <n v="-1"/>
    <n v="-1"/>
    <n v="0"/>
    <n v="0"/>
    <n v="1"/>
    <n v="1"/>
    <n v="1"/>
    <n v="0"/>
    <n v="0"/>
    <n v="0"/>
    <n v="1"/>
    <s v="MAR"/>
    <n v="44"/>
    <n v="1"/>
    <n v="0"/>
    <n v="0"/>
    <x v="4"/>
    <x v="4"/>
    <n v="0.32258064516129031"/>
    <n v="0.30769230769230771"/>
    <n v="0.41666666666666669"/>
    <n v="-4.6939619520264708E-2"/>
    <n v="0.16129032258064516"/>
    <n v="0.416666666666666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7"/>
    <x v="17"/>
    <n v="2"/>
    <n v="0"/>
    <s v="H"/>
    <x v="26"/>
    <x v="9"/>
    <x v="10"/>
    <n v="3"/>
    <n v="0"/>
    <n v="0.26666666666666666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MAR"/>
    <n v="45"/>
    <n v="1"/>
    <n v="0"/>
    <n v="0"/>
    <x v="5"/>
    <x v="3"/>
    <n v="0.71942446043165476"/>
    <n v="0.22222222222222221"/>
    <n v="0.13333333333333333"/>
    <n v="-7.4980015987210269E-2"/>
    <n v="0.3597122302158273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x v="14"/>
    <x v="1"/>
    <n v="1"/>
    <n v="1"/>
    <s v="D"/>
    <x v="27"/>
    <x v="3"/>
    <x v="5"/>
    <n v="1"/>
    <n v="1"/>
    <n v="0.3125"/>
    <n v="0.46511627906976744"/>
    <n v="2.15"/>
    <n v="3.2"/>
    <n v="0"/>
    <n v="0"/>
    <n v="-1"/>
    <n v="-1"/>
    <n v="2.4"/>
    <n v="0"/>
    <n v="0"/>
    <n v="1"/>
    <n v="1"/>
    <n v="0"/>
    <n v="0"/>
    <n v="0"/>
    <n v="0"/>
    <n v="1"/>
    <s v="MAR"/>
    <n v="46"/>
    <n v="0"/>
    <n v="1"/>
    <n v="0"/>
    <x v="3"/>
    <x v="1"/>
    <n v="0.46511627906976744"/>
    <n v="0.29411764705882354"/>
    <n v="0.3125"/>
    <n v="-7.1733926128590975E-2"/>
    <n v="0.46511627906976744"/>
    <n v="0.3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x v="3"/>
    <x v="10"/>
    <n v="2"/>
    <n v="0"/>
    <s v="H"/>
    <x v="28"/>
    <x v="0"/>
    <x v="31"/>
    <n v="3"/>
    <n v="0"/>
    <n v="0.61538461538461542"/>
    <n v="0"/>
    <n v="6.9599999999999991"/>
    <n v="0"/>
    <n v="2"/>
    <n v="-2"/>
    <n v="1.3199999999999998"/>
    <n v="-1"/>
    <n v="-1"/>
    <n v="0"/>
    <n v="0"/>
    <n v="1"/>
    <n v="1"/>
    <n v="0"/>
    <n v="0"/>
    <n v="0"/>
    <n v="0"/>
    <n v="0"/>
    <s v="MAR"/>
    <n v="47"/>
    <n v="1"/>
    <n v="0"/>
    <n v="0"/>
    <x v="3"/>
    <x v="1"/>
    <n v="0.43103448275862072"/>
    <n v="0.32258064516129031"/>
    <n v="0.30769230769230771"/>
    <n v="-6.1307435612218741E-2"/>
    <n v="0.2155172413793103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x v="9"/>
    <x v="7"/>
    <n v="0"/>
    <n v="3"/>
    <s v="A"/>
    <x v="29"/>
    <x v="7"/>
    <x v="32"/>
    <n v="0"/>
    <n v="3"/>
    <n v="0"/>
    <n v="0.73170731707317083"/>
    <n v="0"/>
    <n v="5.7299999999999995"/>
    <n v="-3"/>
    <n v="3"/>
    <n v="-1"/>
    <n v="0.90999999999999992"/>
    <n v="-1"/>
    <n v="0"/>
    <n v="0"/>
    <n v="1"/>
    <n v="1"/>
    <n v="1"/>
    <n v="0"/>
    <n v="0"/>
    <n v="0"/>
    <n v="0"/>
    <s v="MAR"/>
    <n v="48"/>
    <n v="0"/>
    <n v="0"/>
    <n v="1"/>
    <x v="7"/>
    <x v="7"/>
    <n v="0.24390243902439027"/>
    <n v="0.30303030303030304"/>
    <n v="0.52356020942408377"/>
    <n v="-7.0492951478777099E-2"/>
    <n v="1"/>
    <n v="0.17452006980802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4"/>
    <x v="2"/>
    <n v="3"/>
    <n v="2"/>
    <s v="H"/>
    <x v="3"/>
    <x v="3"/>
    <x v="3"/>
    <n v="3"/>
    <n v="0"/>
    <n v="0.63157894736842102"/>
    <n v="1.1173184357541899"/>
    <n v="5.37"/>
    <n v="0"/>
    <n v="1"/>
    <n v="-1"/>
    <n v="0.79"/>
    <n v="-1"/>
    <n v="-1"/>
    <n v="0"/>
    <n v="0"/>
    <n v="1"/>
    <n v="1"/>
    <n v="1"/>
    <n v="1"/>
    <n v="1"/>
    <n v="0"/>
    <n v="1"/>
    <s v="MAR"/>
    <n v="49"/>
    <n v="1"/>
    <n v="0"/>
    <n v="0"/>
    <x v="1"/>
    <x v="2"/>
    <n v="0.55865921787709494"/>
    <n v="0.29411764705882354"/>
    <n v="0.21052631578947367"/>
    <n v="-6.3303180725392094E-2"/>
    <n v="0.18621973929236499"/>
    <n v="0.10526315789473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2"/>
    <x v="6"/>
    <n v="0"/>
    <n v="1"/>
    <s v="A"/>
    <x v="16"/>
    <x v="16"/>
    <x v="33"/>
    <n v="0"/>
    <n v="3"/>
    <n v="0"/>
    <n v="0.56818181818181823"/>
    <n v="0"/>
    <n v="12.99"/>
    <n v="-1"/>
    <n v="1"/>
    <n v="-1"/>
    <n v="3.33"/>
    <n v="-1"/>
    <n v="0"/>
    <n v="0"/>
    <n v="1"/>
    <n v="0"/>
    <n v="0"/>
    <n v="0"/>
    <n v="0"/>
    <n v="0"/>
    <n v="0"/>
    <s v="MAR"/>
    <n v="50"/>
    <n v="0"/>
    <n v="0"/>
    <n v="1"/>
    <x v="1"/>
    <x v="2"/>
    <n v="0.56818181818181823"/>
    <n v="0.26666666666666666"/>
    <n v="0.23094688221709006"/>
    <n v="-6.5795367065575094E-2"/>
    <n v="1"/>
    <n v="0.2309468822170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3"/>
    <x v="19"/>
    <n v="1"/>
    <n v="1"/>
    <s v="D"/>
    <x v="18"/>
    <x v="6"/>
    <x v="24"/>
    <n v="1"/>
    <n v="1"/>
    <n v="0.33333333333333331"/>
    <n v="0.38910505836575876"/>
    <n v="2.57"/>
    <n v="3"/>
    <n v="0"/>
    <n v="0"/>
    <n v="-1"/>
    <n v="-1"/>
    <n v="2"/>
    <n v="0"/>
    <n v="0"/>
    <n v="1"/>
    <n v="1"/>
    <n v="0"/>
    <n v="0"/>
    <n v="0"/>
    <n v="0"/>
    <n v="1"/>
    <s v="MAR"/>
    <n v="51"/>
    <n v="0"/>
    <n v="1"/>
    <n v="0"/>
    <x v="0"/>
    <x v="0"/>
    <n v="0.38910505836575876"/>
    <n v="0.33333333333333331"/>
    <n v="0.33333333333333331"/>
    <n v="-5.5771725032425445E-2"/>
    <n v="0.38910505836575876"/>
    <n v="0.33333333333333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"/>
    <x v="3"/>
    <n v="1"/>
    <n v="0"/>
    <s v="H"/>
    <x v="21"/>
    <x v="5"/>
    <x v="25"/>
    <n v="3"/>
    <n v="0"/>
    <n v="0.2"/>
    <n v="0"/>
    <n v="4.9799999999999995"/>
    <n v="0"/>
    <n v="1"/>
    <n v="-1"/>
    <n v="0.65999999999999992"/>
    <n v="-1"/>
    <n v="-1"/>
    <n v="0"/>
    <n v="0"/>
    <n v="1"/>
    <n v="0"/>
    <n v="0"/>
    <n v="0"/>
    <n v="0"/>
    <n v="0"/>
    <n v="0"/>
    <s v="MAR"/>
    <n v="52"/>
    <n v="1"/>
    <n v="0"/>
    <n v="0"/>
    <x v="2"/>
    <x v="2"/>
    <n v="0.60240963855421692"/>
    <n v="0.2857142857142857"/>
    <n v="0.2"/>
    <n v="-8.8123924268502574E-2"/>
    <n v="0.6024096385542169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5"/>
    <x v="12"/>
    <n v="1"/>
    <n v="0"/>
    <s v="H"/>
    <x v="30"/>
    <x v="16"/>
    <x v="20"/>
    <n v="3"/>
    <n v="0"/>
    <n v="0.18181818181818182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n v="53"/>
    <n v="1"/>
    <n v="0"/>
    <n v="0"/>
    <x v="2"/>
    <x v="2"/>
    <n v="0.6211180124223602"/>
    <n v="0.26666666666666666"/>
    <n v="0.18181818181818182"/>
    <n v="-6.9602860907208797E-2"/>
    <n v="0.621118012422360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0"/>
    <x v="13"/>
    <n v="1"/>
    <n v="2"/>
    <s v="A"/>
    <x v="31"/>
    <x v="0"/>
    <x v="5"/>
    <n v="0"/>
    <n v="3"/>
    <n v="0.3125"/>
    <n v="0.85106382978723405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MAR"/>
    <n v="54"/>
    <n v="0"/>
    <n v="0"/>
    <n v="1"/>
    <x v="3"/>
    <x v="1"/>
    <n v="0.42553191489361702"/>
    <n v="0.32258064516129031"/>
    <n v="0.3125"/>
    <n v="-6.0612560054907227E-2"/>
    <n v="0.42553191489361702"/>
    <n v="0.15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8"/>
    <x v="8"/>
    <n v="3"/>
    <n v="3"/>
    <s v="D"/>
    <x v="15"/>
    <x v="3"/>
    <x v="18"/>
    <n v="1"/>
    <n v="1"/>
    <n v="0.7142857142857143"/>
    <n v="1.5706806282722514"/>
    <n v="1.91"/>
    <n v="4.2"/>
    <n v="0"/>
    <n v="0"/>
    <n v="-1"/>
    <n v="-1"/>
    <n v="2.4"/>
    <n v="0"/>
    <n v="0"/>
    <n v="1"/>
    <n v="1"/>
    <n v="1"/>
    <n v="1"/>
    <n v="1"/>
    <n v="1"/>
    <n v="1"/>
    <s v="MAR"/>
    <n v="55"/>
    <n v="0"/>
    <n v="1"/>
    <n v="0"/>
    <x v="1"/>
    <x v="2"/>
    <n v="0.52356020942408377"/>
    <n v="0.29411764705882354"/>
    <n v="0.23809523809523808"/>
    <n v="-5.5773094578145388E-2"/>
    <n v="0.17452006980802792"/>
    <n v="7.936507936507936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x v="5"/>
    <x v="4"/>
    <n v="1"/>
    <n v="1"/>
    <s v="D"/>
    <x v="32"/>
    <x v="3"/>
    <x v="34"/>
    <n v="1"/>
    <n v="1"/>
    <n v="0.43478260869565222"/>
    <n v="0.35087719298245612"/>
    <n v="2.85"/>
    <n v="2.2999999999999998"/>
    <n v="0"/>
    <n v="0"/>
    <n v="-1"/>
    <n v="-1"/>
    <n v="2.4"/>
    <n v="0"/>
    <n v="0"/>
    <n v="1"/>
    <n v="1"/>
    <n v="0"/>
    <n v="0"/>
    <n v="0"/>
    <n v="0"/>
    <n v="1"/>
    <s v="MAR"/>
    <n v="56"/>
    <n v="0"/>
    <n v="1"/>
    <n v="0"/>
    <x v="0"/>
    <x v="4"/>
    <n v="0.35087719298245612"/>
    <n v="0.29411764705882354"/>
    <n v="0.43478260869565222"/>
    <n v="-7.9777448736932044E-2"/>
    <n v="0.35087719298245612"/>
    <n v="0.43478260869565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6"/>
    <x v="1"/>
    <n v="2"/>
    <n v="0"/>
    <s v="H"/>
    <x v="21"/>
    <x v="14"/>
    <x v="28"/>
    <n v="3"/>
    <n v="0"/>
    <n v="0.38095238095238093"/>
    <n v="0"/>
    <n v="4.9799999999999995"/>
    <n v="0"/>
    <n v="2"/>
    <n v="-2"/>
    <n v="0.65999999999999992"/>
    <n v="-1"/>
    <n v="-1"/>
    <n v="0"/>
    <n v="0"/>
    <n v="1"/>
    <n v="1"/>
    <n v="0"/>
    <n v="0"/>
    <n v="0"/>
    <n v="0"/>
    <n v="0"/>
    <s v="MAR"/>
    <n v="57"/>
    <n v="1"/>
    <n v="0"/>
    <n v="0"/>
    <x v="2"/>
    <x v="2"/>
    <n v="0.60240963855421692"/>
    <n v="0.27027027027027023"/>
    <n v="0.19047619047619047"/>
    <n v="-6.3156099300677671E-2"/>
    <n v="0.3012048192771084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5"/>
    <x v="14"/>
    <n v="2"/>
    <n v="1"/>
    <s v="H"/>
    <x v="33"/>
    <x v="18"/>
    <x v="35"/>
    <n v="3"/>
    <n v="0"/>
    <n v="0.32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MAR"/>
    <n v="58"/>
    <n v="1"/>
    <n v="0"/>
    <n v="0"/>
    <x v="2"/>
    <x v="3"/>
    <n v="0.66225165562913912"/>
    <n v="0.25"/>
    <n v="0.16"/>
    <n v="-7.2251655629139044E-2"/>
    <n v="0.33112582781456956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9"/>
    <x v="9"/>
    <n v="2"/>
    <n v="1"/>
    <s v="H"/>
    <x v="22"/>
    <x v="8"/>
    <x v="14"/>
    <n v="3"/>
    <n v="0"/>
    <n v="0.5555555555555555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MAR"/>
    <n v="59"/>
    <n v="1"/>
    <n v="0"/>
    <n v="0"/>
    <x v="3"/>
    <x v="1"/>
    <n v="0.47619047619047616"/>
    <n v="0.3125"/>
    <n v="0.27777777777777779"/>
    <n v="-6.6468253968253954E-2"/>
    <n v="0.23809523809523808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0"/>
    <x v="13"/>
    <n v="1"/>
    <n v="0"/>
    <s v="H"/>
    <x v="7"/>
    <x v="6"/>
    <x v="8"/>
    <n v="3"/>
    <n v="0"/>
    <n v="0.29411764705882354"/>
    <n v="0"/>
    <n v="6.8999999999999995"/>
    <n v="0"/>
    <n v="1"/>
    <n v="-1"/>
    <n v="1.2999999999999998"/>
    <n v="-1"/>
    <n v="-1"/>
    <n v="0"/>
    <n v="0"/>
    <n v="1"/>
    <n v="0"/>
    <n v="0"/>
    <n v="0"/>
    <n v="0"/>
    <n v="0"/>
    <n v="0"/>
    <s v="MAR"/>
    <n v="60"/>
    <n v="1"/>
    <n v="0"/>
    <n v="0"/>
    <x v="3"/>
    <x v="1"/>
    <n v="0.43478260869565222"/>
    <n v="0.33333333333333331"/>
    <n v="0.29411764705882354"/>
    <n v="-6.2233589087809182E-2"/>
    <n v="0.4347826086956522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8"/>
    <x v="18"/>
    <n v="0"/>
    <n v="1"/>
    <s v="A"/>
    <x v="34"/>
    <x v="15"/>
    <x v="35"/>
    <n v="0"/>
    <n v="3"/>
    <n v="0"/>
    <n v="0.63694267515923564"/>
    <n v="0"/>
    <n v="18.75"/>
    <n v="-1"/>
    <n v="1"/>
    <n v="-1"/>
    <n v="5.25"/>
    <n v="-1"/>
    <n v="0"/>
    <n v="0"/>
    <n v="1"/>
    <n v="0"/>
    <n v="0"/>
    <n v="0"/>
    <n v="0"/>
    <n v="0"/>
    <n v="0"/>
    <s v="MAR"/>
    <n v="61"/>
    <n v="0"/>
    <n v="0"/>
    <n v="1"/>
    <x v="2"/>
    <x v="3"/>
    <n v="0.63694267515923564"/>
    <n v="0.27777777777777779"/>
    <n v="0.16"/>
    <n v="-7.4720452937013349E-2"/>
    <n v="1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3"/>
    <x v="11"/>
    <n v="1"/>
    <n v="2"/>
    <s v="A"/>
    <x v="35"/>
    <x v="7"/>
    <x v="27"/>
    <n v="0"/>
    <n v="3"/>
    <n v="0.27027027027027023"/>
    <n v="0.97560975609756106"/>
    <n v="0"/>
    <n v="11.100000000000001"/>
    <n v="-1"/>
    <n v="1"/>
    <n v="-1"/>
    <n v="2.7"/>
    <n v="-1"/>
    <n v="0"/>
    <n v="0"/>
    <n v="1"/>
    <n v="1"/>
    <n v="1"/>
    <n v="0"/>
    <n v="0"/>
    <n v="0"/>
    <n v="1"/>
    <s v="MAR"/>
    <n v="62"/>
    <n v="0"/>
    <n v="0"/>
    <n v="1"/>
    <x v="3"/>
    <x v="1"/>
    <n v="0.48780487804878053"/>
    <n v="0.30303030303030304"/>
    <n v="0.27027027027027023"/>
    <n v="-6.1105451349353856E-2"/>
    <n v="0.48780487804878053"/>
    <n v="0.135135135135135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7"/>
    <x v="16"/>
    <n v="3"/>
    <n v="2"/>
    <s v="H"/>
    <x v="6"/>
    <x v="0"/>
    <x v="36"/>
    <n v="3"/>
    <n v="0"/>
    <n v="1.4285714285714286"/>
    <n v="0.54054054054054046"/>
    <n v="11.100000000000001"/>
    <n v="0"/>
    <n v="1"/>
    <n v="-1"/>
    <n v="2.7"/>
    <n v="-1"/>
    <n v="-1"/>
    <n v="0"/>
    <n v="0"/>
    <n v="1"/>
    <n v="1"/>
    <n v="1"/>
    <n v="1"/>
    <n v="1"/>
    <n v="0"/>
    <n v="1"/>
    <s v="MAR"/>
    <n v="63"/>
    <n v="1"/>
    <n v="0"/>
    <n v="0"/>
    <x v="4"/>
    <x v="4"/>
    <n v="0.27027027027027023"/>
    <n v="0.32258064516129031"/>
    <n v="0.47619047619047616"/>
    <n v="-6.9041391622036707E-2"/>
    <n v="9.0090090090090072E-2"/>
    <n v="0.23809523809523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4"/>
    <x v="15"/>
    <n v="2"/>
    <n v="0"/>
    <s v="H"/>
    <x v="16"/>
    <x v="3"/>
    <x v="3"/>
    <n v="3"/>
    <n v="0"/>
    <n v="0.42105263157894735"/>
    <n v="0"/>
    <n v="5.28"/>
    <n v="0"/>
    <n v="2"/>
    <n v="-2"/>
    <n v="0.76"/>
    <n v="-1"/>
    <n v="-1"/>
    <n v="0"/>
    <n v="0"/>
    <n v="1"/>
    <n v="1"/>
    <n v="0"/>
    <n v="0"/>
    <n v="0"/>
    <n v="0"/>
    <n v="0"/>
    <s v="MAR"/>
    <n v="64"/>
    <n v="1"/>
    <n v="0"/>
    <n v="0"/>
    <x v="1"/>
    <x v="2"/>
    <n v="0.56818181818181823"/>
    <n v="0.29411764705882354"/>
    <n v="0.21052631578947367"/>
    <n v="-7.2825781030115389E-2"/>
    <n v="0.2840909090909091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1"/>
    <x v="3"/>
    <n v="3"/>
    <n v="0"/>
    <s v="H"/>
    <x v="36"/>
    <x v="19"/>
    <x v="37"/>
    <n v="3"/>
    <n v="0"/>
    <n v="0.17647058823529413"/>
    <n v="0"/>
    <n v="3.3899999999999997"/>
    <n v="0"/>
    <n v="3"/>
    <n v="-3"/>
    <n v="0.12999999999999989"/>
    <n v="-1"/>
    <n v="-1"/>
    <n v="0"/>
    <n v="0"/>
    <n v="1"/>
    <n v="1"/>
    <n v="1"/>
    <n v="0"/>
    <n v="0"/>
    <n v="0"/>
    <n v="0"/>
    <s v="MAR"/>
    <n v="65"/>
    <n v="1"/>
    <n v="0"/>
    <n v="0"/>
    <x v="8"/>
    <x v="8"/>
    <n v="0.88495575221238942"/>
    <n v="0.13333333333333333"/>
    <n v="5.8823529411764705E-2"/>
    <n v="-7.7112614957487446E-2"/>
    <n v="0.2949852507374631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x v="5"/>
    <x v="19"/>
    <n v="0"/>
    <n v="0"/>
    <s v="D"/>
    <x v="37"/>
    <x v="0"/>
    <x v="21"/>
    <n v="1"/>
    <n v="1"/>
    <n v="0"/>
    <n v="0"/>
    <n v="3.4"/>
    <n v="2.25"/>
    <n v="0"/>
    <n v="0"/>
    <n v="-1"/>
    <n v="-1"/>
    <n v="2.1"/>
    <n v="0"/>
    <n v="0"/>
    <n v="0"/>
    <n v="0"/>
    <n v="0"/>
    <n v="0"/>
    <n v="0"/>
    <n v="0"/>
    <n v="0"/>
    <s v="MAR"/>
    <n v="66"/>
    <n v="0"/>
    <n v="1"/>
    <n v="0"/>
    <x v="4"/>
    <x v="4"/>
    <n v="0.29411764705882354"/>
    <n v="0.32258064516129031"/>
    <n v="0.44444444444444442"/>
    <n v="-6.1142736664558273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10"/>
    <x v="14"/>
    <n v="1"/>
    <n v="2"/>
    <s v="A"/>
    <x v="17"/>
    <x v="3"/>
    <x v="18"/>
    <n v="0"/>
    <n v="3"/>
    <n v="0.23809523809523808"/>
    <n v="1.075268817204301"/>
    <n v="0"/>
    <n v="12.600000000000001"/>
    <n v="-1"/>
    <n v="1"/>
    <n v="-1"/>
    <n v="3.2"/>
    <n v="-1"/>
    <n v="0"/>
    <n v="0"/>
    <n v="1"/>
    <n v="1"/>
    <n v="1"/>
    <n v="0"/>
    <n v="0"/>
    <n v="0"/>
    <n v="1"/>
    <s v="MAR"/>
    <n v="67"/>
    <n v="0"/>
    <n v="0"/>
    <n v="1"/>
    <x v="1"/>
    <x v="2"/>
    <n v="0.5376344086021505"/>
    <n v="0.29411764705882354"/>
    <n v="0.23809523809523808"/>
    <n v="-6.9847293756212236E-2"/>
    <n v="0.5376344086021505"/>
    <n v="0.11904761904761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4"/>
    <x v="10"/>
    <n v="1"/>
    <n v="0"/>
    <s v="H"/>
    <x v="30"/>
    <x v="15"/>
    <x v="4"/>
    <n v="3"/>
    <n v="0"/>
    <n v="0.16666666666666666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n v="68"/>
    <n v="1"/>
    <n v="0"/>
    <n v="0"/>
    <x v="2"/>
    <x v="3"/>
    <n v="0.6211180124223602"/>
    <n v="0.27777777777777779"/>
    <n v="0.16666666666666666"/>
    <n v="-6.556245686680473E-2"/>
    <n v="0.621118012422360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7"/>
    <x v="0"/>
    <n v="0"/>
    <n v="1"/>
    <s v="A"/>
    <x v="18"/>
    <x v="6"/>
    <x v="22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MAR"/>
    <n v="69"/>
    <n v="0"/>
    <n v="0"/>
    <n v="1"/>
    <x v="0"/>
    <x v="0"/>
    <n v="0.38910505836575876"/>
    <n v="0.33333333333333331"/>
    <n v="0.35087719298245612"/>
    <n v="-7.3315584681548085E-2"/>
    <n v="1"/>
    <n v="0.35087719298245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9"/>
    <x v="18"/>
    <n v="2"/>
    <n v="0"/>
    <s v="H"/>
    <x v="15"/>
    <x v="0"/>
    <x v="3"/>
    <n v="3"/>
    <n v="0"/>
    <n v="0.42105263157894735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MAR"/>
    <n v="70"/>
    <n v="1"/>
    <n v="0"/>
    <n v="0"/>
    <x v="1"/>
    <x v="2"/>
    <n v="0.52356020942408377"/>
    <n v="0.32258064516129031"/>
    <n v="0.21052631578947367"/>
    <n v="-5.6667170374847808E-2"/>
    <n v="0.2617801047120418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8"/>
    <x v="5"/>
    <n v="0"/>
    <n v="0"/>
    <s v="D"/>
    <x v="21"/>
    <x v="15"/>
    <x v="28"/>
    <n v="1"/>
    <n v="1"/>
    <n v="0"/>
    <n v="0"/>
    <n v="1.66"/>
    <n v="5.25"/>
    <n v="0"/>
    <n v="0"/>
    <n v="-1"/>
    <n v="-1"/>
    <n v="2.6"/>
    <n v="0"/>
    <n v="0"/>
    <n v="0"/>
    <n v="0"/>
    <n v="0"/>
    <n v="0"/>
    <n v="0"/>
    <n v="0"/>
    <n v="0"/>
    <s v="MAR"/>
    <n v="71"/>
    <n v="0"/>
    <n v="1"/>
    <n v="0"/>
    <x v="2"/>
    <x v="2"/>
    <n v="0.60240963855421692"/>
    <n v="0.27777777777777779"/>
    <n v="0.19047619047619047"/>
    <n v="-7.0663606808185175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2"/>
    <x v="6"/>
    <n v="4"/>
    <n v="1"/>
    <s v="H"/>
    <x v="0"/>
    <x v="8"/>
    <x v="38"/>
    <n v="3"/>
    <n v="0"/>
    <n v="1.7021276595744681"/>
    <n v="0.33333333333333331"/>
    <n v="9"/>
    <n v="0"/>
    <n v="3"/>
    <n v="-3"/>
    <n v="2"/>
    <n v="-1"/>
    <n v="-1"/>
    <n v="1"/>
    <n v="0"/>
    <n v="1"/>
    <n v="1"/>
    <n v="1"/>
    <n v="1"/>
    <n v="1"/>
    <n v="0"/>
    <n v="1"/>
    <s v="MAR"/>
    <n v="72"/>
    <n v="1"/>
    <n v="0"/>
    <n v="0"/>
    <x v="0"/>
    <x v="4"/>
    <n v="0.33333333333333331"/>
    <n v="0.3125"/>
    <n v="0.42553191489361702"/>
    <n v="-7.1365248226950229E-2"/>
    <n v="8.3333333333333329E-2"/>
    <n v="0.425531914893617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7"/>
    <x v="4"/>
    <n v="2"/>
    <n v="1"/>
    <s v="H"/>
    <x v="38"/>
    <x v="5"/>
    <x v="33"/>
    <n v="3"/>
    <n v="0"/>
    <n v="0.46189376443418012"/>
    <n v="0.5524861878453039"/>
    <n v="5.43"/>
    <n v="0"/>
    <n v="1"/>
    <n v="-1"/>
    <n v="0.81"/>
    <n v="-1"/>
    <n v="-1"/>
    <n v="0"/>
    <n v="0"/>
    <n v="1"/>
    <n v="1"/>
    <n v="1"/>
    <n v="0"/>
    <n v="0"/>
    <n v="0"/>
    <n v="1"/>
    <s v="MAR"/>
    <n v="73"/>
    <n v="1"/>
    <n v="0"/>
    <n v="0"/>
    <x v="1"/>
    <x v="2"/>
    <n v="0.5524861878453039"/>
    <n v="0.2857142857142857"/>
    <n v="0.23094688221709006"/>
    <n v="-6.9147355776679742E-2"/>
    <n v="0.27624309392265195"/>
    <n v="0.2309468822170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2"/>
    <x v="17"/>
    <n v="2"/>
    <n v="0"/>
    <s v="H"/>
    <x v="39"/>
    <x v="20"/>
    <x v="10"/>
    <n v="3"/>
    <n v="0"/>
    <n v="0.26666666666666666"/>
    <n v="0"/>
    <n v="4.1100000000000003"/>
    <n v="0"/>
    <n v="2"/>
    <n v="-2"/>
    <n v="0.37000000000000011"/>
    <n v="-1"/>
    <n v="-1"/>
    <n v="0"/>
    <n v="0"/>
    <n v="1"/>
    <n v="1"/>
    <n v="0"/>
    <n v="0"/>
    <n v="0"/>
    <n v="0"/>
    <n v="0"/>
    <s v="MAR"/>
    <n v="74"/>
    <n v="1"/>
    <n v="0"/>
    <n v="0"/>
    <x v="5"/>
    <x v="3"/>
    <n v="0.72992700729927007"/>
    <n v="0.2"/>
    <n v="0.13333333333333333"/>
    <n v="-6.3260340632603329E-2"/>
    <n v="0.3649635036496350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3"/>
    <x v="12"/>
    <n v="1"/>
    <n v="0"/>
    <s v="H"/>
    <x v="18"/>
    <x v="6"/>
    <x v="22"/>
    <n v="3"/>
    <n v="0"/>
    <n v="0.35087719298245612"/>
    <n v="0"/>
    <n v="7.7099999999999991"/>
    <n v="0"/>
    <n v="1"/>
    <n v="-1"/>
    <n v="1.5699999999999998"/>
    <n v="-1"/>
    <n v="-1"/>
    <n v="0"/>
    <n v="0"/>
    <n v="1"/>
    <n v="0"/>
    <n v="0"/>
    <n v="0"/>
    <n v="0"/>
    <n v="0"/>
    <n v="0"/>
    <s v="MAR"/>
    <n v="75"/>
    <n v="1"/>
    <n v="0"/>
    <n v="0"/>
    <x v="0"/>
    <x v="0"/>
    <n v="0.38910505836575876"/>
    <n v="0.33333333333333331"/>
    <n v="0.35087719298245612"/>
    <n v="-7.3315584681548085E-2"/>
    <n v="0.3891050583657587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6"/>
    <x v="7"/>
    <n v="1"/>
    <n v="1"/>
    <s v="D"/>
    <x v="37"/>
    <x v="0"/>
    <x v="21"/>
    <n v="1"/>
    <n v="1"/>
    <n v="0.44444444444444442"/>
    <n v="0.29411764705882354"/>
    <n v="3.4"/>
    <n v="2.25"/>
    <n v="0"/>
    <n v="0"/>
    <n v="-1"/>
    <n v="-1"/>
    <n v="2.1"/>
    <n v="0"/>
    <n v="0"/>
    <n v="1"/>
    <n v="1"/>
    <n v="0"/>
    <n v="0"/>
    <n v="0"/>
    <n v="0"/>
    <n v="1"/>
    <s v="MAR"/>
    <n v="76"/>
    <n v="0"/>
    <n v="1"/>
    <n v="0"/>
    <x v="4"/>
    <x v="4"/>
    <n v="0.29411764705882354"/>
    <n v="0.32258064516129031"/>
    <n v="0.44444444444444442"/>
    <n v="-6.1142736664558273E-2"/>
    <n v="0.29411764705882354"/>
    <n v="0.444444444444444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9"/>
    <x v="14"/>
    <n v="4"/>
    <n v="1"/>
    <s v="H"/>
    <x v="15"/>
    <x v="7"/>
    <x v="2"/>
    <n v="3"/>
    <n v="0"/>
    <n v="1.0256410256410258"/>
    <n v="0.52356020942408377"/>
    <n v="5.7299999999999995"/>
    <n v="0"/>
    <n v="3"/>
    <n v="-3"/>
    <n v="0.90999999999999992"/>
    <n v="-1"/>
    <n v="-1"/>
    <n v="1"/>
    <n v="0"/>
    <n v="1"/>
    <n v="1"/>
    <n v="1"/>
    <n v="1"/>
    <n v="1"/>
    <n v="0"/>
    <n v="1"/>
    <s v="MAR"/>
    <n v="77"/>
    <n v="1"/>
    <n v="0"/>
    <n v="0"/>
    <x v="1"/>
    <x v="1"/>
    <n v="0.52356020942408377"/>
    <n v="0.30303030303030304"/>
    <n v="0.25641025641025644"/>
    <n v="-8.3000768864643248E-2"/>
    <n v="0.1308900523560209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9"/>
    <x v="12"/>
    <n v="3"/>
    <n v="2"/>
    <s v="H"/>
    <x v="28"/>
    <x v="7"/>
    <x v="24"/>
    <n v="3"/>
    <n v="0"/>
    <n v="1"/>
    <n v="0.86206896551724144"/>
    <n v="6.9599999999999991"/>
    <n v="0"/>
    <n v="1"/>
    <n v="-1"/>
    <n v="1.3199999999999998"/>
    <n v="-1"/>
    <n v="-1"/>
    <n v="0"/>
    <n v="0"/>
    <n v="1"/>
    <n v="1"/>
    <n v="1"/>
    <n v="1"/>
    <n v="1"/>
    <n v="0"/>
    <n v="1"/>
    <s v="ABR"/>
    <n v="78"/>
    <n v="1"/>
    <n v="0"/>
    <n v="0"/>
    <x v="3"/>
    <x v="0"/>
    <n v="0.43103448275862072"/>
    <n v="0.30303030303030304"/>
    <n v="0.33333333333333331"/>
    <n v="-6.7398119122257016E-2"/>
    <n v="0.14367816091954025"/>
    <n v="0.1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2"/>
    <x v="13"/>
    <n v="1"/>
    <n v="1"/>
    <s v="D"/>
    <x v="27"/>
    <x v="6"/>
    <x v="14"/>
    <n v="1"/>
    <n v="1"/>
    <n v="0.27777777777777779"/>
    <n v="0.46511627906976744"/>
    <n v="2.15"/>
    <n v="3.6"/>
    <n v="0"/>
    <n v="0"/>
    <n v="-1"/>
    <n v="-1"/>
    <n v="2"/>
    <n v="0"/>
    <n v="0"/>
    <n v="1"/>
    <n v="1"/>
    <n v="0"/>
    <n v="0"/>
    <n v="0"/>
    <n v="0"/>
    <n v="1"/>
    <s v="ABR"/>
    <n v="79"/>
    <n v="0"/>
    <n v="1"/>
    <n v="0"/>
    <x v="3"/>
    <x v="1"/>
    <n v="0.46511627906976744"/>
    <n v="0.33333333333333331"/>
    <n v="0.27777777777777779"/>
    <n v="-7.622739018087854E-2"/>
    <n v="0.46511627906976744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6"/>
    <x v="2"/>
    <n v="3"/>
    <n v="0"/>
    <s v="H"/>
    <x v="40"/>
    <x v="15"/>
    <x v="3"/>
    <n v="3"/>
    <n v="0"/>
    <n v="0.63157894736842102"/>
    <n v="0"/>
    <n v="5.13"/>
    <n v="0"/>
    <n v="3"/>
    <n v="-3"/>
    <n v="0.71"/>
    <n v="-1"/>
    <n v="-1"/>
    <n v="0"/>
    <n v="0"/>
    <n v="1"/>
    <n v="1"/>
    <n v="1"/>
    <n v="0"/>
    <n v="0"/>
    <n v="0"/>
    <n v="0"/>
    <s v="ABR"/>
    <n v="80"/>
    <n v="1"/>
    <n v="0"/>
    <n v="0"/>
    <x v="1"/>
    <x v="2"/>
    <n v="0.58479532163742687"/>
    <n v="0.27777777777777779"/>
    <n v="0.21052631578947367"/>
    <n v="-7.309941520467822E-2"/>
    <n v="0.19493177387914229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8"/>
    <x v="15"/>
    <n v="3"/>
    <n v="0"/>
    <s v="H"/>
    <x v="41"/>
    <x v="4"/>
    <x v="4"/>
    <n v="3"/>
    <n v="0"/>
    <n v="0.5"/>
    <n v="0"/>
    <n v="4.47"/>
    <n v="0"/>
    <n v="3"/>
    <n v="-3"/>
    <n v="0.49"/>
    <n v="-1"/>
    <n v="-1"/>
    <n v="0"/>
    <n v="0"/>
    <n v="1"/>
    <n v="1"/>
    <n v="1"/>
    <n v="0"/>
    <n v="0"/>
    <n v="0"/>
    <n v="0"/>
    <s v="ABR"/>
    <n v="81"/>
    <n v="1"/>
    <n v="0"/>
    <n v="0"/>
    <x v="2"/>
    <x v="3"/>
    <n v="0.67114093959731547"/>
    <n v="0.24390243902439027"/>
    <n v="0.16666666666666666"/>
    <n v="-8.1710045288372335E-2"/>
    <n v="0.223713646532438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"/>
    <x v="8"/>
    <n v="1"/>
    <n v="1"/>
    <s v="D"/>
    <x v="42"/>
    <x v="6"/>
    <x v="39"/>
    <n v="1"/>
    <n v="1"/>
    <n v="0.36363636363636365"/>
    <n v="0.36363636363636365"/>
    <n v="2.75"/>
    <n v="2.75"/>
    <n v="0"/>
    <n v="0"/>
    <n v="-1"/>
    <n v="-1"/>
    <n v="2"/>
    <n v="0"/>
    <n v="0"/>
    <n v="1"/>
    <n v="1"/>
    <n v="0"/>
    <n v="0"/>
    <n v="0"/>
    <n v="0"/>
    <n v="1"/>
    <s v="ABR"/>
    <n v="82"/>
    <n v="0"/>
    <n v="1"/>
    <n v="0"/>
    <x v="0"/>
    <x v="0"/>
    <n v="0.36363636363636365"/>
    <n v="0.33333333333333331"/>
    <n v="0.36363636363636365"/>
    <n v="-6.0606060606060552E-2"/>
    <n v="0.36363636363636365"/>
    <n v="0.36363636363636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4"/>
    <x v="19"/>
    <n v="3"/>
    <n v="1"/>
    <s v="H"/>
    <x v="38"/>
    <x v="7"/>
    <x v="3"/>
    <n v="3"/>
    <n v="0"/>
    <n v="0.63157894736842102"/>
    <n v="0.5524861878453039"/>
    <n v="5.43"/>
    <n v="0"/>
    <n v="2"/>
    <n v="-2"/>
    <n v="0.81"/>
    <n v="-1"/>
    <n v="-1"/>
    <n v="0"/>
    <n v="0"/>
    <n v="1"/>
    <n v="1"/>
    <n v="1"/>
    <n v="1"/>
    <n v="0"/>
    <n v="0"/>
    <n v="1"/>
    <s v="ABR"/>
    <n v="83"/>
    <n v="1"/>
    <n v="0"/>
    <n v="0"/>
    <x v="1"/>
    <x v="2"/>
    <n v="0.5524861878453039"/>
    <n v="0.30303030303030304"/>
    <n v="0.21052631578947367"/>
    <n v="-6.6042806665080667E-2"/>
    <n v="0.18416206261510129"/>
    <n v="0.210526315789473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5"/>
    <x v="10"/>
    <n v="0"/>
    <n v="4"/>
    <s v="A"/>
    <x v="37"/>
    <x v="8"/>
    <x v="6"/>
    <n v="0"/>
    <n v="3"/>
    <n v="0"/>
    <n v="1.1764705882352942"/>
    <n v="0"/>
    <n v="6.6000000000000005"/>
    <n v="-4"/>
    <n v="4"/>
    <n v="-1"/>
    <n v="1.2000000000000002"/>
    <n v="-1"/>
    <n v="0"/>
    <n v="1"/>
    <n v="1"/>
    <n v="1"/>
    <n v="1"/>
    <n v="1"/>
    <n v="0"/>
    <n v="0"/>
    <n v="0"/>
    <s v="ABR"/>
    <n v="84"/>
    <n v="0"/>
    <n v="0"/>
    <n v="1"/>
    <x v="4"/>
    <x v="4"/>
    <n v="0.29411764705882354"/>
    <n v="0.3125"/>
    <n v="0.45454545454545453"/>
    <n v="-6.1163101604278181E-2"/>
    <n v="1"/>
    <n v="0.113636363636363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3"/>
    <x v="3"/>
    <n v="2"/>
    <n v="0"/>
    <s v="H"/>
    <x v="30"/>
    <x v="14"/>
    <x v="40"/>
    <n v="3"/>
    <n v="0"/>
    <n v="0.34782608695652173"/>
    <n v="0"/>
    <n v="4.83"/>
    <n v="0"/>
    <n v="2"/>
    <n v="-2"/>
    <n v="0.6100000000000001"/>
    <n v="-1"/>
    <n v="-1"/>
    <n v="0"/>
    <n v="0"/>
    <n v="1"/>
    <n v="1"/>
    <n v="0"/>
    <n v="0"/>
    <n v="0"/>
    <n v="0"/>
    <n v="0"/>
    <s v="ABR"/>
    <n v="85"/>
    <n v="1"/>
    <n v="0"/>
    <n v="0"/>
    <x v="2"/>
    <x v="3"/>
    <n v="0.6211180124223602"/>
    <n v="0.27027027027027023"/>
    <n v="0.17391304347826086"/>
    <n v="-6.5301326170891461E-2"/>
    <n v="0.310559006211180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x v="10"/>
    <x v="7"/>
    <n v="3"/>
    <n v="0"/>
    <s v="H"/>
    <x v="43"/>
    <x v="8"/>
    <x v="41"/>
    <n v="3"/>
    <n v="0"/>
    <n v="1.4634146341463417"/>
    <n v="0"/>
    <n v="11.399999999999999"/>
    <n v="0"/>
    <n v="3"/>
    <n v="-3"/>
    <n v="2.8"/>
    <n v="-1"/>
    <n v="-1"/>
    <n v="0"/>
    <n v="0"/>
    <n v="1"/>
    <n v="1"/>
    <n v="1"/>
    <n v="0"/>
    <n v="0"/>
    <n v="0"/>
    <n v="0"/>
    <s v="ABR"/>
    <n v="86"/>
    <n v="1"/>
    <n v="0"/>
    <n v="0"/>
    <x v="4"/>
    <x v="4"/>
    <n v="0.26315789473684209"/>
    <n v="0.3125"/>
    <n v="0.48780487804878053"/>
    <n v="-6.3462772785622512E-2"/>
    <n v="8.771929824561403E-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x v="15"/>
    <x v="4"/>
    <n v="2"/>
    <n v="1"/>
    <s v="H"/>
    <x v="33"/>
    <x v="12"/>
    <x v="4"/>
    <n v="3"/>
    <n v="0"/>
    <n v="0.33333333333333331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ABR"/>
    <n v="87"/>
    <n v="1"/>
    <n v="0"/>
    <n v="0"/>
    <x v="2"/>
    <x v="3"/>
    <n v="0.66225165562913912"/>
    <n v="0.23094688221709006"/>
    <n v="0.16666666666666666"/>
    <n v="-5.9865204512895787E-2"/>
    <n v="0.33112582781456956"/>
    <n v="0.1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x v="7"/>
    <x v="9"/>
    <n v="4"/>
    <n v="1"/>
    <s v="H"/>
    <x v="27"/>
    <x v="8"/>
    <x v="42"/>
    <n v="3"/>
    <n v="0"/>
    <n v="1.1428571428571428"/>
    <n v="0.46511627906976744"/>
    <n v="6.4499999999999993"/>
    <n v="0"/>
    <n v="3"/>
    <n v="-3"/>
    <n v="1.1499999999999999"/>
    <n v="-1"/>
    <n v="-1"/>
    <n v="1"/>
    <n v="0"/>
    <n v="1"/>
    <n v="1"/>
    <n v="1"/>
    <n v="1"/>
    <n v="1"/>
    <n v="0"/>
    <n v="1"/>
    <s v="ABR"/>
    <n v="88"/>
    <n v="1"/>
    <n v="0"/>
    <n v="0"/>
    <x v="3"/>
    <x v="1"/>
    <n v="0.46511627906976744"/>
    <n v="0.3125"/>
    <n v="0.2857142857142857"/>
    <n v="-6.3330564784052967E-2"/>
    <n v="0.11627906976744186"/>
    <n v="0.28571428571428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"/>
    <x v="16"/>
    <n v="1"/>
    <n v="1"/>
    <s v="D"/>
    <x v="10"/>
    <x v="6"/>
    <x v="0"/>
    <n v="1"/>
    <n v="1"/>
    <n v="0.4"/>
    <n v="0.32258064516129031"/>
    <n v="3.1"/>
    <n v="2.5"/>
    <n v="0"/>
    <n v="0"/>
    <n v="-1"/>
    <n v="-1"/>
    <n v="2"/>
    <n v="0"/>
    <n v="0"/>
    <n v="1"/>
    <n v="1"/>
    <n v="0"/>
    <n v="0"/>
    <n v="0"/>
    <n v="0"/>
    <n v="1"/>
    <s v="ABR"/>
    <n v="89"/>
    <n v="0"/>
    <n v="1"/>
    <n v="0"/>
    <x v="4"/>
    <x v="0"/>
    <n v="0.32258064516129031"/>
    <n v="0.33333333333333331"/>
    <n v="0.4"/>
    <n v="-5.5913978494623651E-2"/>
    <n v="0.32258064516129031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7"/>
    <x v="14"/>
    <n v="1"/>
    <n v="2"/>
    <s v="A"/>
    <x v="15"/>
    <x v="3"/>
    <x v="9"/>
    <n v="0"/>
    <n v="3"/>
    <n v="0.25"/>
    <n v="1.0471204188481675"/>
    <n v="0"/>
    <n v="12"/>
    <n v="-1"/>
    <n v="1"/>
    <n v="-1"/>
    <n v="3"/>
    <n v="-1"/>
    <n v="0"/>
    <n v="0"/>
    <n v="1"/>
    <n v="1"/>
    <n v="1"/>
    <n v="0"/>
    <n v="0"/>
    <n v="0"/>
    <n v="1"/>
    <s v="ABR"/>
    <n v="90"/>
    <n v="0"/>
    <n v="0"/>
    <n v="1"/>
    <x v="1"/>
    <x v="1"/>
    <n v="0.52356020942408377"/>
    <n v="0.29411764705882354"/>
    <n v="0.25"/>
    <n v="-6.767785648290725E-2"/>
    <n v="0.52356020942408377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5"/>
    <x v="15"/>
    <n v="1"/>
    <n v="1"/>
    <s v="D"/>
    <x v="20"/>
    <x v="8"/>
    <x v="39"/>
    <n v="1"/>
    <n v="1"/>
    <n v="0.36363636363636365"/>
    <n v="0.4"/>
    <n v="2.5"/>
    <n v="2.75"/>
    <n v="0"/>
    <n v="0"/>
    <n v="-1"/>
    <n v="-1"/>
    <n v="2.2000000000000002"/>
    <n v="0"/>
    <n v="0"/>
    <n v="1"/>
    <n v="1"/>
    <n v="0"/>
    <n v="0"/>
    <n v="0"/>
    <n v="0"/>
    <n v="1"/>
    <s v="ABR"/>
    <n v="91"/>
    <n v="0"/>
    <n v="1"/>
    <n v="0"/>
    <x v="0"/>
    <x v="0"/>
    <n v="0.4"/>
    <n v="0.3125"/>
    <n v="0.36363636363636365"/>
    <n v="-7.6136363636363669E-2"/>
    <n v="0.4"/>
    <n v="0.36363636363636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0"/>
    <x v="2"/>
    <n v="2"/>
    <n v="1"/>
    <s v="H"/>
    <x v="22"/>
    <x v="8"/>
    <x v="12"/>
    <n v="3"/>
    <n v="0"/>
    <n v="0.606060606060606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ABR"/>
    <n v="92"/>
    <n v="1"/>
    <n v="0"/>
    <n v="0"/>
    <x v="3"/>
    <x v="1"/>
    <n v="0.47619047619047616"/>
    <n v="0.3125"/>
    <n v="0.30303030303030304"/>
    <n v="-9.1720779220779258E-2"/>
    <n v="0.23809523809523808"/>
    <n v="0.30303030303030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1"/>
    <x v="5"/>
    <n v="3"/>
    <n v="1"/>
    <s v="H"/>
    <x v="11"/>
    <x v="10"/>
    <x v="43"/>
    <n v="3"/>
    <n v="0"/>
    <n v="0.27272727272727271"/>
    <n v="0.76923076923076916"/>
    <n v="3.9000000000000004"/>
    <n v="0"/>
    <n v="2"/>
    <n v="-2"/>
    <n v="0.30000000000000004"/>
    <n v="-1"/>
    <n v="-1"/>
    <n v="0"/>
    <n v="0"/>
    <n v="1"/>
    <n v="1"/>
    <n v="1"/>
    <n v="1"/>
    <n v="0"/>
    <n v="0"/>
    <n v="1"/>
    <s v="ABR"/>
    <n v="93"/>
    <n v="1"/>
    <n v="0"/>
    <n v="0"/>
    <x v="5"/>
    <x v="5"/>
    <n v="0.76923076923076916"/>
    <n v="0.21052631578947367"/>
    <n v="9.0909090909090912E-2"/>
    <n v="-7.0666175929333663E-2"/>
    <n v="0.25641025641025639"/>
    <n v="9.090909090909091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6"/>
    <x v="0"/>
    <n v="1"/>
    <n v="2"/>
    <s v="A"/>
    <x v="20"/>
    <x v="0"/>
    <x v="22"/>
    <n v="0"/>
    <n v="3"/>
    <n v="0.35087719298245612"/>
    <n v="0.8"/>
    <n v="0"/>
    <n v="8.5500000000000007"/>
    <n v="-1"/>
    <n v="1"/>
    <n v="-1"/>
    <n v="1.85"/>
    <n v="-1"/>
    <n v="0"/>
    <n v="0"/>
    <n v="1"/>
    <n v="1"/>
    <n v="1"/>
    <n v="0"/>
    <n v="0"/>
    <n v="0"/>
    <n v="1"/>
    <s v="ABR"/>
    <n v="94"/>
    <n v="0"/>
    <n v="0"/>
    <n v="1"/>
    <x v="0"/>
    <x v="0"/>
    <n v="0.4"/>
    <n v="0.32258064516129031"/>
    <n v="0.35087719298245612"/>
    <n v="-7.3457838143746512E-2"/>
    <n v="0.4"/>
    <n v="0.17543859649122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6"/>
    <x v="11"/>
    <n v="0"/>
    <n v="1"/>
    <s v="A"/>
    <x v="22"/>
    <x v="6"/>
    <x v="27"/>
    <n v="0"/>
    <n v="3"/>
    <n v="0"/>
    <n v="0.47619047619047616"/>
    <n v="0"/>
    <n v="11.100000000000001"/>
    <n v="-1"/>
    <n v="1"/>
    <n v="-1"/>
    <n v="2.7"/>
    <n v="-1"/>
    <n v="0"/>
    <n v="0"/>
    <n v="1"/>
    <n v="0"/>
    <n v="0"/>
    <n v="0"/>
    <n v="0"/>
    <n v="0"/>
    <n v="0"/>
    <s v="ABR"/>
    <n v="95"/>
    <n v="0"/>
    <n v="0"/>
    <n v="1"/>
    <x v="3"/>
    <x v="1"/>
    <n v="0.47619047619047616"/>
    <n v="0.33333333333333331"/>
    <n v="0.27027027027027023"/>
    <n v="-7.9794079794079709E-2"/>
    <n v="1"/>
    <n v="0.27027027027027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x v="8"/>
    <x v="1"/>
    <n v="0"/>
    <n v="1"/>
    <s v="A"/>
    <x v="22"/>
    <x v="7"/>
    <x v="14"/>
    <n v="0"/>
    <n v="3"/>
    <n v="0"/>
    <n v="0.47619047619047616"/>
    <n v="0"/>
    <n v="10.8"/>
    <n v="-1"/>
    <n v="1"/>
    <n v="-1"/>
    <n v="2.6"/>
    <n v="-1"/>
    <n v="0"/>
    <n v="0"/>
    <n v="1"/>
    <n v="0"/>
    <n v="0"/>
    <n v="0"/>
    <n v="0"/>
    <n v="0"/>
    <n v="0"/>
    <s v="ABR"/>
    <n v="96"/>
    <n v="0"/>
    <n v="0"/>
    <n v="1"/>
    <x v="3"/>
    <x v="1"/>
    <n v="0.47619047619047616"/>
    <n v="0.30303030303030304"/>
    <n v="0.27777777777777779"/>
    <n v="-5.6998556998557159E-2"/>
    <n v="1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x v="14"/>
    <x v="3"/>
    <n v="0"/>
    <n v="0"/>
    <s v="D"/>
    <x v="44"/>
    <x v="14"/>
    <x v="3"/>
    <n v="1"/>
    <n v="1"/>
    <n v="0"/>
    <n v="0"/>
    <n v="1.68"/>
    <n v="4.75"/>
    <n v="0"/>
    <n v="0"/>
    <n v="-1"/>
    <n v="-1"/>
    <n v="2.7"/>
    <n v="0"/>
    <n v="0"/>
    <n v="0"/>
    <n v="0"/>
    <n v="0"/>
    <n v="0"/>
    <n v="0"/>
    <n v="0"/>
    <n v="0"/>
    <s v="ABR"/>
    <n v="97"/>
    <n v="0"/>
    <n v="1"/>
    <n v="0"/>
    <x v="2"/>
    <x v="2"/>
    <n v="0.59523809523809523"/>
    <n v="0.27027027027027023"/>
    <n v="0.21052631578947367"/>
    <n v="-7.6034681297839191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12"/>
    <x v="8"/>
    <n v="1"/>
    <n v="1"/>
    <s v="D"/>
    <x v="32"/>
    <x v="8"/>
    <x v="0"/>
    <n v="1"/>
    <n v="1"/>
    <n v="0.4"/>
    <n v="0.35087719298245612"/>
    <n v="2.85"/>
    <n v="2.5"/>
    <n v="0"/>
    <n v="0"/>
    <n v="-1"/>
    <n v="-1"/>
    <n v="2.2000000000000002"/>
    <n v="0"/>
    <n v="0"/>
    <n v="1"/>
    <n v="1"/>
    <n v="0"/>
    <n v="0"/>
    <n v="0"/>
    <n v="0"/>
    <n v="1"/>
    <s v="ABR"/>
    <n v="98"/>
    <n v="0"/>
    <n v="1"/>
    <n v="0"/>
    <x v="0"/>
    <x v="0"/>
    <n v="0.35087719298245612"/>
    <n v="0.3125"/>
    <n v="0.4"/>
    <n v="-6.3377192982456254E-2"/>
    <n v="0.35087719298245612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3"/>
    <x v="13"/>
    <n v="2"/>
    <n v="0"/>
    <s v="H"/>
    <x v="0"/>
    <x v="6"/>
    <x v="0"/>
    <n v="3"/>
    <n v="0"/>
    <n v="0.8"/>
    <n v="0"/>
    <n v="9"/>
    <n v="0"/>
    <n v="2"/>
    <n v="-2"/>
    <n v="2"/>
    <n v="-1"/>
    <n v="-1"/>
    <n v="0"/>
    <n v="0"/>
    <n v="1"/>
    <n v="1"/>
    <n v="0"/>
    <n v="0"/>
    <n v="0"/>
    <n v="0"/>
    <n v="0"/>
    <s v="ABR"/>
    <n v="99"/>
    <n v="1"/>
    <n v="0"/>
    <n v="0"/>
    <x v="0"/>
    <x v="0"/>
    <n v="0.33333333333333331"/>
    <n v="0.33333333333333331"/>
    <n v="0.4"/>
    <n v="-6.6666666666666652E-2"/>
    <n v="0.1666666666666666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8"/>
    <x v="6"/>
    <n v="1"/>
    <n v="2"/>
    <s v="A"/>
    <x v="27"/>
    <x v="7"/>
    <x v="8"/>
    <n v="0"/>
    <n v="3"/>
    <n v="0.29411764705882354"/>
    <n v="0.93023255813953487"/>
    <n v="0"/>
    <n v="10.199999999999999"/>
    <n v="-1"/>
    <n v="1"/>
    <n v="-1"/>
    <n v="2.4"/>
    <n v="-1"/>
    <n v="0"/>
    <n v="0"/>
    <n v="1"/>
    <n v="1"/>
    <n v="1"/>
    <n v="0"/>
    <n v="0"/>
    <n v="0"/>
    <n v="1"/>
    <s v="ABR"/>
    <n v="100"/>
    <n v="0"/>
    <n v="0"/>
    <n v="1"/>
    <x v="3"/>
    <x v="1"/>
    <n v="0.46511627906976744"/>
    <n v="0.30303030303030304"/>
    <n v="0.29411764705882354"/>
    <n v="-6.2264229158893958E-2"/>
    <n v="0.46511627906976744"/>
    <n v="0.14705882352941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3"/>
    <x v="10"/>
    <n v="1"/>
    <n v="0"/>
    <s v="H"/>
    <x v="22"/>
    <x v="8"/>
    <x v="42"/>
    <n v="3"/>
    <n v="0"/>
    <n v="0.2857142857142857"/>
    <n v="0"/>
    <n v="6.3000000000000007"/>
    <n v="0"/>
    <n v="1"/>
    <n v="-1"/>
    <n v="1.1000000000000001"/>
    <n v="-1"/>
    <n v="-1"/>
    <n v="0"/>
    <n v="0"/>
    <n v="1"/>
    <n v="0"/>
    <n v="0"/>
    <n v="0"/>
    <n v="0"/>
    <n v="0"/>
    <n v="0"/>
    <s v="ABR"/>
    <n v="101"/>
    <n v="1"/>
    <n v="0"/>
    <n v="0"/>
    <x v="3"/>
    <x v="1"/>
    <n v="0.47619047619047616"/>
    <n v="0.3125"/>
    <n v="0.2857142857142857"/>
    <n v="-7.4404761904761862E-2"/>
    <n v="0.4761904761904761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2"/>
    <x v="4"/>
    <n v="0"/>
    <n v="0"/>
    <s v="D"/>
    <x v="40"/>
    <x v="15"/>
    <x v="3"/>
    <n v="1"/>
    <n v="1"/>
    <n v="0"/>
    <n v="0"/>
    <n v="1.71"/>
    <n v="4.75"/>
    <n v="0"/>
    <n v="0"/>
    <n v="-1"/>
    <n v="-1"/>
    <n v="2.6"/>
    <n v="0"/>
    <n v="0"/>
    <n v="0"/>
    <n v="0"/>
    <n v="0"/>
    <n v="0"/>
    <n v="0"/>
    <n v="0"/>
    <n v="0"/>
    <s v="ABR"/>
    <n v="102"/>
    <n v="0"/>
    <n v="1"/>
    <n v="0"/>
    <x v="1"/>
    <x v="2"/>
    <n v="0.58479532163742687"/>
    <n v="0.27777777777777779"/>
    <n v="0.21052631578947367"/>
    <n v="-7.309941520467822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9"/>
    <x v="17"/>
    <n v="2"/>
    <n v="0"/>
    <s v="H"/>
    <x v="26"/>
    <x v="4"/>
    <x v="40"/>
    <n v="3"/>
    <n v="0"/>
    <n v="0.34782608695652173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ABR"/>
    <n v="103"/>
    <n v="1"/>
    <n v="0"/>
    <n v="0"/>
    <x v="5"/>
    <x v="3"/>
    <n v="0.71942446043165476"/>
    <n v="0.24390243902439027"/>
    <n v="0.17391304347826086"/>
    <n v="-0.13723994293430586"/>
    <n v="0.3597122302158273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9"/>
    <x v="18"/>
    <n v="2"/>
    <n v="2"/>
    <s v="D"/>
    <x v="17"/>
    <x v="3"/>
    <x v="18"/>
    <n v="1"/>
    <n v="1"/>
    <n v="0.47619047619047616"/>
    <n v="1.075268817204301"/>
    <n v="1.86"/>
    <n v="4.2"/>
    <n v="0"/>
    <n v="0"/>
    <n v="-1"/>
    <n v="-1"/>
    <n v="2.4"/>
    <n v="0"/>
    <n v="0"/>
    <n v="1"/>
    <n v="1"/>
    <n v="1"/>
    <n v="1"/>
    <n v="0"/>
    <n v="0"/>
    <n v="1"/>
    <s v="ABR"/>
    <n v="104"/>
    <n v="0"/>
    <n v="1"/>
    <n v="0"/>
    <x v="1"/>
    <x v="2"/>
    <n v="0.5376344086021505"/>
    <n v="0.29411764705882354"/>
    <n v="0.23809523809523808"/>
    <n v="-6.9847293756212236E-2"/>
    <n v="0.26881720430107525"/>
    <n v="0.11904761904761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4"/>
    <x v="7"/>
    <n v="1"/>
    <n v="2"/>
    <s v="A"/>
    <x v="45"/>
    <x v="0"/>
    <x v="38"/>
    <n v="0"/>
    <n v="3"/>
    <n v="0.42553191489361702"/>
    <n v="0.625"/>
    <n v="0"/>
    <n v="7.0500000000000007"/>
    <n v="-1"/>
    <n v="1"/>
    <n v="-1"/>
    <n v="1.35"/>
    <n v="-1"/>
    <n v="0"/>
    <n v="0"/>
    <n v="1"/>
    <n v="1"/>
    <n v="1"/>
    <n v="0"/>
    <n v="0"/>
    <n v="0"/>
    <n v="1"/>
    <s v="ABR"/>
    <n v="105"/>
    <n v="0"/>
    <n v="0"/>
    <n v="1"/>
    <x v="4"/>
    <x v="4"/>
    <n v="0.3125"/>
    <n v="0.32258064516129031"/>
    <n v="0.42553191489361702"/>
    <n v="-6.0612560054907227E-2"/>
    <n v="0.3125"/>
    <n v="0.21276595744680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6"/>
    <x v="0"/>
    <n v="0"/>
    <n v="0"/>
    <s v="D"/>
    <x v="46"/>
    <x v="6"/>
    <x v="22"/>
    <n v="1"/>
    <n v="1"/>
    <n v="0"/>
    <n v="0"/>
    <n v="2.65"/>
    <n v="2.85"/>
    <n v="0"/>
    <n v="0"/>
    <n v="-1"/>
    <n v="-1"/>
    <n v="2"/>
    <n v="0"/>
    <n v="0"/>
    <n v="0"/>
    <n v="0"/>
    <n v="0"/>
    <n v="0"/>
    <n v="0"/>
    <n v="0"/>
    <n v="0"/>
    <s v="ABR"/>
    <n v="106"/>
    <n v="0"/>
    <n v="1"/>
    <n v="0"/>
    <x v="0"/>
    <x v="0"/>
    <n v="0.37735849056603776"/>
    <n v="0.33333333333333331"/>
    <n v="0.35087719298245612"/>
    <n v="-6.1569016881827254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8"/>
    <x v="1"/>
    <n v="2"/>
    <n v="1"/>
    <s v="H"/>
    <x v="2"/>
    <x v="3"/>
    <x v="2"/>
    <n v="3"/>
    <n v="0"/>
    <n v="0.51282051282051289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ABR"/>
    <n v="107"/>
    <n v="1"/>
    <n v="0"/>
    <n v="0"/>
    <x v="1"/>
    <x v="1"/>
    <n v="0.51020408163265307"/>
    <n v="0.29411764705882354"/>
    <n v="0.25641025641025644"/>
    <n v="-6.0731985101732944E-2"/>
    <n v="0.2551020408163265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x v="5"/>
    <x v="14"/>
    <n v="1"/>
    <n v="4"/>
    <s v="A"/>
    <x v="6"/>
    <x v="15"/>
    <x v="44"/>
    <n v="0"/>
    <n v="3"/>
    <n v="0.51020408163265307"/>
    <n v="1.0810810810810809"/>
    <n v="0"/>
    <n v="5.88"/>
    <n v="-3"/>
    <n v="3"/>
    <n v="-1"/>
    <n v="0.96"/>
    <n v="-1"/>
    <n v="0"/>
    <n v="1"/>
    <n v="1"/>
    <n v="1"/>
    <n v="1"/>
    <n v="1"/>
    <n v="1"/>
    <n v="0"/>
    <n v="1"/>
    <s v="ABR"/>
    <n v="108"/>
    <n v="0"/>
    <n v="0"/>
    <n v="1"/>
    <x v="4"/>
    <x v="7"/>
    <n v="0.27027027027027023"/>
    <n v="0.27777777777777779"/>
    <n v="0.51020408163265307"/>
    <n v="-5.8252129680701259E-2"/>
    <n v="0.27027027027027023"/>
    <n v="0.12755102040816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x v="17"/>
    <x v="13"/>
    <n v="2"/>
    <n v="1"/>
    <s v="H"/>
    <x v="8"/>
    <x v="7"/>
    <x v="14"/>
    <n v="3"/>
    <n v="0"/>
    <n v="0.55555555555555558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ABR"/>
    <n v="109"/>
    <n v="1"/>
    <n v="0"/>
    <n v="0"/>
    <x v="3"/>
    <x v="1"/>
    <n v="0.49751243781094534"/>
    <n v="0.30303030303030304"/>
    <n v="0.27777777777777779"/>
    <n v="-7.8320518619026114E-2"/>
    <n v="0.24875621890547267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3"/>
    <x v="19"/>
    <n v="0"/>
    <n v="0"/>
    <s v="D"/>
    <x v="18"/>
    <x v="6"/>
    <x v="24"/>
    <n v="1"/>
    <n v="1"/>
    <n v="0"/>
    <n v="0"/>
    <n v="2.57"/>
    <n v="3"/>
    <n v="0"/>
    <n v="0"/>
    <n v="-1"/>
    <n v="-1"/>
    <n v="2"/>
    <n v="0"/>
    <n v="0"/>
    <n v="0"/>
    <n v="0"/>
    <n v="0"/>
    <n v="0"/>
    <n v="0"/>
    <n v="0"/>
    <n v="0"/>
    <s v="ABR"/>
    <n v="110"/>
    <n v="0"/>
    <n v="1"/>
    <n v="0"/>
    <x v="0"/>
    <x v="0"/>
    <n v="0.38910505836575876"/>
    <n v="0.33333333333333331"/>
    <n v="0.33333333333333331"/>
    <n v="-5.5771725032425445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8"/>
    <x v="4"/>
    <n v="2"/>
    <n v="0"/>
    <s v="H"/>
    <x v="23"/>
    <x v="13"/>
    <x v="28"/>
    <n v="3"/>
    <n v="0"/>
    <n v="0.38095238095238093"/>
    <n v="0"/>
    <n v="4.8600000000000003"/>
    <n v="0"/>
    <n v="2"/>
    <n v="-2"/>
    <n v="0.62000000000000011"/>
    <n v="-1"/>
    <n v="-1"/>
    <n v="0"/>
    <n v="0"/>
    <n v="1"/>
    <n v="1"/>
    <n v="0"/>
    <n v="0"/>
    <n v="0"/>
    <n v="0"/>
    <n v="0"/>
    <s v="ABR"/>
    <n v="111"/>
    <n v="1"/>
    <n v="0"/>
    <n v="0"/>
    <x v="2"/>
    <x v="2"/>
    <n v="0.61728395061728392"/>
    <n v="0.26315789473684209"/>
    <n v="0.19047619047619047"/>
    <n v="-7.0918035830316528E-2"/>
    <n v="0.3086419753086419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2"/>
    <x v="12"/>
    <n v="1"/>
    <n v="2"/>
    <s v="A"/>
    <x v="17"/>
    <x v="3"/>
    <x v="45"/>
    <n v="0"/>
    <n v="3"/>
    <n v="0.24390243902439027"/>
    <n v="1.075268817204301"/>
    <n v="0"/>
    <n v="12.299999999999999"/>
    <n v="-1"/>
    <n v="1"/>
    <n v="-1"/>
    <n v="3.0999999999999996"/>
    <n v="-1"/>
    <n v="0"/>
    <n v="0"/>
    <n v="1"/>
    <n v="1"/>
    <n v="1"/>
    <n v="0"/>
    <n v="0"/>
    <n v="0"/>
    <n v="1"/>
    <s v="ABR"/>
    <n v="112"/>
    <n v="0"/>
    <n v="0"/>
    <n v="1"/>
    <x v="1"/>
    <x v="2"/>
    <n v="0.5376344086021505"/>
    <n v="0.29411764705882354"/>
    <n v="0.24390243902439027"/>
    <n v="-7.5654494685364337E-2"/>
    <n v="0.5376344086021505"/>
    <n v="0.121951219512195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"/>
    <x v="10"/>
    <n v="2"/>
    <n v="0"/>
    <s v="H"/>
    <x v="5"/>
    <x v="8"/>
    <x v="8"/>
    <n v="3"/>
    <n v="0"/>
    <n v="0.58823529411764708"/>
    <n v="0"/>
    <n v="6.6000000000000005"/>
    <n v="0"/>
    <n v="2"/>
    <n v="-2"/>
    <n v="1.2000000000000002"/>
    <n v="-1"/>
    <n v="-1"/>
    <n v="0"/>
    <n v="0"/>
    <n v="1"/>
    <n v="1"/>
    <n v="0"/>
    <n v="0"/>
    <n v="0"/>
    <n v="0"/>
    <n v="0"/>
    <s v="ABR"/>
    <n v="113"/>
    <n v="1"/>
    <n v="0"/>
    <n v="0"/>
    <x v="3"/>
    <x v="1"/>
    <n v="0.45454545454545453"/>
    <n v="0.3125"/>
    <n v="0.29411764705882354"/>
    <n v="-6.1163101604278181E-2"/>
    <n v="0.2272727272727272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3"/>
    <x v="16"/>
    <n v="2"/>
    <n v="3"/>
    <s v="A"/>
    <x v="27"/>
    <x v="8"/>
    <x v="42"/>
    <n v="0"/>
    <n v="3"/>
    <n v="0.5714285714285714"/>
    <n v="1.3953488372093024"/>
    <n v="0"/>
    <n v="10.5"/>
    <n v="-1"/>
    <n v="1"/>
    <n v="-1"/>
    <n v="2.5"/>
    <n v="-1"/>
    <n v="0"/>
    <n v="0"/>
    <n v="1"/>
    <n v="1"/>
    <n v="1"/>
    <n v="1"/>
    <n v="1"/>
    <n v="0"/>
    <n v="1"/>
    <s v="ABR"/>
    <n v="114"/>
    <n v="0"/>
    <n v="0"/>
    <n v="1"/>
    <x v="3"/>
    <x v="1"/>
    <n v="0.46511627906976744"/>
    <n v="0.3125"/>
    <n v="0.2857142857142857"/>
    <n v="-6.3330564784052967E-2"/>
    <n v="0.23255813953488372"/>
    <n v="9.523809523809523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0"/>
    <x v="3"/>
    <n v="4"/>
    <n v="2"/>
    <s v="H"/>
    <x v="41"/>
    <x v="11"/>
    <x v="29"/>
    <n v="3"/>
    <n v="0"/>
    <n v="0.61538461538461542"/>
    <n v="1.3422818791946309"/>
    <n v="4.47"/>
    <n v="0"/>
    <n v="2"/>
    <n v="-2"/>
    <n v="0.49"/>
    <n v="-1"/>
    <n v="-1"/>
    <n v="1"/>
    <n v="0"/>
    <n v="1"/>
    <n v="1"/>
    <n v="1"/>
    <n v="1"/>
    <n v="1"/>
    <n v="1"/>
    <n v="1"/>
    <s v="ABR"/>
    <n v="115"/>
    <n v="1"/>
    <n v="0"/>
    <n v="0"/>
    <x v="2"/>
    <x v="3"/>
    <n v="0.67114093959731547"/>
    <n v="0.25641025641025644"/>
    <n v="0.15384615384615385"/>
    <n v="-8.1397349853725931E-2"/>
    <n v="0.16778523489932887"/>
    <n v="7.6923076923076927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5"/>
    <x v="2"/>
    <n v="1"/>
    <n v="0"/>
    <s v="H"/>
    <x v="47"/>
    <x v="15"/>
    <x v="29"/>
    <n v="3"/>
    <n v="0"/>
    <n v="0.15384615384615385"/>
    <n v="0"/>
    <n v="4.68"/>
    <n v="0"/>
    <n v="1"/>
    <n v="-1"/>
    <n v="0.56000000000000005"/>
    <n v="-1"/>
    <n v="-1"/>
    <n v="0"/>
    <n v="0"/>
    <n v="1"/>
    <n v="0"/>
    <n v="0"/>
    <n v="0"/>
    <n v="0"/>
    <n v="0"/>
    <n v="0"/>
    <s v="ABR"/>
    <n v="116"/>
    <n v="1"/>
    <n v="0"/>
    <n v="0"/>
    <x v="2"/>
    <x v="3"/>
    <n v="0.64102564102564097"/>
    <n v="0.27777777777777779"/>
    <n v="0.15384615384615385"/>
    <n v="-7.2649572649572614E-2"/>
    <n v="0.6410256410256409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1"/>
    <x v="6"/>
    <n v="2"/>
    <n v="0"/>
    <s v="H"/>
    <x v="48"/>
    <x v="9"/>
    <x v="29"/>
    <n v="3"/>
    <n v="0"/>
    <n v="0.30769230769230771"/>
    <n v="0"/>
    <n v="4.26"/>
    <n v="0"/>
    <n v="2"/>
    <n v="-2"/>
    <n v="0.41999999999999993"/>
    <n v="-1"/>
    <n v="-1"/>
    <n v="0"/>
    <n v="0"/>
    <n v="1"/>
    <n v="1"/>
    <n v="0"/>
    <n v="0"/>
    <n v="0"/>
    <n v="0"/>
    <n v="0"/>
    <s v="ABR"/>
    <n v="117"/>
    <n v="1"/>
    <n v="0"/>
    <n v="0"/>
    <x v="2"/>
    <x v="3"/>
    <n v="0.70422535211267612"/>
    <n v="0.22222222222222221"/>
    <n v="0.15384615384615385"/>
    <n v="-8.0293728181052071E-2"/>
    <n v="0.3521126760563380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9"/>
    <x v="9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x v="21"/>
    <x v="46"/>
    <m/>
    <m/>
    <m/>
    <m/>
    <m/>
    <m/>
    <m/>
    <m/>
    <m/>
    <m/>
    <m/>
    <m/>
    <m/>
    <m/>
    <m/>
    <m/>
    <m/>
    <m/>
    <m/>
    <m/>
    <m/>
    <m/>
    <m/>
    <m/>
    <m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d v="2026-01-28T00:00:00"/>
    <x v="0"/>
    <x v="0"/>
    <n v="2"/>
    <n v="2"/>
    <s v="D"/>
    <n v="3"/>
    <n v="3.1"/>
    <n v="2.5"/>
    <n v="1"/>
    <n v="1"/>
    <n v="0.8"/>
    <n v="0.66666666666666663"/>
    <n v="3"/>
    <n v="2.5"/>
    <n v="0"/>
    <n v="0"/>
    <n v="-1"/>
    <n v="-1"/>
    <n v="2.1"/>
    <n v="0"/>
    <n v="0"/>
    <n v="1"/>
    <n v="1"/>
    <n v="1"/>
    <n v="1"/>
    <n v="0"/>
    <n v="0"/>
    <n v="1"/>
    <s v="JAN"/>
    <x v="0"/>
    <n v="0"/>
    <n v="1"/>
    <n v="0"/>
    <s v="2,41-3,0"/>
    <s v="2,41-3,0"/>
    <n v="0.33333333333333331"/>
    <n v="0.32258064516129031"/>
    <n v="0.4"/>
    <n v="-5.5913978494623651E-2"/>
    <n v="0.16666666666666666"/>
    <n v="0.2"/>
  </r>
  <r>
    <d v="2026-01-28T00:00:00"/>
    <x v="1"/>
    <x v="1"/>
    <n v="0"/>
    <n v="1"/>
    <s v="A"/>
    <n v="2.7"/>
    <n v="2.82"/>
    <n v="2.82"/>
    <n v="0"/>
    <n v="3"/>
    <n v="0"/>
    <n v="0.37037037037037035"/>
    <n v="0"/>
    <n v="8.4599999999999991"/>
    <n v="-1"/>
    <n v="1"/>
    <n v="-1"/>
    <n v="1.8199999999999998"/>
    <n v="-1"/>
    <n v="0"/>
    <n v="0"/>
    <n v="1"/>
    <n v="0"/>
    <n v="0"/>
    <n v="0"/>
    <n v="0"/>
    <n v="0"/>
    <n v="0"/>
    <s v="JAN"/>
    <x v="1"/>
    <n v="0"/>
    <n v="0"/>
    <n v="1"/>
    <s v="2,41-3,0"/>
    <s v="2,41-3,0"/>
    <n v="0.37037037037037035"/>
    <n v="0.3546099290780142"/>
    <n v="0.3546099290780142"/>
    <n v="-7.9590228526398743E-2"/>
    <n v="1"/>
    <n v="0.3546099290780142"/>
  </r>
  <r>
    <d v="2026-01-28T00:00:00"/>
    <x v="2"/>
    <x v="2"/>
    <n v="0"/>
    <n v="1"/>
    <s v="A"/>
    <n v="1.96"/>
    <n v="3.25"/>
    <n v="3.9"/>
    <n v="0"/>
    <n v="3"/>
    <n v="0"/>
    <n v="0.51020408163265307"/>
    <n v="0"/>
    <n v="11.7"/>
    <n v="-1"/>
    <n v="1"/>
    <n v="-1"/>
    <n v="2.9"/>
    <n v="-1"/>
    <n v="0"/>
    <n v="0"/>
    <n v="1"/>
    <n v="0"/>
    <n v="0"/>
    <n v="0"/>
    <n v="0"/>
    <n v="0"/>
    <n v="0"/>
    <s v="JAN"/>
    <x v="2"/>
    <n v="0"/>
    <n v="0"/>
    <n v="1"/>
    <s v="1,71-2,0"/>
    <s v="3,01-4.0"/>
    <n v="0.51020408163265307"/>
    <n v="0.30769230769230771"/>
    <n v="0.25641025641025644"/>
    <n v="-7.430664573521728E-2"/>
    <n v="1"/>
    <n v="0.25641025641025644"/>
  </r>
  <r>
    <d v="2026-01-28T00:00:00"/>
    <x v="3"/>
    <x v="3"/>
    <n v="2"/>
    <n v="0"/>
    <s v="H"/>
    <n v="1.79"/>
    <n v="3.4"/>
    <n v="4.75"/>
    <n v="3"/>
    <n v="0"/>
    <n v="0.42105263157894735"/>
    <n v="0"/>
    <n v="5.37"/>
    <n v="0"/>
    <n v="2"/>
    <n v="-2"/>
    <n v="0.79"/>
    <n v="-1"/>
    <n v="-1"/>
    <n v="0"/>
    <n v="0"/>
    <n v="1"/>
    <n v="1"/>
    <n v="0"/>
    <n v="0"/>
    <n v="0"/>
    <n v="0"/>
    <n v="0"/>
    <s v="JAN"/>
    <x v="3"/>
    <n v="1"/>
    <n v="0"/>
    <n v="0"/>
    <s v="1,71-2,0"/>
    <s v="4,01-5,5"/>
    <n v="0.55865921787709494"/>
    <n v="0.29411764705882354"/>
    <n v="0.21052631578947367"/>
    <n v="-6.3303180725392094E-2"/>
    <n v="0.27932960893854747"/>
    <n v="1"/>
  </r>
  <r>
    <d v="2026-01-28T00:00:00"/>
    <x v="4"/>
    <x v="4"/>
    <n v="2"/>
    <n v="1"/>
    <s v="H"/>
    <n v="1.53"/>
    <n v="4.0999999999999996"/>
    <n v="6"/>
    <n v="3"/>
    <n v="0"/>
    <n v="0.33333333333333331"/>
    <n v="0.65359477124183007"/>
    <n v="4.59"/>
    <n v="0"/>
    <n v="1"/>
    <n v="-1"/>
    <n v="0.53"/>
    <n v="-1"/>
    <n v="-1"/>
    <n v="0"/>
    <n v="0"/>
    <n v="1"/>
    <n v="1"/>
    <n v="1"/>
    <n v="0"/>
    <n v="0"/>
    <n v="0"/>
    <n v="1"/>
    <s v="JAN"/>
    <x v="4"/>
    <n v="1"/>
    <n v="0"/>
    <n v="0"/>
    <s v="1,41-1,7"/>
    <s v="5,51-9,0"/>
    <n v="0.65359477124183007"/>
    <n v="0.24390243902439027"/>
    <n v="0.16666666666666666"/>
    <n v="-6.4163876932886943E-2"/>
    <n v="0.32679738562091504"/>
    <n v="0.16666666666666666"/>
  </r>
  <r>
    <d v="2026-01-28T00:00:00"/>
    <x v="5"/>
    <x v="5"/>
    <n v="4"/>
    <n v="2"/>
    <s v="H"/>
    <n v="3"/>
    <n v="3.1"/>
    <n v="2.5"/>
    <n v="3"/>
    <n v="0"/>
    <n v="1.6"/>
    <n v="0.66666666666666663"/>
    <n v="9"/>
    <n v="0"/>
    <n v="2"/>
    <n v="-2"/>
    <n v="2"/>
    <n v="-1"/>
    <n v="-1"/>
    <n v="1"/>
    <n v="0"/>
    <n v="1"/>
    <n v="1"/>
    <n v="1"/>
    <n v="1"/>
    <n v="1"/>
    <n v="1"/>
    <n v="1"/>
    <s v="JAN"/>
    <x v="5"/>
    <n v="1"/>
    <n v="0"/>
    <n v="0"/>
    <s v="2,41-3,0"/>
    <s v="2,41-3,0"/>
    <n v="0.33333333333333331"/>
    <n v="0.32258064516129031"/>
    <n v="0.4"/>
    <n v="-5.5913978494623651E-2"/>
    <n v="8.3333333333333329E-2"/>
    <n v="0.2"/>
  </r>
  <r>
    <d v="2026-01-28T00:00:00"/>
    <x v="6"/>
    <x v="6"/>
    <n v="1"/>
    <n v="2"/>
    <s v="A"/>
    <n v="2.2000000000000002"/>
    <n v="3.5"/>
    <n v="3.2"/>
    <n v="0"/>
    <n v="3"/>
    <n v="0.3125"/>
    <n v="0.90909090909090906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JAN"/>
    <x v="6"/>
    <n v="0"/>
    <n v="0"/>
    <n v="1"/>
    <s v="2,01-2,4"/>
    <s v="3,01-4.0"/>
    <n v="0.45454545454545453"/>
    <n v="0.2857142857142857"/>
    <n v="0.3125"/>
    <n v="-5.2759740259740173E-2"/>
    <n v="0.45454545454545453"/>
    <n v="0.15625"/>
  </r>
  <r>
    <d v="2026-01-29T00:00:00"/>
    <x v="7"/>
    <x v="7"/>
    <n v="2"/>
    <n v="1"/>
    <s v="H"/>
    <n v="3.7"/>
    <n v="3"/>
    <n v="2.2000000000000002"/>
    <n v="3"/>
    <n v="0"/>
    <n v="0.90909090909090906"/>
    <n v="0.27027027027027023"/>
    <n v="11.100000000000001"/>
    <n v="0"/>
    <n v="1"/>
    <n v="-1"/>
    <n v="2.7"/>
    <n v="-1"/>
    <n v="-1"/>
    <n v="0"/>
    <n v="0"/>
    <n v="1"/>
    <n v="1"/>
    <n v="1"/>
    <n v="0"/>
    <n v="0"/>
    <n v="0"/>
    <n v="1"/>
    <s v="JAN"/>
    <x v="7"/>
    <n v="1"/>
    <n v="0"/>
    <n v="0"/>
    <s v="3,01-4.0"/>
    <s v="2,01-2,4"/>
    <n v="0.27027027027027023"/>
    <n v="0.33333333333333331"/>
    <n v="0.45454545454545453"/>
    <n v="-5.8149058149058019E-2"/>
    <n v="0.13513513513513511"/>
    <n v="0.45454545454545453"/>
  </r>
  <r>
    <d v="2026-01-29T00:00:00"/>
    <x v="8"/>
    <x v="8"/>
    <n v="2"/>
    <n v="1"/>
    <s v="H"/>
    <n v="1.79"/>
    <n v="3.3"/>
    <n v="4.5"/>
    <n v="3"/>
    <n v="0"/>
    <n v="0.44444444444444442"/>
    <n v="0.55865921787709494"/>
    <n v="5.37"/>
    <n v="0"/>
    <n v="1"/>
    <n v="-1"/>
    <n v="0.79"/>
    <n v="-1"/>
    <n v="-1"/>
    <n v="0"/>
    <n v="0"/>
    <n v="1"/>
    <n v="1"/>
    <n v="1"/>
    <n v="0"/>
    <n v="0"/>
    <n v="0"/>
    <n v="1"/>
    <s v="JAN"/>
    <x v="8"/>
    <n v="1"/>
    <n v="0"/>
    <n v="0"/>
    <s v="1,71-2,0"/>
    <s v="4,01-5,5"/>
    <n v="0.55865921787709494"/>
    <n v="0.30303030303030304"/>
    <n v="0.22222222222222221"/>
    <n v="-8.3911743129620131E-2"/>
    <n v="0.27932960893854747"/>
    <n v="0.22222222222222221"/>
  </r>
  <r>
    <d v="2026-01-30T00:00:00"/>
    <x v="9"/>
    <x v="9"/>
    <n v="4"/>
    <n v="0"/>
    <s v="H"/>
    <n v="2.2999999999999998"/>
    <n v="3"/>
    <n v="3.4"/>
    <n v="3"/>
    <n v="0"/>
    <n v="1.1764705882352942"/>
    <n v="0"/>
    <n v="6.8999999999999995"/>
    <n v="0"/>
    <n v="4"/>
    <n v="-4"/>
    <n v="1.2999999999999998"/>
    <n v="-1"/>
    <n v="-1"/>
    <n v="1"/>
    <n v="0"/>
    <n v="1"/>
    <n v="1"/>
    <n v="1"/>
    <n v="1"/>
    <n v="0"/>
    <n v="0"/>
    <n v="0"/>
    <s v="JAN"/>
    <x v="9"/>
    <n v="1"/>
    <n v="0"/>
    <n v="0"/>
    <s v="2,01-2,4"/>
    <s v="3,01-4.0"/>
    <n v="0.43478260869565222"/>
    <n v="0.33333333333333331"/>
    <n v="0.29411764705882354"/>
    <n v="-6.2233589087809182E-2"/>
    <n v="0.10869565217391305"/>
    <n v="1"/>
  </r>
  <r>
    <d v="2026-02-04T00:00:00"/>
    <x v="10"/>
    <x v="10"/>
    <n v="1"/>
    <n v="0"/>
    <s v="H"/>
    <n v="2.0099999999999998"/>
    <n v="3.2"/>
    <n v="4"/>
    <n v="3"/>
    <n v="0"/>
    <n v="0.25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FEV"/>
    <x v="10"/>
    <n v="1"/>
    <n v="0"/>
    <n v="0"/>
    <s v="2,01-2,4"/>
    <s v="3,01-4.0"/>
    <n v="0.49751243781094534"/>
    <n v="0.3125"/>
    <n v="0.25"/>
    <n v="-6.0012437810945229E-2"/>
    <n v="0.49751243781094534"/>
    <n v="1"/>
  </r>
  <r>
    <d v="2026-02-04T00:00:00"/>
    <x v="11"/>
    <x v="11"/>
    <n v="1"/>
    <n v="1"/>
    <s v="D"/>
    <n v="1.41"/>
    <n v="4.5"/>
    <n v="7.5"/>
    <n v="1"/>
    <n v="1"/>
    <n v="0.13333333333333333"/>
    <n v="0.70921985815602839"/>
    <n v="1.41"/>
    <n v="7.5"/>
    <n v="0"/>
    <n v="0"/>
    <n v="-1"/>
    <n v="-1"/>
    <n v="3.5"/>
    <n v="0"/>
    <n v="0"/>
    <n v="1"/>
    <n v="1"/>
    <n v="0"/>
    <n v="0"/>
    <n v="0"/>
    <n v="0"/>
    <n v="1"/>
    <s v="FEV"/>
    <x v="11"/>
    <n v="0"/>
    <n v="1"/>
    <n v="0"/>
    <s v="1,41-1,7"/>
    <s v="5,51-9,0"/>
    <n v="0.70921985815602839"/>
    <n v="0.22222222222222221"/>
    <n v="0.13333333333333333"/>
    <n v="-6.4775413711583907E-2"/>
    <n v="0.70921985815602839"/>
    <n v="0.13333333333333333"/>
  </r>
  <r>
    <d v="2026-02-04T00:00:00"/>
    <x v="12"/>
    <x v="12"/>
    <n v="2"/>
    <n v="2"/>
    <s v="D"/>
    <n v="3.1"/>
    <n v="3.1"/>
    <n v="2.4"/>
    <n v="1"/>
    <n v="1"/>
    <n v="0.83333333333333337"/>
    <n v="0.64516129032258063"/>
    <n v="3.1"/>
    <n v="2.4"/>
    <n v="0"/>
    <n v="0"/>
    <n v="-1"/>
    <n v="-1"/>
    <n v="2.1"/>
    <n v="0"/>
    <n v="0"/>
    <n v="1"/>
    <n v="1"/>
    <n v="1"/>
    <n v="1"/>
    <n v="0"/>
    <n v="0"/>
    <n v="1"/>
    <s v="FEV"/>
    <x v="12"/>
    <n v="0"/>
    <n v="1"/>
    <n v="0"/>
    <s v="3,01-4.0"/>
    <s v="2,01-2,4"/>
    <n v="0.32258064516129031"/>
    <n v="0.32258064516129031"/>
    <n v="0.41666666666666669"/>
    <n v="-6.1827956989247257E-2"/>
    <n v="0.16129032258064516"/>
    <n v="0.20833333333333334"/>
  </r>
  <r>
    <d v="2026-02-04T00:00:00"/>
    <x v="13"/>
    <x v="13"/>
    <n v="1"/>
    <n v="1"/>
    <s v="D"/>
    <n v="2.2000000000000002"/>
    <n v="3.1"/>
    <n v="3.3"/>
    <n v="1"/>
    <n v="1"/>
    <n v="0.30303030303030304"/>
    <n v="0.45454545454545453"/>
    <n v="2.2000000000000002"/>
    <n v="3.3"/>
    <n v="0"/>
    <n v="0"/>
    <n v="-1"/>
    <n v="-1"/>
    <n v="2.1"/>
    <n v="0"/>
    <n v="0"/>
    <n v="1"/>
    <n v="1"/>
    <n v="0"/>
    <n v="0"/>
    <n v="0"/>
    <n v="0"/>
    <n v="1"/>
    <s v="FEV"/>
    <x v="13"/>
    <n v="0"/>
    <n v="1"/>
    <n v="0"/>
    <s v="2,01-2,4"/>
    <s v="3,01-4.0"/>
    <n v="0.45454545454545453"/>
    <n v="0.32258064516129031"/>
    <n v="0.30303030303030304"/>
    <n v="-8.0156402737047827E-2"/>
    <n v="0.45454545454545453"/>
    <n v="0.30303030303030304"/>
  </r>
  <r>
    <d v="2026-02-05T00:00:00"/>
    <x v="14"/>
    <x v="14"/>
    <n v="5"/>
    <n v="3"/>
    <s v="H"/>
    <n v="2.2999999999999998"/>
    <n v="3"/>
    <n v="3.4"/>
    <n v="3"/>
    <n v="0"/>
    <n v="1.4705882352941178"/>
    <n v="1.3043478260869565"/>
    <n v="6.8999999999999995"/>
    <n v="0"/>
    <n v="2"/>
    <n v="-2"/>
    <n v="1.2999999999999998"/>
    <n v="-1"/>
    <n v="-1"/>
    <n v="1"/>
    <n v="0"/>
    <n v="1"/>
    <n v="1"/>
    <n v="1"/>
    <n v="1"/>
    <n v="1"/>
    <n v="1"/>
    <n v="1"/>
    <s v="FEV"/>
    <x v="14"/>
    <n v="1"/>
    <n v="0"/>
    <n v="0"/>
    <s v="2,01-2,4"/>
    <s v="3,01-4.0"/>
    <n v="0.43478260869565222"/>
    <n v="0.33333333333333331"/>
    <n v="0.29411764705882354"/>
    <n v="-6.2233589087809182E-2"/>
    <n v="8.6956521739130446E-2"/>
    <n v="9.8039215686274508E-2"/>
  </r>
  <r>
    <d v="2026-02-05T00:00:00"/>
    <x v="15"/>
    <x v="15"/>
    <n v="5"/>
    <n v="1"/>
    <s v="H"/>
    <n v="1.3"/>
    <n v="4.75"/>
    <n v="10"/>
    <n v="3"/>
    <n v="0"/>
    <n v="0.5"/>
    <n v="0.76923076923076916"/>
    <n v="3.9000000000000004"/>
    <n v="0"/>
    <n v="4"/>
    <n v="-4"/>
    <n v="0.30000000000000004"/>
    <n v="-1"/>
    <n v="-1"/>
    <n v="1"/>
    <n v="0"/>
    <n v="1"/>
    <n v="1"/>
    <n v="1"/>
    <n v="1"/>
    <n v="1"/>
    <n v="1"/>
    <n v="1"/>
    <s v="FEV"/>
    <x v="15"/>
    <n v="1"/>
    <n v="0"/>
    <n v="0"/>
    <s v="1,21-1,4"/>
    <s v="9,01-16"/>
    <n v="0.76923076923076916"/>
    <n v="0.21052631578947367"/>
    <n v="0.1"/>
    <n v="-7.9757085020242924E-2"/>
    <n v="0.15384615384615383"/>
    <n v="0.1"/>
  </r>
  <r>
    <d v="2026-02-05T00:00:00"/>
    <x v="16"/>
    <x v="16"/>
    <n v="1"/>
    <n v="1"/>
    <s v="D"/>
    <n v="2.0099999999999998"/>
    <n v="3.3"/>
    <n v="3.6"/>
    <n v="1"/>
    <n v="1"/>
    <n v="0.27777777777777779"/>
    <n v="0.49751243781094534"/>
    <n v="2.0099999999999998"/>
    <n v="3.6"/>
    <n v="0"/>
    <n v="0"/>
    <n v="-1"/>
    <n v="-1"/>
    <n v="2.2999999999999998"/>
    <n v="0"/>
    <n v="0"/>
    <n v="1"/>
    <n v="1"/>
    <n v="0"/>
    <n v="0"/>
    <n v="0"/>
    <n v="0"/>
    <n v="1"/>
    <s v="FEV"/>
    <x v="16"/>
    <n v="0"/>
    <n v="1"/>
    <n v="0"/>
    <s v="2,01-2,4"/>
    <s v="3,01-4.0"/>
    <n v="0.49751243781094534"/>
    <n v="0.30303030303030304"/>
    <n v="0.27777777777777779"/>
    <n v="-7.8320518619026114E-2"/>
    <n v="0.49751243781094534"/>
    <n v="0.27777777777777779"/>
  </r>
  <r>
    <d v="2026-02-05T00:00:00"/>
    <x v="17"/>
    <x v="17"/>
    <n v="1"/>
    <n v="1"/>
    <s v="D"/>
    <n v="1.53"/>
    <n v="3.9"/>
    <n v="6"/>
    <n v="1"/>
    <n v="1"/>
    <n v="0.16666666666666666"/>
    <n v="0.65359477124183007"/>
    <n v="1.53"/>
    <n v="6"/>
    <n v="0"/>
    <n v="0"/>
    <n v="-1"/>
    <n v="-1"/>
    <n v="2.9"/>
    <n v="0"/>
    <n v="0"/>
    <n v="1"/>
    <n v="1"/>
    <n v="0"/>
    <n v="0"/>
    <n v="0"/>
    <n v="0"/>
    <n v="1"/>
    <s v="FEV"/>
    <x v="17"/>
    <n v="0"/>
    <n v="1"/>
    <n v="0"/>
    <s v="1,41-1,7"/>
    <s v="5,51-9,0"/>
    <n v="0.65359477124183007"/>
    <n v="0.25641025641025644"/>
    <n v="0.16666666666666666"/>
    <n v="-7.6671694318753314E-2"/>
    <n v="0.65359477124183007"/>
    <n v="0.16666666666666666"/>
  </r>
  <r>
    <d v="2026-02-06T00:00:00"/>
    <x v="18"/>
    <x v="18"/>
    <n v="1"/>
    <n v="2"/>
    <s v="A"/>
    <n v="1.35"/>
    <n v="4.33"/>
    <n v="9.5"/>
    <n v="0"/>
    <n v="3"/>
    <n v="0.10526315789473684"/>
    <n v="1.4814814814814814"/>
    <n v="0"/>
    <n v="28.5"/>
    <n v="-1"/>
    <n v="1"/>
    <n v="-1"/>
    <n v="8.5"/>
    <n v="-1"/>
    <n v="0"/>
    <n v="0"/>
    <n v="1"/>
    <n v="1"/>
    <n v="1"/>
    <n v="0"/>
    <n v="0"/>
    <n v="0"/>
    <n v="1"/>
    <s v="FEV"/>
    <x v="18"/>
    <n v="0"/>
    <n v="0"/>
    <n v="1"/>
    <s v="1,21-1,4"/>
    <s v="9,01-16"/>
    <n v="0.7407407407407407"/>
    <n v="0.23094688221709006"/>
    <n v="0.10526315789473684"/>
    <n v="-7.6950780852567569E-2"/>
    <n v="0.7407407407407407"/>
    <n v="5.2631578947368418E-2"/>
  </r>
  <r>
    <d v="2026-02-11T00:00:00"/>
    <x v="3"/>
    <x v="7"/>
    <n v="1"/>
    <n v="2"/>
    <s v="A"/>
    <n v="5.75"/>
    <n v="3.8"/>
    <n v="1.57"/>
    <n v="0"/>
    <n v="3"/>
    <n v="0.63694267515923564"/>
    <n v="0.34782608695652173"/>
    <n v="0"/>
    <n v="4.71"/>
    <n v="-1"/>
    <n v="1"/>
    <n v="-1"/>
    <n v="0.57000000000000006"/>
    <n v="-1"/>
    <n v="0"/>
    <n v="0"/>
    <n v="1"/>
    <n v="1"/>
    <n v="1"/>
    <n v="0"/>
    <n v="0"/>
    <n v="0"/>
    <n v="1"/>
    <s v="FEV"/>
    <x v="19"/>
    <n v="0"/>
    <n v="0"/>
    <n v="1"/>
    <s v="5,51-9,0"/>
    <s v="1,41-1,7"/>
    <n v="0.17391304347826086"/>
    <n v="0.26315789473684209"/>
    <n v="0.63694267515923564"/>
    <n v="-7.4013613374338538E-2"/>
    <n v="0.17391304347826086"/>
    <n v="0.31847133757961782"/>
  </r>
  <r>
    <d v="2026-02-11T00:00:00"/>
    <x v="5"/>
    <x v="18"/>
    <n v="3"/>
    <n v="3"/>
    <s v="D"/>
    <n v="2.7"/>
    <n v="3.2"/>
    <n v="2.65"/>
    <n v="1"/>
    <n v="1"/>
    <n v="1.1320754716981132"/>
    <n v="1.1111111111111109"/>
    <n v="2.7"/>
    <n v="2.65"/>
    <n v="0"/>
    <n v="0"/>
    <n v="-1"/>
    <n v="-1"/>
    <n v="2.2000000000000002"/>
    <n v="0"/>
    <n v="0"/>
    <n v="1"/>
    <n v="1"/>
    <n v="1"/>
    <n v="1"/>
    <n v="1"/>
    <n v="1"/>
    <n v="1"/>
    <s v="FEV"/>
    <x v="20"/>
    <n v="0"/>
    <n v="1"/>
    <n v="0"/>
    <s v="2,41-3,0"/>
    <s v="2,41-3,0"/>
    <n v="0.37037037037037035"/>
    <n v="0.3125"/>
    <n v="0.37735849056603776"/>
    <n v="-6.0228860936408113E-2"/>
    <n v="0.12345679012345678"/>
    <n v="0.12578616352201258"/>
  </r>
  <r>
    <d v="2026-02-11T00:00:00"/>
    <x v="8"/>
    <x v="9"/>
    <n v="2"/>
    <n v="2"/>
    <s v="D"/>
    <n v="2.4"/>
    <n v="3"/>
    <n v="3.2"/>
    <n v="1"/>
    <n v="1"/>
    <n v="0.625"/>
    <n v="0.83333333333333337"/>
    <n v="2.4"/>
    <n v="3.2"/>
    <n v="0"/>
    <n v="0"/>
    <n v="-1"/>
    <n v="-1"/>
    <n v="2"/>
    <n v="0"/>
    <n v="0"/>
    <n v="1"/>
    <n v="1"/>
    <n v="1"/>
    <n v="1"/>
    <n v="0"/>
    <n v="0"/>
    <n v="1"/>
    <s v="FEV"/>
    <x v="21"/>
    <n v="0"/>
    <n v="1"/>
    <n v="0"/>
    <s v="2,01-2,4"/>
    <s v="3,01-4.0"/>
    <n v="0.41666666666666669"/>
    <n v="0.33333333333333331"/>
    <n v="0.3125"/>
    <n v="-6.25E-2"/>
    <n v="0.20833333333333334"/>
    <n v="0.15625"/>
  </r>
  <r>
    <d v="2026-02-11T00:00:00"/>
    <x v="0"/>
    <x v="3"/>
    <n v="3"/>
    <n v="3"/>
    <s v="D"/>
    <n v="1.41"/>
    <n v="4.5"/>
    <n v="7.5"/>
    <n v="1"/>
    <n v="1"/>
    <n v="0.4"/>
    <n v="2.1276595744680851"/>
    <n v="1.41"/>
    <n v="7.5"/>
    <n v="0"/>
    <n v="0"/>
    <n v="-1"/>
    <n v="-1"/>
    <n v="3.5"/>
    <n v="0"/>
    <n v="0"/>
    <n v="1"/>
    <n v="1"/>
    <n v="1"/>
    <n v="1"/>
    <n v="1"/>
    <n v="1"/>
    <n v="1"/>
    <s v="FEV"/>
    <x v="22"/>
    <n v="0"/>
    <n v="1"/>
    <n v="0"/>
    <s v="1,41-1,7"/>
    <s v="5,51-9,0"/>
    <n v="0.70921985815602839"/>
    <n v="0.22222222222222221"/>
    <n v="0.13333333333333333"/>
    <n v="-6.4775413711583907E-2"/>
    <n v="0.2364066193853428"/>
    <n v="4.4444444444444446E-2"/>
  </r>
  <r>
    <d v="2026-02-12T00:00:00"/>
    <x v="7"/>
    <x v="4"/>
    <n v="2"/>
    <n v="0"/>
    <s v="H"/>
    <n v="1.91"/>
    <n v="3.2"/>
    <n v="4.2"/>
    <n v="3"/>
    <n v="0"/>
    <n v="0.47619047619047616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FEV"/>
    <x v="23"/>
    <n v="1"/>
    <n v="0"/>
    <n v="0"/>
    <s v="1,71-2,0"/>
    <s v="4,01-5,5"/>
    <n v="0.52356020942408377"/>
    <n v="0.3125"/>
    <n v="0.23809523809523808"/>
    <n v="-7.4155447519321793E-2"/>
    <n v="0.26178010471204188"/>
    <n v="1"/>
  </r>
  <r>
    <d v="2026-02-12T00:00:00"/>
    <x v="17"/>
    <x v="6"/>
    <n v="0"/>
    <n v="1"/>
    <s v="A"/>
    <n v="2.2000000000000002"/>
    <n v="3.3"/>
    <n v="3.1"/>
    <n v="0"/>
    <n v="3"/>
    <n v="0"/>
    <n v="0.45454545454545453"/>
    <n v="0"/>
    <n v="9.3000000000000007"/>
    <n v="-1"/>
    <n v="1"/>
    <n v="-1"/>
    <n v="2.1"/>
    <n v="-1"/>
    <n v="0"/>
    <n v="0"/>
    <n v="1"/>
    <n v="0"/>
    <n v="0"/>
    <n v="0"/>
    <n v="0"/>
    <n v="0"/>
    <n v="0"/>
    <s v="FEV"/>
    <x v="24"/>
    <n v="0"/>
    <n v="0"/>
    <n v="1"/>
    <s v="2,01-2,4"/>
    <s v="3,01-4.0"/>
    <n v="0.45454545454545453"/>
    <n v="0.30303030303030304"/>
    <n v="0.32258064516129031"/>
    <n v="-8.0156402737047827E-2"/>
    <n v="1"/>
    <n v="0.32258064516129031"/>
  </r>
  <r>
    <d v="2026-02-12T00:00:00"/>
    <x v="19"/>
    <x v="5"/>
    <n v="2"/>
    <n v="1"/>
    <s v="H"/>
    <n v="1.96"/>
    <n v="3.25"/>
    <n v="4"/>
    <n v="3"/>
    <n v="0"/>
    <n v="0.5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FEV"/>
    <x v="25"/>
    <n v="1"/>
    <n v="0"/>
    <n v="0"/>
    <s v="1,71-2,0"/>
    <s v="3,01-4.0"/>
    <n v="0.51020408163265307"/>
    <n v="0.30769230769230771"/>
    <n v="0.25"/>
    <n v="-6.7896389324960893E-2"/>
    <n v="0.25510204081632654"/>
    <n v="0.25"/>
  </r>
  <r>
    <d v="2026-02-12T00:00:00"/>
    <x v="4"/>
    <x v="14"/>
    <n v="1"/>
    <n v="0"/>
    <s v="H"/>
    <n v="1.76"/>
    <n v="3.3"/>
    <n v="5.5"/>
    <n v="3"/>
    <n v="0"/>
    <n v="0.18181818181818182"/>
    <n v="0"/>
    <n v="5.28"/>
    <n v="0"/>
    <n v="1"/>
    <n v="-1"/>
    <n v="0.76"/>
    <n v="-1"/>
    <n v="-1"/>
    <n v="0"/>
    <n v="0"/>
    <n v="1"/>
    <n v="0"/>
    <n v="0"/>
    <n v="0"/>
    <n v="0"/>
    <n v="0"/>
    <n v="0"/>
    <s v="FEV"/>
    <x v="26"/>
    <n v="1"/>
    <n v="0"/>
    <n v="0"/>
    <s v="1,71-2,0"/>
    <s v="4,01-5,5"/>
    <n v="0.56818181818181823"/>
    <n v="0.30303030303030304"/>
    <n v="0.18181818181818182"/>
    <n v="-5.3030303030303205E-2"/>
    <n v="0.56818181818181823"/>
    <n v="1"/>
  </r>
  <r>
    <d v="2026-02-12T00:00:00"/>
    <x v="6"/>
    <x v="1"/>
    <n v="2"/>
    <n v="0"/>
    <s v="H"/>
    <n v="1.86"/>
    <n v="3.2"/>
    <n v="4.75"/>
    <n v="3"/>
    <n v="0"/>
    <n v="0.42105263157894735"/>
    <n v="0"/>
    <n v="5.58"/>
    <n v="0"/>
    <n v="2"/>
    <n v="-2"/>
    <n v="0.8600000000000001"/>
    <n v="-1"/>
    <n v="-1"/>
    <n v="0"/>
    <n v="0"/>
    <n v="1"/>
    <n v="1"/>
    <n v="0"/>
    <n v="0"/>
    <n v="0"/>
    <n v="0"/>
    <n v="0"/>
    <s v="FEV"/>
    <x v="27"/>
    <n v="1"/>
    <n v="0"/>
    <n v="0"/>
    <s v="1,71-2,0"/>
    <s v="4,01-5,5"/>
    <n v="0.5376344086021505"/>
    <n v="0.3125"/>
    <n v="0.21052631578947367"/>
    <n v="-6.0660724391624177E-2"/>
    <n v="0.26881720430107525"/>
    <n v="1"/>
  </r>
  <r>
    <d v="2026-02-13T00:00:00"/>
    <x v="2"/>
    <x v="0"/>
    <n v="1"/>
    <n v="3"/>
    <s v="A"/>
    <n v="3.1"/>
    <n v="3.4"/>
    <n v="2.25"/>
    <n v="0"/>
    <n v="3"/>
    <n v="0.44444444444444442"/>
    <n v="0.96774193548387089"/>
    <n v="0"/>
    <n v="6.75"/>
    <n v="-2"/>
    <n v="2"/>
    <n v="-1"/>
    <n v="1.25"/>
    <n v="-1"/>
    <n v="0"/>
    <n v="0"/>
    <n v="1"/>
    <n v="1"/>
    <n v="1"/>
    <n v="1"/>
    <n v="0"/>
    <n v="0"/>
    <n v="1"/>
    <s v="FEV"/>
    <x v="28"/>
    <n v="0"/>
    <n v="0"/>
    <n v="1"/>
    <s v="3,01-4.0"/>
    <s v="2,01-2,4"/>
    <n v="0.32258064516129031"/>
    <n v="0.29411764705882354"/>
    <n v="0.44444444444444442"/>
    <n v="-6.1142736664558273E-2"/>
    <n v="0.32258064516129031"/>
    <n v="0.14814814814814814"/>
  </r>
  <r>
    <d v="2026-02-19T00:00:00"/>
    <x v="19"/>
    <x v="19"/>
    <n v="0"/>
    <n v="1"/>
    <s v="A"/>
    <n v="2.57"/>
    <n v="3"/>
    <n v="2.85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FEV"/>
    <x v="29"/>
    <n v="0"/>
    <n v="0"/>
    <n v="1"/>
    <s v="2,41-3,0"/>
    <s v="2,41-3,0"/>
    <n v="0.38910505836575876"/>
    <n v="0.33333333333333331"/>
    <n v="0.35087719298245612"/>
    <n v="-7.3315584681548085E-2"/>
    <n v="1"/>
    <n v="0.35087719298245612"/>
  </r>
  <r>
    <d v="2026-02-25T00:00:00"/>
    <x v="10"/>
    <x v="2"/>
    <n v="1"/>
    <n v="1"/>
    <s v="D"/>
    <n v="2.0099999999999998"/>
    <n v="3.3"/>
    <n v="3.9"/>
    <n v="1"/>
    <n v="1"/>
    <n v="0.25641025641025644"/>
    <n v="0.49751243781094534"/>
    <n v="2.0099999999999998"/>
    <n v="3.9"/>
    <n v="0"/>
    <n v="0"/>
    <n v="-1"/>
    <n v="-1"/>
    <n v="2.2999999999999998"/>
    <n v="0"/>
    <n v="0"/>
    <n v="1"/>
    <n v="1"/>
    <n v="0"/>
    <n v="0"/>
    <n v="0"/>
    <n v="0"/>
    <n v="1"/>
    <s v="FEV"/>
    <x v="30"/>
    <n v="0"/>
    <n v="1"/>
    <n v="0"/>
    <s v="2,01-2,4"/>
    <s v="3,01-4.0"/>
    <n v="0.49751243781094534"/>
    <n v="0.30303030303030304"/>
    <n v="0.25641025641025644"/>
    <n v="-5.6952997251504822E-2"/>
    <n v="0.49751243781094534"/>
    <n v="0.25641025641025644"/>
  </r>
  <r>
    <d v="2026-02-25T00:00:00"/>
    <x v="12"/>
    <x v="11"/>
    <n v="1"/>
    <n v="1"/>
    <s v="D"/>
    <n v="3.25"/>
    <n v="3.4"/>
    <n v="2.15"/>
    <n v="1"/>
    <n v="1"/>
    <n v="0.46511627906976744"/>
    <n v="0.30769230769230771"/>
    <n v="3.25"/>
    <n v="2.15"/>
    <n v="0"/>
    <n v="0"/>
    <n v="-1"/>
    <n v="-1"/>
    <n v="2.4"/>
    <n v="0"/>
    <n v="0"/>
    <n v="1"/>
    <n v="1"/>
    <n v="0"/>
    <n v="0"/>
    <n v="0"/>
    <n v="0"/>
    <n v="1"/>
    <s v="FEV"/>
    <x v="31"/>
    <n v="0"/>
    <n v="1"/>
    <n v="0"/>
    <s v="3,01-4.0"/>
    <s v="2,01-2,4"/>
    <n v="0.30769230769230771"/>
    <n v="0.29411764705882354"/>
    <n v="0.46511627906976744"/>
    <n v="-6.6926233820898684E-2"/>
    <n v="0.30769230769230771"/>
    <n v="0.46511627906976744"/>
  </r>
  <r>
    <d v="2026-02-25T00:00:00"/>
    <x v="1"/>
    <x v="13"/>
    <n v="0"/>
    <n v="1"/>
    <s v="A"/>
    <n v="2.5"/>
    <n v="3.1"/>
    <n v="3"/>
    <n v="0"/>
    <n v="3"/>
    <n v="0"/>
    <n v="0.4"/>
    <n v="0"/>
    <n v="9"/>
    <n v="-1"/>
    <n v="1"/>
    <n v="-1"/>
    <n v="2"/>
    <n v="-1"/>
    <n v="0"/>
    <n v="0"/>
    <n v="1"/>
    <n v="0"/>
    <n v="0"/>
    <n v="0"/>
    <n v="0"/>
    <n v="0"/>
    <n v="0"/>
    <s v="FEV"/>
    <x v="32"/>
    <n v="0"/>
    <n v="0"/>
    <n v="1"/>
    <s v="2,41-3,0"/>
    <s v="2,41-3,0"/>
    <n v="0.4"/>
    <n v="0.32258064516129031"/>
    <n v="0.33333333333333331"/>
    <n v="-5.5913978494623651E-2"/>
    <n v="1"/>
    <n v="0.33333333333333331"/>
  </r>
  <r>
    <d v="2026-02-25T00:00:00"/>
    <x v="18"/>
    <x v="19"/>
    <n v="1"/>
    <n v="1"/>
    <s v="D"/>
    <n v="1.66"/>
    <n v="3.5"/>
    <n v="5.5"/>
    <n v="1"/>
    <n v="1"/>
    <n v="0.18181818181818182"/>
    <n v="0.60240963855421692"/>
    <n v="1.66"/>
    <n v="5.5"/>
    <n v="0"/>
    <n v="0"/>
    <n v="-1"/>
    <n v="-1"/>
    <n v="2.5"/>
    <n v="0"/>
    <n v="0"/>
    <n v="1"/>
    <n v="1"/>
    <n v="0"/>
    <n v="0"/>
    <n v="0"/>
    <n v="0"/>
    <n v="1"/>
    <s v="FEV"/>
    <x v="33"/>
    <n v="0"/>
    <n v="1"/>
    <n v="0"/>
    <s v="1,41-1,7"/>
    <s v="4,01-5,5"/>
    <n v="0.60240963855421692"/>
    <n v="0.2857142857142857"/>
    <n v="0.18181818181818182"/>
    <n v="-6.9942106086684497E-2"/>
    <n v="0.60240963855421692"/>
    <n v="0.18181818181818182"/>
  </r>
  <r>
    <d v="2026-02-26T00:00:00"/>
    <x v="14"/>
    <x v="10"/>
    <n v="2"/>
    <n v="1"/>
    <s v="H"/>
    <n v="2.1"/>
    <n v="3.3"/>
    <n v="3.4"/>
    <n v="3"/>
    <n v="0"/>
    <n v="0.588235294117647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FEV"/>
    <x v="34"/>
    <n v="1"/>
    <n v="0"/>
    <n v="0"/>
    <s v="2,01-2,4"/>
    <s v="3,01-4.0"/>
    <n v="0.47619047619047616"/>
    <n v="0.30303030303030304"/>
    <n v="0.29411764705882354"/>
    <n v="-7.3338426279602853E-2"/>
    <n v="0.23809523809523808"/>
    <n v="0.29411764705882354"/>
  </r>
  <r>
    <d v="2026-02-26T00:00:00"/>
    <x v="15"/>
    <x v="16"/>
    <n v="2"/>
    <n v="1"/>
    <s v="H"/>
    <n v="1.62"/>
    <n v="3.9"/>
    <n v="5"/>
    <n v="3"/>
    <n v="0"/>
    <n v="0.4"/>
    <n v="0.61728395061728392"/>
    <n v="4.8600000000000003"/>
    <n v="0"/>
    <n v="1"/>
    <n v="-1"/>
    <n v="0.62000000000000011"/>
    <n v="-1"/>
    <n v="-1"/>
    <n v="0"/>
    <n v="0"/>
    <n v="1"/>
    <n v="1"/>
    <n v="1"/>
    <n v="0"/>
    <n v="0"/>
    <n v="0"/>
    <n v="1"/>
    <s v="FEV"/>
    <x v="35"/>
    <n v="1"/>
    <n v="0"/>
    <n v="0"/>
    <s v="1,41-1,7"/>
    <s v="4,01-5,5"/>
    <n v="0.61728395061728392"/>
    <n v="0.25641025641025644"/>
    <n v="0.2"/>
    <n v="-7.369420702754037E-2"/>
    <n v="0.30864197530864196"/>
    <n v="0.2"/>
  </r>
  <r>
    <d v="2026-02-26T00:00:00"/>
    <x v="13"/>
    <x v="8"/>
    <n v="2"/>
    <n v="1"/>
    <s v="H"/>
    <n v="2.0099999999999998"/>
    <n v="3.4"/>
    <n v="3.75"/>
    <n v="3"/>
    <n v="0"/>
    <n v="0.53333333333333333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FEV"/>
    <x v="36"/>
    <n v="1"/>
    <n v="0"/>
    <n v="0"/>
    <s v="2,01-2,4"/>
    <s v="3,01-4.0"/>
    <n v="0.49751243781094534"/>
    <n v="0.29411764705882354"/>
    <n v="0.26666666666666666"/>
    <n v="-5.8296751536435432E-2"/>
    <n v="0.24875621890547267"/>
    <n v="0.26666666666666666"/>
  </r>
  <r>
    <d v="2026-03-11T00:00:00"/>
    <x v="8"/>
    <x v="5"/>
    <n v="2"/>
    <n v="2"/>
    <s v="D"/>
    <n v="1.66"/>
    <n v="3.7"/>
    <n v="4.75"/>
    <n v="1"/>
    <n v="1"/>
    <n v="0.42105263157894735"/>
    <n v="1.2048192771084338"/>
    <n v="1.66"/>
    <n v="4.75"/>
    <n v="0"/>
    <n v="0"/>
    <n v="-1"/>
    <n v="-1"/>
    <n v="2.7"/>
    <n v="0"/>
    <n v="0"/>
    <n v="1"/>
    <n v="1"/>
    <n v="1"/>
    <n v="1"/>
    <n v="0"/>
    <n v="0"/>
    <n v="1"/>
    <s v="MAR"/>
    <x v="37"/>
    <n v="0"/>
    <n v="1"/>
    <n v="0"/>
    <s v="1,41-1,7"/>
    <s v="4,01-5,5"/>
    <n v="0.60240963855421692"/>
    <n v="0.27027027027027023"/>
    <n v="0.21052631578947367"/>
    <n v="-8.3206224613960877E-2"/>
    <n v="0.30120481927710846"/>
    <n v="0.10526315789473684"/>
  </r>
  <r>
    <d v="2026-03-11T00:00:00"/>
    <x v="0"/>
    <x v="11"/>
    <n v="1"/>
    <n v="0"/>
    <s v="H"/>
    <n v="2.0099999999999998"/>
    <n v="3.4"/>
    <n v="3.7"/>
    <n v="3"/>
    <n v="0"/>
    <n v="0.27027027027027023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MAR"/>
    <x v="38"/>
    <n v="1"/>
    <n v="0"/>
    <n v="0"/>
    <s v="2,01-2,4"/>
    <s v="3,01-4.0"/>
    <n v="0.49751243781094534"/>
    <n v="0.29411764705882354"/>
    <n v="0.27027027027027023"/>
    <n v="-6.1900355140038998E-2"/>
    <n v="0.49751243781094534"/>
    <n v="1"/>
  </r>
  <r>
    <d v="2026-03-11T00:00:00"/>
    <x v="16"/>
    <x v="15"/>
    <n v="1"/>
    <n v="1"/>
    <s v="D"/>
    <n v="1.66"/>
    <n v="3.6"/>
    <n v="5.25"/>
    <n v="1"/>
    <n v="1"/>
    <n v="0.19047619047619047"/>
    <n v="0.60240963855421692"/>
    <n v="1.66"/>
    <n v="5.25"/>
    <n v="0"/>
    <n v="0"/>
    <n v="-1"/>
    <n v="-1"/>
    <n v="2.6"/>
    <n v="0"/>
    <n v="0"/>
    <n v="1"/>
    <n v="1"/>
    <n v="0"/>
    <n v="0"/>
    <n v="0"/>
    <n v="0"/>
    <n v="1"/>
    <s v="MAR"/>
    <x v="39"/>
    <n v="0"/>
    <n v="1"/>
    <n v="0"/>
    <s v="1,41-1,7"/>
    <s v="4,01-5,5"/>
    <n v="0.60240963855421692"/>
    <n v="0.27777777777777779"/>
    <n v="0.19047619047619047"/>
    <n v="-7.0663606808185175E-2"/>
    <n v="0.60240963855421692"/>
    <n v="0.19047619047619047"/>
  </r>
  <r>
    <d v="2026-03-12T00:00:00"/>
    <x v="6"/>
    <x v="18"/>
    <n v="0"/>
    <n v="2"/>
    <s v="A"/>
    <n v="1.62"/>
    <n v="3.75"/>
    <n v="5"/>
    <n v="0"/>
    <n v="3"/>
    <n v="0"/>
    <n v="1.2345679012345678"/>
    <n v="0"/>
    <n v="15"/>
    <n v="-2"/>
    <n v="2"/>
    <n v="-1"/>
    <n v="4"/>
    <n v="-1"/>
    <n v="0"/>
    <n v="0"/>
    <n v="1"/>
    <n v="1"/>
    <n v="0"/>
    <n v="0"/>
    <n v="0"/>
    <n v="0"/>
    <n v="0"/>
    <s v="MAR"/>
    <x v="40"/>
    <n v="0"/>
    <n v="0"/>
    <n v="1"/>
    <s v="1,41-1,7"/>
    <s v="4,01-5,5"/>
    <n v="0.61728395061728392"/>
    <n v="0.26666666666666666"/>
    <n v="0.2"/>
    <n v="-8.395061728395059E-2"/>
    <n v="1"/>
    <n v="0.1"/>
  </r>
  <r>
    <d v="2026-03-12T00:00:00"/>
    <x v="11"/>
    <x v="9"/>
    <n v="2"/>
    <n v="0"/>
    <s v="H"/>
    <n v="1.45"/>
    <n v="4.2"/>
    <n v="6.5"/>
    <n v="3"/>
    <n v="0"/>
    <n v="0.30769230769230771"/>
    <n v="0"/>
    <n v="4.3499999999999996"/>
    <n v="0"/>
    <n v="2"/>
    <n v="-2"/>
    <n v="0.44999999999999996"/>
    <n v="-1"/>
    <n v="-1"/>
    <n v="0"/>
    <n v="0"/>
    <n v="1"/>
    <n v="1"/>
    <n v="0"/>
    <n v="0"/>
    <n v="0"/>
    <n v="0"/>
    <n v="0"/>
    <s v="MAR"/>
    <x v="41"/>
    <n v="1"/>
    <n v="0"/>
    <n v="0"/>
    <s v="1,41-1,7"/>
    <s v="5,51-9,0"/>
    <n v="0.68965517241379315"/>
    <n v="0.23809523809523808"/>
    <n v="0.15384615384615385"/>
    <n v="-8.1596564355185031E-2"/>
    <n v="0.34482758620689657"/>
    <n v="1"/>
  </r>
  <r>
    <d v="2026-03-12T00:00:00"/>
    <x v="12"/>
    <x v="16"/>
    <n v="0"/>
    <n v="2"/>
    <s v="A"/>
    <n v="4"/>
    <n v="3.5"/>
    <n v="1.86"/>
    <n v="0"/>
    <n v="3"/>
    <n v="0"/>
    <n v="0.5"/>
    <n v="0"/>
    <n v="5.58"/>
    <n v="-2"/>
    <n v="2"/>
    <n v="-1"/>
    <n v="0.8600000000000001"/>
    <n v="-1"/>
    <n v="0"/>
    <n v="0"/>
    <n v="1"/>
    <n v="1"/>
    <n v="0"/>
    <n v="0"/>
    <n v="0"/>
    <n v="0"/>
    <n v="0"/>
    <s v="MAR"/>
    <x v="42"/>
    <n v="0"/>
    <n v="0"/>
    <n v="1"/>
    <s v="3,01-4.0"/>
    <s v="1,71-2,0"/>
    <n v="0.25"/>
    <n v="0.2857142857142857"/>
    <n v="0.5376344086021505"/>
    <n v="-7.3348694316436092E-2"/>
    <n v="1"/>
    <n v="0.26881720430107525"/>
  </r>
  <r>
    <d v="2026-03-12T00:00:00"/>
    <x v="17"/>
    <x v="0"/>
    <n v="2"/>
    <n v="1"/>
    <s v="H"/>
    <n v="3.1"/>
    <n v="3.25"/>
    <n v="2.4"/>
    <n v="3"/>
    <n v="0"/>
    <n v="0.83333333333333337"/>
    <n v="0.32258064516129031"/>
    <n v="9.3000000000000007"/>
    <n v="0"/>
    <n v="1"/>
    <n v="-1"/>
    <n v="2.1"/>
    <n v="-1"/>
    <n v="-1"/>
    <n v="0"/>
    <n v="0"/>
    <n v="1"/>
    <n v="1"/>
    <n v="1"/>
    <n v="0"/>
    <n v="0"/>
    <n v="0"/>
    <n v="1"/>
    <s v="MAR"/>
    <x v="43"/>
    <n v="1"/>
    <n v="0"/>
    <n v="0"/>
    <s v="3,01-4.0"/>
    <s v="2,01-2,4"/>
    <n v="0.32258064516129031"/>
    <n v="0.30769230769230771"/>
    <n v="0.41666666666666669"/>
    <n v="-4.6939619520264708E-2"/>
    <n v="0.16129032258064516"/>
    <n v="0.41666666666666669"/>
  </r>
  <r>
    <d v="2026-03-12T00:00:00"/>
    <x v="7"/>
    <x v="17"/>
    <n v="2"/>
    <n v="0"/>
    <s v="H"/>
    <n v="1.39"/>
    <n v="4.5"/>
    <n v="7.5"/>
    <n v="3"/>
    <n v="0"/>
    <n v="0.26666666666666666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MAR"/>
    <x v="44"/>
    <n v="1"/>
    <n v="0"/>
    <n v="0"/>
    <s v="1,21-1,4"/>
    <s v="5,51-9,0"/>
    <n v="0.71942446043165476"/>
    <n v="0.22222222222222221"/>
    <n v="0.13333333333333333"/>
    <n v="-7.4980015987210269E-2"/>
    <n v="0.35971223021582738"/>
    <n v="1"/>
  </r>
  <r>
    <d v="2026-03-13T00:00:00"/>
    <x v="14"/>
    <x v="1"/>
    <n v="1"/>
    <n v="1"/>
    <s v="D"/>
    <n v="2.15"/>
    <n v="3.4"/>
    <n v="3.2"/>
    <n v="1"/>
    <n v="1"/>
    <n v="0.3125"/>
    <n v="0.46511627906976744"/>
    <n v="2.15"/>
    <n v="3.2"/>
    <n v="0"/>
    <n v="0"/>
    <n v="-1"/>
    <n v="-1"/>
    <n v="2.4"/>
    <n v="0"/>
    <n v="0"/>
    <n v="1"/>
    <n v="1"/>
    <n v="0"/>
    <n v="0"/>
    <n v="0"/>
    <n v="0"/>
    <n v="1"/>
    <s v="MAR"/>
    <x v="45"/>
    <n v="0"/>
    <n v="1"/>
    <n v="0"/>
    <s v="2,01-2,4"/>
    <s v="3,01-4.0"/>
    <n v="0.46511627906976744"/>
    <n v="0.29411764705882354"/>
    <n v="0.3125"/>
    <n v="-7.1733926128590975E-2"/>
    <n v="0.46511627906976744"/>
    <n v="0.3125"/>
  </r>
  <r>
    <d v="2026-03-14T00:00:00"/>
    <x v="3"/>
    <x v="10"/>
    <n v="2"/>
    <n v="0"/>
    <s v="H"/>
    <n v="2.3199999999999998"/>
    <n v="3.1"/>
    <n v="3.25"/>
    <n v="3"/>
    <n v="0"/>
    <n v="0.61538461538461542"/>
    <n v="0"/>
    <n v="6.9599999999999991"/>
    <n v="0"/>
    <n v="2"/>
    <n v="-2"/>
    <n v="1.3199999999999998"/>
    <n v="-1"/>
    <n v="-1"/>
    <n v="0"/>
    <n v="0"/>
    <n v="1"/>
    <n v="1"/>
    <n v="0"/>
    <n v="0"/>
    <n v="0"/>
    <n v="0"/>
    <n v="0"/>
    <s v="MAR"/>
    <x v="46"/>
    <n v="1"/>
    <n v="0"/>
    <n v="0"/>
    <s v="2,01-2,4"/>
    <s v="3,01-4.0"/>
    <n v="0.43103448275862072"/>
    <n v="0.32258064516129031"/>
    <n v="0.30769230769230771"/>
    <n v="-6.1307435612218741E-2"/>
    <n v="0.21551724137931036"/>
    <n v="1"/>
  </r>
  <r>
    <d v="2026-03-14T00:00:00"/>
    <x v="9"/>
    <x v="7"/>
    <n v="0"/>
    <n v="3"/>
    <s v="A"/>
    <n v="4.0999999999999996"/>
    <n v="3.3"/>
    <n v="1.91"/>
    <n v="0"/>
    <n v="3"/>
    <n v="0"/>
    <n v="0.73170731707317083"/>
    <n v="0"/>
    <n v="5.7299999999999995"/>
    <n v="-3"/>
    <n v="3"/>
    <n v="-1"/>
    <n v="0.90999999999999992"/>
    <n v="-1"/>
    <n v="0"/>
    <n v="0"/>
    <n v="1"/>
    <n v="1"/>
    <n v="1"/>
    <n v="0"/>
    <n v="0"/>
    <n v="0"/>
    <n v="0"/>
    <s v="MAR"/>
    <x v="47"/>
    <n v="0"/>
    <n v="0"/>
    <n v="1"/>
    <s v="4,01-5,5"/>
    <s v="1,71-2,0"/>
    <n v="0.24390243902439027"/>
    <n v="0.30303030303030304"/>
    <n v="0.52356020942408377"/>
    <n v="-7.0492951478777099E-2"/>
    <n v="1"/>
    <n v="0.17452006980802792"/>
  </r>
  <r>
    <d v="2026-03-15T00:00:00"/>
    <x v="4"/>
    <x v="2"/>
    <n v="3"/>
    <n v="2"/>
    <s v="H"/>
    <n v="1.79"/>
    <n v="3.4"/>
    <n v="4.75"/>
    <n v="3"/>
    <n v="0"/>
    <n v="0.63157894736842102"/>
    <n v="1.1173184357541899"/>
    <n v="5.37"/>
    <n v="0"/>
    <n v="1"/>
    <n v="-1"/>
    <n v="0.79"/>
    <n v="-1"/>
    <n v="-1"/>
    <n v="0"/>
    <n v="0"/>
    <n v="1"/>
    <n v="1"/>
    <n v="1"/>
    <n v="1"/>
    <n v="1"/>
    <n v="0"/>
    <n v="1"/>
    <s v="MAR"/>
    <x v="48"/>
    <n v="1"/>
    <n v="0"/>
    <n v="0"/>
    <s v="1,71-2,0"/>
    <s v="4,01-5,5"/>
    <n v="0.55865921787709494"/>
    <n v="0.29411764705882354"/>
    <n v="0.21052631578947367"/>
    <n v="-6.3303180725392094E-2"/>
    <n v="0.18621973929236499"/>
    <n v="0.10526315789473684"/>
  </r>
  <r>
    <d v="2026-03-15T00:00:00"/>
    <x v="2"/>
    <x v="6"/>
    <n v="0"/>
    <n v="1"/>
    <s v="A"/>
    <n v="1.76"/>
    <n v="3.75"/>
    <n v="4.33"/>
    <n v="0"/>
    <n v="3"/>
    <n v="0"/>
    <n v="0.56818181818181823"/>
    <n v="0"/>
    <n v="12.99"/>
    <n v="-1"/>
    <n v="1"/>
    <n v="-1"/>
    <n v="3.33"/>
    <n v="-1"/>
    <n v="0"/>
    <n v="0"/>
    <n v="1"/>
    <n v="0"/>
    <n v="0"/>
    <n v="0"/>
    <n v="0"/>
    <n v="0"/>
    <n v="0"/>
    <s v="MAR"/>
    <x v="49"/>
    <n v="0"/>
    <n v="0"/>
    <n v="1"/>
    <s v="1,71-2,0"/>
    <s v="4,01-5,5"/>
    <n v="0.56818181818181823"/>
    <n v="0.26666666666666666"/>
    <n v="0.23094688221709006"/>
    <n v="-6.5795367065575094E-2"/>
    <n v="1"/>
    <n v="0.23094688221709006"/>
  </r>
  <r>
    <d v="2026-03-15T00:00:00"/>
    <x v="13"/>
    <x v="19"/>
    <n v="1"/>
    <n v="1"/>
    <s v="D"/>
    <n v="2.57"/>
    <n v="3"/>
    <n v="3"/>
    <n v="1"/>
    <n v="1"/>
    <n v="0.33333333333333331"/>
    <n v="0.38910505836575876"/>
    <n v="2.57"/>
    <n v="3"/>
    <n v="0"/>
    <n v="0"/>
    <n v="-1"/>
    <n v="-1"/>
    <n v="2"/>
    <n v="0"/>
    <n v="0"/>
    <n v="1"/>
    <n v="1"/>
    <n v="0"/>
    <n v="0"/>
    <n v="0"/>
    <n v="0"/>
    <n v="1"/>
    <s v="MAR"/>
    <x v="50"/>
    <n v="0"/>
    <n v="1"/>
    <n v="0"/>
    <s v="2,41-3,0"/>
    <s v="2,41-3,0"/>
    <n v="0.38910505836575876"/>
    <n v="0.33333333333333331"/>
    <n v="0.33333333333333331"/>
    <n v="-5.5771725032425445E-2"/>
    <n v="0.38910505836575876"/>
    <n v="0.33333333333333331"/>
  </r>
  <r>
    <d v="2026-03-15T00:00:00"/>
    <x v="1"/>
    <x v="3"/>
    <n v="1"/>
    <n v="0"/>
    <s v="H"/>
    <n v="1.66"/>
    <n v="3.5"/>
    <n v="5"/>
    <n v="3"/>
    <n v="0"/>
    <n v="0.2"/>
    <n v="0"/>
    <n v="4.9799999999999995"/>
    <n v="0"/>
    <n v="1"/>
    <n v="-1"/>
    <n v="0.65999999999999992"/>
    <n v="-1"/>
    <n v="-1"/>
    <n v="0"/>
    <n v="0"/>
    <n v="1"/>
    <n v="0"/>
    <n v="0"/>
    <n v="0"/>
    <n v="0"/>
    <n v="0"/>
    <n v="0"/>
    <s v="MAR"/>
    <x v="51"/>
    <n v="1"/>
    <n v="0"/>
    <n v="0"/>
    <s v="1,41-1,7"/>
    <s v="4,01-5,5"/>
    <n v="0.60240963855421692"/>
    <n v="0.2857142857142857"/>
    <n v="0.2"/>
    <n v="-8.8123924268502574E-2"/>
    <n v="0.60240963855421692"/>
    <n v="1"/>
  </r>
  <r>
    <d v="2026-03-15T00:00:00"/>
    <x v="15"/>
    <x v="12"/>
    <n v="1"/>
    <n v="0"/>
    <s v="H"/>
    <n v="1.61"/>
    <n v="3.75"/>
    <n v="5.5"/>
    <n v="3"/>
    <n v="0"/>
    <n v="0.18181818181818182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x v="52"/>
    <n v="1"/>
    <n v="0"/>
    <n v="0"/>
    <s v="1,41-1,7"/>
    <s v="4,01-5,5"/>
    <n v="0.6211180124223602"/>
    <n v="0.26666666666666666"/>
    <n v="0.18181818181818182"/>
    <n v="-6.9602860907208797E-2"/>
    <n v="0.6211180124223602"/>
    <n v="1"/>
  </r>
  <r>
    <d v="2026-03-15T00:00:00"/>
    <x v="10"/>
    <x v="13"/>
    <n v="1"/>
    <n v="2"/>
    <s v="A"/>
    <n v="2.35"/>
    <n v="3.1"/>
    <n v="3.2"/>
    <n v="0"/>
    <n v="3"/>
    <n v="0.3125"/>
    <n v="0.85106382978723405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MAR"/>
    <x v="53"/>
    <n v="0"/>
    <n v="0"/>
    <n v="1"/>
    <s v="2,01-2,4"/>
    <s v="3,01-4.0"/>
    <n v="0.42553191489361702"/>
    <n v="0.32258064516129031"/>
    <n v="0.3125"/>
    <n v="-6.0612560054907227E-2"/>
    <n v="0.42553191489361702"/>
    <n v="0.15625"/>
  </r>
  <r>
    <d v="2026-03-15T00:00:00"/>
    <x v="18"/>
    <x v="8"/>
    <n v="3"/>
    <n v="3"/>
    <s v="D"/>
    <n v="1.91"/>
    <n v="3.4"/>
    <n v="4.2"/>
    <n v="1"/>
    <n v="1"/>
    <n v="0.7142857142857143"/>
    <n v="1.5706806282722514"/>
    <n v="1.91"/>
    <n v="4.2"/>
    <n v="0"/>
    <n v="0"/>
    <n v="-1"/>
    <n v="-1"/>
    <n v="2.4"/>
    <n v="0"/>
    <n v="0"/>
    <n v="1"/>
    <n v="1"/>
    <n v="1"/>
    <n v="1"/>
    <n v="1"/>
    <n v="1"/>
    <n v="1"/>
    <s v="MAR"/>
    <x v="54"/>
    <n v="0"/>
    <n v="1"/>
    <n v="0"/>
    <s v="1,71-2,0"/>
    <s v="4,01-5,5"/>
    <n v="0.52356020942408377"/>
    <n v="0.29411764705882354"/>
    <n v="0.23809523809523808"/>
    <n v="-5.5773094578145388E-2"/>
    <n v="0.17452006980802792"/>
    <n v="7.9365079365079361E-2"/>
  </r>
  <r>
    <d v="2026-03-16T00:00:00"/>
    <x v="5"/>
    <x v="4"/>
    <n v="1"/>
    <n v="1"/>
    <s v="D"/>
    <n v="2.85"/>
    <n v="3.4"/>
    <n v="2.2999999999999998"/>
    <n v="1"/>
    <n v="1"/>
    <n v="0.43478260869565222"/>
    <n v="0.35087719298245612"/>
    <n v="2.85"/>
    <n v="2.2999999999999998"/>
    <n v="0"/>
    <n v="0"/>
    <n v="-1"/>
    <n v="-1"/>
    <n v="2.4"/>
    <n v="0"/>
    <n v="0"/>
    <n v="1"/>
    <n v="1"/>
    <n v="0"/>
    <n v="0"/>
    <n v="0"/>
    <n v="0"/>
    <n v="1"/>
    <s v="MAR"/>
    <x v="55"/>
    <n v="0"/>
    <n v="1"/>
    <n v="0"/>
    <s v="2,41-3,0"/>
    <s v="2,01-2,4"/>
    <n v="0.35087719298245612"/>
    <n v="0.29411764705882354"/>
    <n v="0.43478260869565222"/>
    <n v="-7.9777448736932044E-2"/>
    <n v="0.35087719298245612"/>
    <n v="0.43478260869565222"/>
  </r>
  <r>
    <d v="2026-03-18T00:00:00"/>
    <x v="16"/>
    <x v="1"/>
    <n v="2"/>
    <n v="0"/>
    <s v="H"/>
    <n v="1.66"/>
    <n v="3.7"/>
    <n v="5.25"/>
    <n v="3"/>
    <n v="0"/>
    <n v="0.38095238095238093"/>
    <n v="0"/>
    <n v="4.9799999999999995"/>
    <n v="0"/>
    <n v="2"/>
    <n v="-2"/>
    <n v="0.65999999999999992"/>
    <n v="-1"/>
    <n v="-1"/>
    <n v="0"/>
    <n v="0"/>
    <n v="1"/>
    <n v="1"/>
    <n v="0"/>
    <n v="0"/>
    <n v="0"/>
    <n v="0"/>
    <n v="0"/>
    <s v="MAR"/>
    <x v="56"/>
    <n v="1"/>
    <n v="0"/>
    <n v="0"/>
    <s v="1,41-1,7"/>
    <s v="4,01-5,5"/>
    <n v="0.60240963855421692"/>
    <n v="0.27027027027027023"/>
    <n v="0.19047619047619047"/>
    <n v="-6.3156099300677671E-2"/>
    <n v="0.30120481927710846"/>
    <n v="1"/>
  </r>
  <r>
    <d v="2026-03-18T00:00:00"/>
    <x v="15"/>
    <x v="14"/>
    <n v="2"/>
    <n v="1"/>
    <s v="H"/>
    <n v="1.51"/>
    <n v="4"/>
    <n v="6.25"/>
    <n v="3"/>
    <n v="0"/>
    <n v="0.32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MAR"/>
    <x v="57"/>
    <n v="1"/>
    <n v="0"/>
    <n v="0"/>
    <s v="1,41-1,7"/>
    <s v="5,51-9,0"/>
    <n v="0.66225165562913912"/>
    <n v="0.25"/>
    <n v="0.16"/>
    <n v="-7.2251655629139044E-2"/>
    <n v="0.33112582781456956"/>
    <n v="0.16"/>
  </r>
  <r>
    <d v="2026-03-18T00:00:00"/>
    <x v="19"/>
    <x v="9"/>
    <n v="2"/>
    <n v="1"/>
    <s v="H"/>
    <n v="2.1"/>
    <n v="3.2"/>
    <n v="3.6"/>
    <n v="3"/>
    <n v="0"/>
    <n v="0.5555555555555555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MAR"/>
    <x v="58"/>
    <n v="1"/>
    <n v="0"/>
    <n v="0"/>
    <s v="2,01-2,4"/>
    <s v="3,01-4.0"/>
    <n v="0.47619047619047616"/>
    <n v="0.3125"/>
    <n v="0.27777777777777779"/>
    <n v="-6.6468253968253954E-2"/>
    <n v="0.23809523809523808"/>
    <n v="0.27777777777777779"/>
  </r>
  <r>
    <d v="2026-03-18T00:00:00"/>
    <x v="0"/>
    <x v="13"/>
    <n v="1"/>
    <n v="0"/>
    <s v="H"/>
    <n v="2.2999999999999998"/>
    <n v="3"/>
    <n v="3.4"/>
    <n v="3"/>
    <n v="0"/>
    <n v="0.29411764705882354"/>
    <n v="0"/>
    <n v="6.8999999999999995"/>
    <n v="0"/>
    <n v="1"/>
    <n v="-1"/>
    <n v="1.2999999999999998"/>
    <n v="-1"/>
    <n v="-1"/>
    <n v="0"/>
    <n v="0"/>
    <n v="1"/>
    <n v="0"/>
    <n v="0"/>
    <n v="0"/>
    <n v="0"/>
    <n v="0"/>
    <n v="0"/>
    <s v="MAR"/>
    <x v="59"/>
    <n v="1"/>
    <n v="0"/>
    <n v="0"/>
    <s v="2,01-2,4"/>
    <s v="3,01-4.0"/>
    <n v="0.43478260869565222"/>
    <n v="0.33333333333333331"/>
    <n v="0.29411764705882354"/>
    <n v="-6.2233589087809182E-2"/>
    <n v="0.43478260869565222"/>
    <n v="1"/>
  </r>
  <r>
    <d v="2026-03-18T00:00:00"/>
    <x v="8"/>
    <x v="18"/>
    <n v="0"/>
    <n v="1"/>
    <s v="A"/>
    <n v="1.57"/>
    <n v="3.6"/>
    <n v="6.25"/>
    <n v="0"/>
    <n v="3"/>
    <n v="0"/>
    <n v="0.63694267515923564"/>
    <n v="0"/>
    <n v="18.75"/>
    <n v="-1"/>
    <n v="1"/>
    <n v="-1"/>
    <n v="5.25"/>
    <n v="-1"/>
    <n v="0"/>
    <n v="0"/>
    <n v="1"/>
    <n v="0"/>
    <n v="0"/>
    <n v="0"/>
    <n v="0"/>
    <n v="0"/>
    <n v="0"/>
    <s v="MAR"/>
    <x v="60"/>
    <n v="0"/>
    <n v="0"/>
    <n v="1"/>
    <s v="1,41-1,7"/>
    <s v="5,51-9,0"/>
    <n v="0.63694267515923564"/>
    <n v="0.27777777777777779"/>
    <n v="0.16"/>
    <n v="-7.4720452937013349E-2"/>
    <n v="1"/>
    <n v="0.16"/>
  </r>
  <r>
    <d v="2026-03-19T00:00:00"/>
    <x v="13"/>
    <x v="11"/>
    <n v="1"/>
    <n v="2"/>
    <s v="A"/>
    <n v="2.0499999999999998"/>
    <n v="3.3"/>
    <n v="3.7"/>
    <n v="0"/>
    <n v="3"/>
    <n v="0.27027027027027023"/>
    <n v="0.97560975609756106"/>
    <n v="0"/>
    <n v="11.100000000000001"/>
    <n v="-1"/>
    <n v="1"/>
    <n v="-1"/>
    <n v="2.7"/>
    <n v="-1"/>
    <n v="0"/>
    <n v="0"/>
    <n v="1"/>
    <n v="1"/>
    <n v="1"/>
    <n v="0"/>
    <n v="0"/>
    <n v="0"/>
    <n v="1"/>
    <s v="MAR"/>
    <x v="61"/>
    <n v="0"/>
    <n v="0"/>
    <n v="1"/>
    <s v="2,01-2,4"/>
    <s v="3,01-4.0"/>
    <n v="0.48780487804878053"/>
    <n v="0.30303030303030304"/>
    <n v="0.27027027027027023"/>
    <n v="-6.1105451349353856E-2"/>
    <n v="0.48780487804878053"/>
    <n v="0.13513513513513511"/>
  </r>
  <r>
    <d v="2026-03-19T00:00:00"/>
    <x v="17"/>
    <x v="16"/>
    <n v="3"/>
    <n v="2"/>
    <s v="H"/>
    <n v="3.7"/>
    <n v="3.1"/>
    <n v="2.1"/>
    <n v="3"/>
    <n v="0"/>
    <n v="1.4285714285714286"/>
    <n v="0.54054054054054046"/>
    <n v="11.100000000000001"/>
    <n v="0"/>
    <n v="1"/>
    <n v="-1"/>
    <n v="2.7"/>
    <n v="-1"/>
    <n v="-1"/>
    <n v="0"/>
    <n v="0"/>
    <n v="1"/>
    <n v="1"/>
    <n v="1"/>
    <n v="1"/>
    <n v="1"/>
    <n v="0"/>
    <n v="1"/>
    <s v="MAR"/>
    <x v="62"/>
    <n v="1"/>
    <n v="0"/>
    <n v="0"/>
    <s v="3,01-4.0"/>
    <s v="2,01-2,4"/>
    <n v="0.27027027027027023"/>
    <n v="0.32258064516129031"/>
    <n v="0.47619047619047616"/>
    <n v="-6.9041391622036707E-2"/>
    <n v="9.0090090090090072E-2"/>
    <n v="0.23809523809523808"/>
  </r>
  <r>
    <d v="2026-03-19T00:00:00"/>
    <x v="14"/>
    <x v="15"/>
    <n v="2"/>
    <n v="0"/>
    <s v="H"/>
    <n v="1.76"/>
    <n v="3.4"/>
    <n v="4.75"/>
    <n v="3"/>
    <n v="0"/>
    <n v="0.42105263157894735"/>
    <n v="0"/>
    <n v="5.28"/>
    <n v="0"/>
    <n v="2"/>
    <n v="-2"/>
    <n v="0.76"/>
    <n v="-1"/>
    <n v="-1"/>
    <n v="0"/>
    <n v="0"/>
    <n v="1"/>
    <n v="1"/>
    <n v="0"/>
    <n v="0"/>
    <n v="0"/>
    <n v="0"/>
    <n v="0"/>
    <s v="MAR"/>
    <x v="63"/>
    <n v="1"/>
    <n v="0"/>
    <n v="0"/>
    <s v="1,71-2,0"/>
    <s v="4,01-5,5"/>
    <n v="0.56818181818181823"/>
    <n v="0.29411764705882354"/>
    <n v="0.21052631578947367"/>
    <n v="-7.2825781030115389E-2"/>
    <n v="0.28409090909090912"/>
    <n v="1"/>
  </r>
  <r>
    <d v="2026-03-19T00:00:00"/>
    <x v="11"/>
    <x v="3"/>
    <n v="3"/>
    <n v="0"/>
    <s v="H"/>
    <n v="1.1299999999999999"/>
    <n v="7.5"/>
    <n v="17"/>
    <n v="3"/>
    <n v="0"/>
    <n v="0.17647058823529413"/>
    <n v="0"/>
    <n v="3.3899999999999997"/>
    <n v="0"/>
    <n v="3"/>
    <n v="-3"/>
    <n v="0.12999999999999989"/>
    <n v="-1"/>
    <n v="-1"/>
    <n v="0"/>
    <n v="0"/>
    <n v="1"/>
    <n v="1"/>
    <n v="1"/>
    <n v="0"/>
    <n v="0"/>
    <n v="0"/>
    <n v="0"/>
    <s v="MAR"/>
    <x v="64"/>
    <n v="1"/>
    <n v="0"/>
    <n v="0"/>
    <s v="1,01-1,2"/>
    <s v="Z16-99"/>
    <n v="0.88495575221238942"/>
    <n v="0.13333333333333333"/>
    <n v="5.8823529411764705E-2"/>
    <n v="-7.7112614957487446E-2"/>
    <n v="0.29498525073746312"/>
    <n v="1"/>
  </r>
  <r>
    <d v="2026-03-20T00:00:00"/>
    <x v="5"/>
    <x v="19"/>
    <n v="0"/>
    <n v="0"/>
    <s v="D"/>
    <n v="3.4"/>
    <n v="3.1"/>
    <n v="2.25"/>
    <n v="1"/>
    <n v="1"/>
    <n v="0"/>
    <n v="0"/>
    <n v="3.4"/>
    <n v="2.25"/>
    <n v="0"/>
    <n v="0"/>
    <n v="-1"/>
    <n v="-1"/>
    <n v="2.1"/>
    <n v="0"/>
    <n v="0"/>
    <n v="0"/>
    <n v="0"/>
    <n v="0"/>
    <n v="0"/>
    <n v="0"/>
    <n v="0"/>
    <n v="0"/>
    <s v="MAR"/>
    <x v="65"/>
    <n v="0"/>
    <n v="1"/>
    <n v="0"/>
    <s v="3,01-4.0"/>
    <s v="2,01-2,4"/>
    <n v="0.29411764705882354"/>
    <n v="0.32258064516129031"/>
    <n v="0.44444444444444442"/>
    <n v="-6.1142736664558273E-2"/>
    <n v="1"/>
    <n v="1"/>
  </r>
  <r>
    <d v="2026-03-21T00:00:00"/>
    <x v="10"/>
    <x v="14"/>
    <n v="1"/>
    <n v="2"/>
    <s v="A"/>
    <n v="1.86"/>
    <n v="3.4"/>
    <n v="4.2"/>
    <n v="0"/>
    <n v="3"/>
    <n v="0.23809523809523808"/>
    <n v="1.075268817204301"/>
    <n v="0"/>
    <n v="12.600000000000001"/>
    <n v="-1"/>
    <n v="1"/>
    <n v="-1"/>
    <n v="3.2"/>
    <n v="-1"/>
    <n v="0"/>
    <n v="0"/>
    <n v="1"/>
    <n v="1"/>
    <n v="1"/>
    <n v="0"/>
    <n v="0"/>
    <n v="0"/>
    <n v="1"/>
    <s v="MAR"/>
    <x v="66"/>
    <n v="0"/>
    <n v="0"/>
    <n v="1"/>
    <s v="1,71-2,0"/>
    <s v="4,01-5,5"/>
    <n v="0.5376344086021505"/>
    <n v="0.29411764705882354"/>
    <n v="0.23809523809523808"/>
    <n v="-6.9847293756212236E-2"/>
    <n v="0.5376344086021505"/>
    <n v="0.11904761904761904"/>
  </r>
  <r>
    <d v="2026-03-21T00:00:00"/>
    <x v="4"/>
    <x v="10"/>
    <n v="1"/>
    <n v="0"/>
    <s v="H"/>
    <n v="1.61"/>
    <n v="3.6"/>
    <n v="6"/>
    <n v="3"/>
    <n v="0"/>
    <n v="0.16666666666666666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x v="67"/>
    <n v="1"/>
    <n v="0"/>
    <n v="0"/>
    <s v="1,41-1,7"/>
    <s v="5,51-9,0"/>
    <n v="0.6211180124223602"/>
    <n v="0.27777777777777779"/>
    <n v="0.16666666666666666"/>
    <n v="-6.556245686680473E-2"/>
    <n v="0.6211180124223602"/>
    <n v="1"/>
  </r>
  <r>
    <d v="2026-03-22T00:00:00"/>
    <x v="7"/>
    <x v="0"/>
    <n v="0"/>
    <n v="1"/>
    <s v="A"/>
    <n v="2.57"/>
    <n v="3"/>
    <n v="2.85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MAR"/>
    <x v="68"/>
    <n v="0"/>
    <n v="0"/>
    <n v="1"/>
    <s v="2,41-3,0"/>
    <s v="2,41-3,0"/>
    <n v="0.38910505836575876"/>
    <n v="0.33333333333333331"/>
    <n v="0.35087719298245612"/>
    <n v="-7.3315584681548085E-2"/>
    <n v="1"/>
    <n v="0.35087719298245612"/>
  </r>
  <r>
    <d v="2026-03-22T00:00:00"/>
    <x v="19"/>
    <x v="18"/>
    <n v="2"/>
    <n v="0"/>
    <s v="H"/>
    <n v="1.91"/>
    <n v="3.1"/>
    <n v="4.75"/>
    <n v="3"/>
    <n v="0"/>
    <n v="0.42105263157894735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MAR"/>
    <x v="69"/>
    <n v="1"/>
    <n v="0"/>
    <n v="0"/>
    <s v="1,71-2,0"/>
    <s v="4,01-5,5"/>
    <n v="0.52356020942408377"/>
    <n v="0.32258064516129031"/>
    <n v="0.21052631578947367"/>
    <n v="-5.6667170374847808E-2"/>
    <n v="0.26178010471204188"/>
    <n v="1"/>
  </r>
  <r>
    <d v="2026-03-22T00:00:00"/>
    <x v="18"/>
    <x v="5"/>
    <n v="0"/>
    <n v="0"/>
    <s v="D"/>
    <n v="1.66"/>
    <n v="3.6"/>
    <n v="5.25"/>
    <n v="1"/>
    <n v="1"/>
    <n v="0"/>
    <n v="0"/>
    <n v="1.66"/>
    <n v="5.25"/>
    <n v="0"/>
    <n v="0"/>
    <n v="-1"/>
    <n v="-1"/>
    <n v="2.6"/>
    <n v="0"/>
    <n v="0"/>
    <n v="0"/>
    <n v="0"/>
    <n v="0"/>
    <n v="0"/>
    <n v="0"/>
    <n v="0"/>
    <n v="0"/>
    <s v="MAR"/>
    <x v="70"/>
    <n v="0"/>
    <n v="1"/>
    <n v="0"/>
    <s v="1,41-1,7"/>
    <s v="4,01-5,5"/>
    <n v="0.60240963855421692"/>
    <n v="0.27777777777777779"/>
    <n v="0.19047619047619047"/>
    <n v="-7.0663606808185175E-2"/>
    <n v="1"/>
    <n v="1"/>
  </r>
  <r>
    <d v="2026-03-22T00:00:00"/>
    <x v="12"/>
    <x v="6"/>
    <n v="4"/>
    <n v="1"/>
    <s v="H"/>
    <n v="3"/>
    <n v="3.2"/>
    <n v="2.35"/>
    <n v="3"/>
    <n v="0"/>
    <n v="1.7021276595744681"/>
    <n v="0.33333333333333331"/>
    <n v="9"/>
    <n v="0"/>
    <n v="3"/>
    <n v="-3"/>
    <n v="2"/>
    <n v="-1"/>
    <n v="-1"/>
    <n v="1"/>
    <n v="0"/>
    <n v="1"/>
    <n v="1"/>
    <n v="1"/>
    <n v="1"/>
    <n v="1"/>
    <n v="0"/>
    <n v="1"/>
    <s v="MAR"/>
    <x v="71"/>
    <n v="1"/>
    <n v="0"/>
    <n v="0"/>
    <s v="2,41-3,0"/>
    <s v="2,01-2,4"/>
    <n v="0.33333333333333331"/>
    <n v="0.3125"/>
    <n v="0.42553191489361702"/>
    <n v="-7.1365248226950229E-2"/>
    <n v="8.3333333333333329E-2"/>
    <n v="0.42553191489361702"/>
  </r>
  <r>
    <d v="2026-03-22T00:00:00"/>
    <x v="17"/>
    <x v="4"/>
    <n v="2"/>
    <n v="1"/>
    <s v="H"/>
    <n v="1.81"/>
    <n v="3.5"/>
    <n v="4.33"/>
    <n v="3"/>
    <n v="0"/>
    <n v="0.46189376443418012"/>
    <n v="0.5524861878453039"/>
    <n v="5.43"/>
    <n v="0"/>
    <n v="1"/>
    <n v="-1"/>
    <n v="0.81"/>
    <n v="-1"/>
    <n v="-1"/>
    <n v="0"/>
    <n v="0"/>
    <n v="1"/>
    <n v="1"/>
    <n v="1"/>
    <n v="0"/>
    <n v="0"/>
    <n v="0"/>
    <n v="1"/>
    <s v="MAR"/>
    <x v="72"/>
    <n v="1"/>
    <n v="0"/>
    <n v="0"/>
    <s v="1,71-2,0"/>
    <s v="4,01-5,5"/>
    <n v="0.5524861878453039"/>
    <n v="0.2857142857142857"/>
    <n v="0.23094688221709006"/>
    <n v="-6.9147355776679742E-2"/>
    <n v="0.27624309392265195"/>
    <n v="0.23094688221709006"/>
  </r>
  <r>
    <d v="2026-03-22T00:00:00"/>
    <x v="2"/>
    <x v="17"/>
    <n v="2"/>
    <n v="0"/>
    <s v="H"/>
    <n v="1.37"/>
    <n v="5"/>
    <n v="7.5"/>
    <n v="3"/>
    <n v="0"/>
    <n v="0.26666666666666666"/>
    <n v="0"/>
    <n v="4.1100000000000003"/>
    <n v="0"/>
    <n v="2"/>
    <n v="-2"/>
    <n v="0.37000000000000011"/>
    <n v="-1"/>
    <n v="-1"/>
    <n v="0"/>
    <n v="0"/>
    <n v="1"/>
    <n v="1"/>
    <n v="0"/>
    <n v="0"/>
    <n v="0"/>
    <n v="0"/>
    <n v="0"/>
    <s v="MAR"/>
    <x v="73"/>
    <n v="1"/>
    <n v="0"/>
    <n v="0"/>
    <s v="1,21-1,4"/>
    <s v="5,51-9,0"/>
    <n v="0.72992700729927007"/>
    <n v="0.2"/>
    <n v="0.13333333333333333"/>
    <n v="-6.3260340632603329E-2"/>
    <n v="0.36496350364963503"/>
    <n v="1"/>
  </r>
  <r>
    <d v="2026-03-22T00:00:00"/>
    <x v="3"/>
    <x v="12"/>
    <n v="1"/>
    <n v="0"/>
    <s v="H"/>
    <n v="2.57"/>
    <n v="3"/>
    <n v="2.85"/>
    <n v="3"/>
    <n v="0"/>
    <n v="0.35087719298245612"/>
    <n v="0"/>
    <n v="7.7099999999999991"/>
    <n v="0"/>
    <n v="1"/>
    <n v="-1"/>
    <n v="1.5699999999999998"/>
    <n v="-1"/>
    <n v="-1"/>
    <n v="0"/>
    <n v="0"/>
    <n v="1"/>
    <n v="0"/>
    <n v="0"/>
    <n v="0"/>
    <n v="0"/>
    <n v="0"/>
    <n v="0"/>
    <s v="MAR"/>
    <x v="74"/>
    <n v="1"/>
    <n v="0"/>
    <n v="0"/>
    <s v="2,41-3,0"/>
    <s v="2,41-3,0"/>
    <n v="0.38910505836575876"/>
    <n v="0.33333333333333331"/>
    <n v="0.35087719298245612"/>
    <n v="-7.3315584681548085E-2"/>
    <n v="0.38910505836575876"/>
    <n v="1"/>
  </r>
  <r>
    <d v="2026-03-22T00:00:00"/>
    <x v="6"/>
    <x v="7"/>
    <n v="1"/>
    <n v="1"/>
    <s v="D"/>
    <n v="3.4"/>
    <n v="3.1"/>
    <n v="2.25"/>
    <n v="1"/>
    <n v="1"/>
    <n v="0.44444444444444442"/>
    <n v="0.29411764705882354"/>
    <n v="3.4"/>
    <n v="2.25"/>
    <n v="0"/>
    <n v="0"/>
    <n v="-1"/>
    <n v="-1"/>
    <n v="2.1"/>
    <n v="0"/>
    <n v="0"/>
    <n v="1"/>
    <n v="1"/>
    <n v="0"/>
    <n v="0"/>
    <n v="0"/>
    <n v="0"/>
    <n v="1"/>
    <s v="MAR"/>
    <x v="75"/>
    <n v="0"/>
    <n v="1"/>
    <n v="0"/>
    <s v="3,01-4.0"/>
    <s v="2,01-2,4"/>
    <n v="0.29411764705882354"/>
    <n v="0.32258064516129031"/>
    <n v="0.44444444444444442"/>
    <n v="-6.1142736664558273E-2"/>
    <n v="0.29411764705882354"/>
    <n v="0.44444444444444442"/>
  </r>
  <r>
    <d v="2026-03-29T00:00:00"/>
    <x v="19"/>
    <x v="14"/>
    <n v="4"/>
    <n v="1"/>
    <s v="H"/>
    <n v="1.91"/>
    <n v="3.3"/>
    <n v="3.9"/>
    <n v="3"/>
    <n v="0"/>
    <n v="1.0256410256410258"/>
    <n v="0.52356020942408377"/>
    <n v="5.7299999999999995"/>
    <n v="0"/>
    <n v="3"/>
    <n v="-3"/>
    <n v="0.90999999999999992"/>
    <n v="-1"/>
    <n v="-1"/>
    <n v="1"/>
    <n v="0"/>
    <n v="1"/>
    <n v="1"/>
    <n v="1"/>
    <n v="1"/>
    <n v="1"/>
    <n v="0"/>
    <n v="1"/>
    <s v="MAR"/>
    <x v="76"/>
    <n v="1"/>
    <n v="0"/>
    <n v="0"/>
    <s v="1,71-2,0"/>
    <s v="3,01-4.0"/>
    <n v="0.52356020942408377"/>
    <n v="0.30303030303030304"/>
    <n v="0.25641025641025644"/>
    <n v="-8.3000768864643248E-2"/>
    <n v="0.13089005235602094"/>
    <n v="0.25641025641025644"/>
  </r>
  <r>
    <d v="2026-04-01T00:00:00"/>
    <x v="9"/>
    <x v="12"/>
    <n v="3"/>
    <n v="2"/>
    <s v="H"/>
    <n v="2.3199999999999998"/>
    <n v="3.3"/>
    <n v="3"/>
    <n v="3"/>
    <n v="0"/>
    <n v="1"/>
    <n v="0.86206896551724144"/>
    <n v="6.9599999999999991"/>
    <n v="0"/>
    <n v="1"/>
    <n v="-1"/>
    <n v="1.3199999999999998"/>
    <n v="-1"/>
    <n v="-1"/>
    <n v="0"/>
    <n v="0"/>
    <n v="1"/>
    <n v="1"/>
    <n v="1"/>
    <n v="1"/>
    <n v="1"/>
    <n v="0"/>
    <n v="1"/>
    <s v="ABR"/>
    <x v="77"/>
    <n v="1"/>
    <n v="0"/>
    <n v="0"/>
    <s v="2,01-2,4"/>
    <s v="2,41-3,0"/>
    <n v="0.43103448275862072"/>
    <n v="0.30303030303030304"/>
    <n v="0.33333333333333331"/>
    <n v="-6.7398119122257016E-2"/>
    <n v="0.14367816091954025"/>
    <n v="0.16666666666666666"/>
  </r>
  <r>
    <d v="2026-04-01T00:00:00"/>
    <x v="2"/>
    <x v="13"/>
    <n v="1"/>
    <n v="1"/>
    <s v="D"/>
    <n v="2.15"/>
    <n v="3"/>
    <n v="3.6"/>
    <n v="1"/>
    <n v="1"/>
    <n v="0.27777777777777779"/>
    <n v="0.46511627906976744"/>
    <n v="2.15"/>
    <n v="3.6"/>
    <n v="0"/>
    <n v="0"/>
    <n v="-1"/>
    <n v="-1"/>
    <n v="2"/>
    <n v="0"/>
    <n v="0"/>
    <n v="1"/>
    <n v="1"/>
    <n v="0"/>
    <n v="0"/>
    <n v="0"/>
    <n v="0"/>
    <n v="1"/>
    <s v="ABR"/>
    <x v="78"/>
    <n v="0"/>
    <n v="1"/>
    <n v="0"/>
    <s v="2,01-2,4"/>
    <s v="3,01-4.0"/>
    <n v="0.46511627906976744"/>
    <n v="0.33333333333333331"/>
    <n v="0.27777777777777779"/>
    <n v="-7.622739018087854E-2"/>
    <n v="0.46511627906976744"/>
    <n v="0.27777777777777779"/>
  </r>
  <r>
    <d v="2026-04-02T00:00:00"/>
    <x v="16"/>
    <x v="2"/>
    <n v="3"/>
    <n v="0"/>
    <s v="H"/>
    <n v="1.71"/>
    <n v="3.6"/>
    <n v="4.75"/>
    <n v="3"/>
    <n v="0"/>
    <n v="0.63157894736842102"/>
    <n v="0"/>
    <n v="5.13"/>
    <n v="0"/>
    <n v="3"/>
    <n v="-3"/>
    <n v="0.71"/>
    <n v="-1"/>
    <n v="-1"/>
    <n v="0"/>
    <n v="0"/>
    <n v="1"/>
    <n v="1"/>
    <n v="1"/>
    <n v="0"/>
    <n v="0"/>
    <n v="0"/>
    <n v="0"/>
    <s v="ABR"/>
    <x v="79"/>
    <n v="1"/>
    <n v="0"/>
    <n v="0"/>
    <s v="1,71-2,0"/>
    <s v="4,01-5,5"/>
    <n v="0.58479532163742687"/>
    <n v="0.27777777777777779"/>
    <n v="0.21052631578947367"/>
    <n v="-7.309941520467822E-2"/>
    <n v="0.19493177387914229"/>
    <n v="1"/>
  </r>
  <r>
    <d v="2026-04-02T00:00:00"/>
    <x v="18"/>
    <x v="15"/>
    <n v="3"/>
    <n v="0"/>
    <s v="H"/>
    <n v="1.49"/>
    <n v="4.0999999999999996"/>
    <n v="6"/>
    <n v="3"/>
    <n v="0"/>
    <n v="0.5"/>
    <n v="0"/>
    <n v="4.47"/>
    <n v="0"/>
    <n v="3"/>
    <n v="-3"/>
    <n v="0.49"/>
    <n v="-1"/>
    <n v="-1"/>
    <n v="0"/>
    <n v="0"/>
    <n v="1"/>
    <n v="1"/>
    <n v="1"/>
    <n v="0"/>
    <n v="0"/>
    <n v="0"/>
    <n v="0"/>
    <s v="ABR"/>
    <x v="80"/>
    <n v="1"/>
    <n v="0"/>
    <n v="0"/>
    <s v="1,41-1,7"/>
    <s v="5,51-9,0"/>
    <n v="0.67114093959731547"/>
    <n v="0.24390243902439027"/>
    <n v="0.16666666666666666"/>
    <n v="-8.1710045288372335E-2"/>
    <n v="0.2237136465324385"/>
    <n v="1"/>
  </r>
  <r>
    <d v="2026-04-02T00:00:00"/>
    <x v="1"/>
    <x v="8"/>
    <n v="1"/>
    <n v="1"/>
    <s v="D"/>
    <n v="2.75"/>
    <n v="3"/>
    <n v="2.75"/>
    <n v="1"/>
    <n v="1"/>
    <n v="0.36363636363636365"/>
    <n v="0.36363636363636365"/>
    <n v="2.75"/>
    <n v="2.75"/>
    <n v="0"/>
    <n v="0"/>
    <n v="-1"/>
    <n v="-1"/>
    <n v="2"/>
    <n v="0"/>
    <n v="0"/>
    <n v="1"/>
    <n v="1"/>
    <n v="0"/>
    <n v="0"/>
    <n v="0"/>
    <n v="0"/>
    <n v="1"/>
    <s v="ABR"/>
    <x v="81"/>
    <n v="0"/>
    <n v="1"/>
    <n v="0"/>
    <s v="2,41-3,0"/>
    <s v="2,41-3,0"/>
    <n v="0.36363636363636365"/>
    <n v="0.33333333333333331"/>
    <n v="0.36363636363636365"/>
    <n v="-6.0606060606060552E-2"/>
    <n v="0.36363636363636365"/>
    <n v="0.36363636363636365"/>
  </r>
  <r>
    <d v="2026-04-02T00:00:00"/>
    <x v="4"/>
    <x v="19"/>
    <n v="3"/>
    <n v="1"/>
    <s v="H"/>
    <n v="1.81"/>
    <n v="3.3"/>
    <n v="4.75"/>
    <n v="3"/>
    <n v="0"/>
    <n v="0.63157894736842102"/>
    <n v="0.5524861878453039"/>
    <n v="5.43"/>
    <n v="0"/>
    <n v="2"/>
    <n v="-2"/>
    <n v="0.81"/>
    <n v="-1"/>
    <n v="-1"/>
    <n v="0"/>
    <n v="0"/>
    <n v="1"/>
    <n v="1"/>
    <n v="1"/>
    <n v="1"/>
    <n v="0"/>
    <n v="0"/>
    <n v="1"/>
    <s v="ABR"/>
    <x v="82"/>
    <n v="1"/>
    <n v="0"/>
    <n v="0"/>
    <s v="1,71-2,0"/>
    <s v="4,01-5,5"/>
    <n v="0.5524861878453039"/>
    <n v="0.30303030303030304"/>
    <n v="0.21052631578947367"/>
    <n v="-6.6042806665080667E-2"/>
    <n v="0.18416206261510129"/>
    <n v="0.21052631578947367"/>
  </r>
  <r>
    <d v="2026-04-02T00:00:00"/>
    <x v="5"/>
    <x v="10"/>
    <n v="0"/>
    <n v="4"/>
    <s v="A"/>
    <n v="3.4"/>
    <n v="3.2"/>
    <n v="2.2000000000000002"/>
    <n v="0"/>
    <n v="3"/>
    <n v="0"/>
    <n v="1.1764705882352942"/>
    <n v="0"/>
    <n v="6.6000000000000005"/>
    <n v="-4"/>
    <n v="4"/>
    <n v="-1"/>
    <n v="1.2000000000000002"/>
    <n v="-1"/>
    <n v="0"/>
    <n v="1"/>
    <n v="1"/>
    <n v="1"/>
    <n v="1"/>
    <n v="1"/>
    <n v="0"/>
    <n v="0"/>
    <n v="0"/>
    <s v="ABR"/>
    <x v="83"/>
    <n v="0"/>
    <n v="0"/>
    <n v="1"/>
    <s v="3,01-4.0"/>
    <s v="2,01-2,4"/>
    <n v="0.29411764705882354"/>
    <n v="0.3125"/>
    <n v="0.45454545454545453"/>
    <n v="-6.1163101604278181E-2"/>
    <n v="1"/>
    <n v="0.11363636363636363"/>
  </r>
  <r>
    <d v="2026-04-02T00:00:00"/>
    <x v="13"/>
    <x v="3"/>
    <n v="2"/>
    <n v="0"/>
    <s v="H"/>
    <n v="1.61"/>
    <n v="3.7"/>
    <n v="5.75"/>
    <n v="3"/>
    <n v="0"/>
    <n v="0.34782608695652173"/>
    <n v="0"/>
    <n v="4.83"/>
    <n v="0"/>
    <n v="2"/>
    <n v="-2"/>
    <n v="0.6100000000000001"/>
    <n v="-1"/>
    <n v="-1"/>
    <n v="0"/>
    <n v="0"/>
    <n v="1"/>
    <n v="1"/>
    <n v="0"/>
    <n v="0"/>
    <n v="0"/>
    <n v="0"/>
    <n v="0"/>
    <s v="ABR"/>
    <x v="84"/>
    <n v="1"/>
    <n v="0"/>
    <n v="0"/>
    <s v="1,41-1,7"/>
    <s v="5,51-9,0"/>
    <n v="0.6211180124223602"/>
    <n v="0.27027027027027023"/>
    <n v="0.17391304347826086"/>
    <n v="-6.5301326170891461E-2"/>
    <n v="0.3105590062111801"/>
    <n v="1"/>
  </r>
  <r>
    <d v="2026-04-03T00:00:00"/>
    <x v="10"/>
    <x v="7"/>
    <n v="3"/>
    <n v="0"/>
    <s v="H"/>
    <n v="3.8"/>
    <n v="3.2"/>
    <n v="2.0499999999999998"/>
    <n v="3"/>
    <n v="0"/>
    <n v="1.4634146341463417"/>
    <n v="0"/>
    <n v="11.399999999999999"/>
    <n v="0"/>
    <n v="3"/>
    <n v="-3"/>
    <n v="2.8"/>
    <n v="-1"/>
    <n v="-1"/>
    <n v="0"/>
    <n v="0"/>
    <n v="1"/>
    <n v="1"/>
    <n v="1"/>
    <n v="0"/>
    <n v="0"/>
    <n v="0"/>
    <n v="0"/>
    <s v="ABR"/>
    <x v="85"/>
    <n v="1"/>
    <n v="0"/>
    <n v="0"/>
    <s v="3,01-4.0"/>
    <s v="2,01-2,4"/>
    <n v="0.26315789473684209"/>
    <n v="0.3125"/>
    <n v="0.48780487804878053"/>
    <n v="-6.3462772785622512E-2"/>
    <n v="8.771929824561403E-2"/>
    <n v="1"/>
  </r>
  <r>
    <d v="2026-04-03T00:00:00"/>
    <x v="15"/>
    <x v="4"/>
    <n v="2"/>
    <n v="1"/>
    <s v="H"/>
    <n v="1.51"/>
    <n v="4.33"/>
    <n v="6"/>
    <n v="3"/>
    <n v="0"/>
    <n v="0.33333333333333331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ABR"/>
    <x v="86"/>
    <n v="1"/>
    <n v="0"/>
    <n v="0"/>
    <s v="1,41-1,7"/>
    <s v="5,51-9,0"/>
    <n v="0.66225165562913912"/>
    <n v="0.23094688221709006"/>
    <n v="0.16666666666666666"/>
    <n v="-5.9865204512895787E-2"/>
    <n v="0.33112582781456956"/>
    <n v="0.16666666666666666"/>
  </r>
  <r>
    <d v="2026-04-04T00:00:00"/>
    <x v="7"/>
    <x v="9"/>
    <n v="4"/>
    <n v="1"/>
    <s v="H"/>
    <n v="2.15"/>
    <n v="3.2"/>
    <n v="3.5"/>
    <n v="3"/>
    <n v="0"/>
    <n v="1.1428571428571428"/>
    <n v="0.46511627906976744"/>
    <n v="6.4499999999999993"/>
    <n v="0"/>
    <n v="3"/>
    <n v="-3"/>
    <n v="1.1499999999999999"/>
    <n v="-1"/>
    <n v="-1"/>
    <n v="1"/>
    <n v="0"/>
    <n v="1"/>
    <n v="1"/>
    <n v="1"/>
    <n v="1"/>
    <n v="1"/>
    <n v="0"/>
    <n v="1"/>
    <s v="ABR"/>
    <x v="87"/>
    <n v="1"/>
    <n v="0"/>
    <n v="0"/>
    <s v="2,01-2,4"/>
    <s v="3,01-4.0"/>
    <n v="0.46511627906976744"/>
    <n v="0.3125"/>
    <n v="0.2857142857142857"/>
    <n v="-6.3330564784052967E-2"/>
    <n v="0.11627906976744186"/>
    <n v="0.2857142857142857"/>
  </r>
  <r>
    <d v="2026-04-05T00:00:00"/>
    <x v="1"/>
    <x v="16"/>
    <n v="1"/>
    <n v="1"/>
    <s v="D"/>
    <n v="3.1"/>
    <n v="3"/>
    <n v="2.5"/>
    <n v="1"/>
    <n v="1"/>
    <n v="0.4"/>
    <n v="0.32258064516129031"/>
    <n v="3.1"/>
    <n v="2.5"/>
    <n v="0"/>
    <n v="0"/>
    <n v="-1"/>
    <n v="-1"/>
    <n v="2"/>
    <n v="0"/>
    <n v="0"/>
    <n v="1"/>
    <n v="1"/>
    <n v="0"/>
    <n v="0"/>
    <n v="0"/>
    <n v="0"/>
    <n v="1"/>
    <s v="ABR"/>
    <x v="88"/>
    <n v="0"/>
    <n v="1"/>
    <n v="0"/>
    <s v="3,01-4.0"/>
    <s v="2,41-3,0"/>
    <n v="0.32258064516129031"/>
    <n v="0.33333333333333331"/>
    <n v="0.4"/>
    <n v="-5.5913978494623651E-2"/>
    <n v="0.32258064516129031"/>
    <n v="0.4"/>
  </r>
  <r>
    <d v="2026-04-05T00:00:00"/>
    <x v="17"/>
    <x v="14"/>
    <n v="1"/>
    <n v="2"/>
    <s v="A"/>
    <n v="1.91"/>
    <n v="3.4"/>
    <n v="4"/>
    <n v="0"/>
    <n v="3"/>
    <n v="0.25"/>
    <n v="1.0471204188481675"/>
    <n v="0"/>
    <n v="12"/>
    <n v="-1"/>
    <n v="1"/>
    <n v="-1"/>
    <n v="3"/>
    <n v="-1"/>
    <n v="0"/>
    <n v="0"/>
    <n v="1"/>
    <n v="1"/>
    <n v="1"/>
    <n v="0"/>
    <n v="0"/>
    <n v="0"/>
    <n v="1"/>
    <s v="ABR"/>
    <x v="89"/>
    <n v="0"/>
    <n v="0"/>
    <n v="1"/>
    <s v="1,71-2,0"/>
    <s v="3,01-4.0"/>
    <n v="0.52356020942408377"/>
    <n v="0.29411764705882354"/>
    <n v="0.25"/>
    <n v="-6.767785648290725E-2"/>
    <n v="0.52356020942408377"/>
    <n v="0.125"/>
  </r>
  <r>
    <d v="2026-04-05T00:00:00"/>
    <x v="5"/>
    <x v="15"/>
    <n v="1"/>
    <n v="1"/>
    <s v="D"/>
    <n v="2.5"/>
    <n v="3.2"/>
    <n v="2.75"/>
    <n v="1"/>
    <n v="1"/>
    <n v="0.36363636363636365"/>
    <n v="0.4"/>
    <n v="2.5"/>
    <n v="2.75"/>
    <n v="0"/>
    <n v="0"/>
    <n v="-1"/>
    <n v="-1"/>
    <n v="2.2000000000000002"/>
    <n v="0"/>
    <n v="0"/>
    <n v="1"/>
    <n v="1"/>
    <n v="0"/>
    <n v="0"/>
    <n v="0"/>
    <n v="0"/>
    <n v="1"/>
    <s v="ABR"/>
    <x v="90"/>
    <n v="0"/>
    <n v="1"/>
    <n v="0"/>
    <s v="2,41-3,0"/>
    <s v="2,41-3,0"/>
    <n v="0.4"/>
    <n v="0.3125"/>
    <n v="0.36363636363636365"/>
    <n v="-7.6136363636363669E-2"/>
    <n v="0.4"/>
    <n v="0.36363636363636365"/>
  </r>
  <r>
    <d v="2026-04-05T00:00:00"/>
    <x v="0"/>
    <x v="2"/>
    <n v="2"/>
    <n v="1"/>
    <s v="H"/>
    <n v="2.1"/>
    <n v="3.2"/>
    <n v="3.3"/>
    <n v="3"/>
    <n v="0"/>
    <n v="0.606060606060606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ABR"/>
    <x v="91"/>
    <n v="1"/>
    <n v="0"/>
    <n v="0"/>
    <s v="2,01-2,4"/>
    <s v="3,01-4.0"/>
    <n v="0.47619047619047616"/>
    <n v="0.3125"/>
    <n v="0.30303030303030304"/>
    <n v="-9.1720779220779258E-2"/>
    <n v="0.23809523809523808"/>
    <n v="0.30303030303030304"/>
  </r>
  <r>
    <d v="2026-04-05T00:00:00"/>
    <x v="11"/>
    <x v="5"/>
    <n v="3"/>
    <n v="1"/>
    <s v="H"/>
    <n v="1.3"/>
    <n v="4.75"/>
    <n v="11"/>
    <n v="3"/>
    <n v="0"/>
    <n v="0.27272727272727271"/>
    <n v="0.76923076923076916"/>
    <n v="3.9000000000000004"/>
    <n v="0"/>
    <n v="2"/>
    <n v="-2"/>
    <n v="0.30000000000000004"/>
    <n v="-1"/>
    <n v="-1"/>
    <n v="0"/>
    <n v="0"/>
    <n v="1"/>
    <n v="1"/>
    <n v="1"/>
    <n v="1"/>
    <n v="0"/>
    <n v="0"/>
    <n v="1"/>
    <s v="ABR"/>
    <x v="92"/>
    <n v="1"/>
    <n v="0"/>
    <n v="0"/>
    <s v="1,21-1,4"/>
    <s v="9,01-16"/>
    <n v="0.76923076923076916"/>
    <n v="0.21052631578947367"/>
    <n v="9.0909090909090912E-2"/>
    <n v="-7.0666175929333663E-2"/>
    <n v="0.25641025641025639"/>
    <n v="9.0909090909090912E-2"/>
  </r>
  <r>
    <d v="2026-04-05T00:00:00"/>
    <x v="16"/>
    <x v="0"/>
    <n v="1"/>
    <n v="2"/>
    <s v="A"/>
    <n v="2.5"/>
    <n v="3.1"/>
    <n v="2.85"/>
    <n v="0"/>
    <n v="3"/>
    <n v="0.35087719298245612"/>
    <n v="0.8"/>
    <n v="0"/>
    <n v="8.5500000000000007"/>
    <n v="-1"/>
    <n v="1"/>
    <n v="-1"/>
    <n v="1.85"/>
    <n v="-1"/>
    <n v="0"/>
    <n v="0"/>
    <n v="1"/>
    <n v="1"/>
    <n v="1"/>
    <n v="0"/>
    <n v="0"/>
    <n v="0"/>
    <n v="1"/>
    <s v="ABR"/>
    <x v="93"/>
    <n v="0"/>
    <n v="0"/>
    <n v="1"/>
    <s v="2,41-3,0"/>
    <s v="2,41-3,0"/>
    <n v="0.4"/>
    <n v="0.32258064516129031"/>
    <n v="0.35087719298245612"/>
    <n v="-7.3457838143746512E-2"/>
    <n v="0.4"/>
    <n v="0.17543859649122806"/>
  </r>
  <r>
    <d v="2026-04-05T00:00:00"/>
    <x v="6"/>
    <x v="11"/>
    <n v="0"/>
    <n v="1"/>
    <s v="A"/>
    <n v="2.1"/>
    <n v="3"/>
    <n v="3.7"/>
    <n v="0"/>
    <n v="3"/>
    <n v="0"/>
    <n v="0.47619047619047616"/>
    <n v="0"/>
    <n v="11.100000000000001"/>
    <n v="-1"/>
    <n v="1"/>
    <n v="-1"/>
    <n v="2.7"/>
    <n v="-1"/>
    <n v="0"/>
    <n v="0"/>
    <n v="1"/>
    <n v="0"/>
    <n v="0"/>
    <n v="0"/>
    <n v="0"/>
    <n v="0"/>
    <n v="0"/>
    <s v="ABR"/>
    <x v="94"/>
    <n v="0"/>
    <n v="0"/>
    <n v="1"/>
    <s v="2,01-2,4"/>
    <s v="3,01-4.0"/>
    <n v="0.47619047619047616"/>
    <n v="0.33333333333333331"/>
    <n v="0.27027027027027023"/>
    <n v="-7.9794079794079709E-2"/>
    <n v="1"/>
    <n v="0.27027027027027023"/>
  </r>
  <r>
    <d v="2026-04-06T00:00:00"/>
    <x v="8"/>
    <x v="1"/>
    <n v="0"/>
    <n v="1"/>
    <s v="A"/>
    <n v="2.1"/>
    <n v="3.3"/>
    <n v="3.6"/>
    <n v="0"/>
    <n v="3"/>
    <n v="0"/>
    <n v="0.47619047619047616"/>
    <n v="0"/>
    <n v="10.8"/>
    <n v="-1"/>
    <n v="1"/>
    <n v="-1"/>
    <n v="2.6"/>
    <n v="-1"/>
    <n v="0"/>
    <n v="0"/>
    <n v="1"/>
    <n v="0"/>
    <n v="0"/>
    <n v="0"/>
    <n v="0"/>
    <n v="0"/>
    <n v="0"/>
    <s v="ABR"/>
    <x v="95"/>
    <n v="0"/>
    <n v="0"/>
    <n v="1"/>
    <s v="2,01-2,4"/>
    <s v="3,01-4.0"/>
    <n v="0.47619047619047616"/>
    <n v="0.30303030303030304"/>
    <n v="0.27777777777777779"/>
    <n v="-5.6998556998557159E-2"/>
    <n v="1"/>
    <n v="0.27777777777777779"/>
  </r>
  <r>
    <d v="2026-04-06T00:00:00"/>
    <x v="14"/>
    <x v="3"/>
    <n v="0"/>
    <n v="0"/>
    <s v="D"/>
    <n v="1.68"/>
    <n v="3.7"/>
    <n v="4.75"/>
    <n v="1"/>
    <n v="1"/>
    <n v="0"/>
    <n v="0"/>
    <n v="1.68"/>
    <n v="4.75"/>
    <n v="0"/>
    <n v="0"/>
    <n v="-1"/>
    <n v="-1"/>
    <n v="2.7"/>
    <n v="0"/>
    <n v="0"/>
    <n v="0"/>
    <n v="0"/>
    <n v="0"/>
    <n v="0"/>
    <n v="0"/>
    <n v="0"/>
    <n v="0"/>
    <s v="ABR"/>
    <x v="96"/>
    <n v="0"/>
    <n v="1"/>
    <n v="0"/>
    <s v="1,41-1,7"/>
    <s v="4,01-5,5"/>
    <n v="0.59523809523809523"/>
    <n v="0.27027027027027023"/>
    <n v="0.21052631578947367"/>
    <n v="-7.6034681297839191E-2"/>
    <n v="1"/>
    <n v="1"/>
  </r>
  <r>
    <d v="2026-04-11T00:00:00"/>
    <x v="12"/>
    <x v="8"/>
    <n v="1"/>
    <n v="1"/>
    <s v="D"/>
    <n v="2.85"/>
    <n v="3.2"/>
    <n v="2.5"/>
    <n v="1"/>
    <n v="1"/>
    <n v="0.4"/>
    <n v="0.35087719298245612"/>
    <n v="2.85"/>
    <n v="2.5"/>
    <n v="0"/>
    <n v="0"/>
    <n v="-1"/>
    <n v="-1"/>
    <n v="2.2000000000000002"/>
    <n v="0"/>
    <n v="0"/>
    <n v="1"/>
    <n v="1"/>
    <n v="0"/>
    <n v="0"/>
    <n v="0"/>
    <n v="0"/>
    <n v="1"/>
    <s v="ABR"/>
    <x v="97"/>
    <n v="0"/>
    <n v="1"/>
    <n v="0"/>
    <s v="2,41-3,0"/>
    <s v="2,41-3,0"/>
    <n v="0.35087719298245612"/>
    <n v="0.3125"/>
    <n v="0.4"/>
    <n v="-6.3377192982456254E-2"/>
    <n v="0.35087719298245612"/>
    <n v="0.4"/>
  </r>
  <r>
    <d v="2026-04-11T00:00:00"/>
    <x v="3"/>
    <x v="13"/>
    <n v="2"/>
    <n v="0"/>
    <s v="H"/>
    <n v="3"/>
    <n v="3"/>
    <n v="2.5"/>
    <n v="3"/>
    <n v="0"/>
    <n v="0.8"/>
    <n v="0"/>
    <n v="9"/>
    <n v="0"/>
    <n v="2"/>
    <n v="-2"/>
    <n v="2"/>
    <n v="-1"/>
    <n v="-1"/>
    <n v="0"/>
    <n v="0"/>
    <n v="1"/>
    <n v="1"/>
    <n v="0"/>
    <n v="0"/>
    <n v="0"/>
    <n v="0"/>
    <n v="0"/>
    <s v="ABR"/>
    <x v="98"/>
    <n v="1"/>
    <n v="0"/>
    <n v="0"/>
    <s v="2,41-3,0"/>
    <s v="2,41-3,0"/>
    <n v="0.33333333333333331"/>
    <n v="0.33333333333333331"/>
    <n v="0.4"/>
    <n v="-6.6666666666666652E-2"/>
    <n v="0.16666666666666666"/>
    <n v="1"/>
  </r>
  <r>
    <d v="2026-04-11T00:00:00"/>
    <x v="8"/>
    <x v="6"/>
    <n v="1"/>
    <n v="2"/>
    <s v="A"/>
    <n v="2.15"/>
    <n v="3.3"/>
    <n v="3.4"/>
    <n v="0"/>
    <n v="3"/>
    <n v="0.29411764705882354"/>
    <n v="0.93023255813953487"/>
    <n v="0"/>
    <n v="10.199999999999999"/>
    <n v="-1"/>
    <n v="1"/>
    <n v="-1"/>
    <n v="2.4"/>
    <n v="-1"/>
    <n v="0"/>
    <n v="0"/>
    <n v="1"/>
    <n v="1"/>
    <n v="1"/>
    <n v="0"/>
    <n v="0"/>
    <n v="0"/>
    <n v="1"/>
    <s v="ABR"/>
    <x v="99"/>
    <n v="0"/>
    <n v="0"/>
    <n v="1"/>
    <s v="2,01-2,4"/>
    <s v="3,01-4.0"/>
    <n v="0.46511627906976744"/>
    <n v="0.30303030303030304"/>
    <n v="0.29411764705882354"/>
    <n v="-6.2264229158893958E-2"/>
    <n v="0.46511627906976744"/>
    <n v="0.14705882352941177"/>
  </r>
  <r>
    <d v="2026-04-12T00:00:00"/>
    <x v="13"/>
    <x v="10"/>
    <n v="1"/>
    <n v="0"/>
    <s v="H"/>
    <n v="2.1"/>
    <n v="3.2"/>
    <n v="3.5"/>
    <n v="3"/>
    <n v="0"/>
    <n v="0.2857142857142857"/>
    <n v="0"/>
    <n v="6.3000000000000007"/>
    <n v="0"/>
    <n v="1"/>
    <n v="-1"/>
    <n v="1.1000000000000001"/>
    <n v="-1"/>
    <n v="-1"/>
    <n v="0"/>
    <n v="0"/>
    <n v="1"/>
    <n v="0"/>
    <n v="0"/>
    <n v="0"/>
    <n v="0"/>
    <n v="0"/>
    <n v="0"/>
    <s v="ABR"/>
    <x v="100"/>
    <n v="1"/>
    <n v="0"/>
    <n v="0"/>
    <s v="2,01-2,4"/>
    <s v="3,01-4.0"/>
    <n v="0.47619047619047616"/>
    <n v="0.3125"/>
    <n v="0.2857142857142857"/>
    <n v="-7.4404761904761862E-2"/>
    <n v="0.47619047619047616"/>
    <n v="1"/>
  </r>
  <r>
    <d v="2026-04-12T00:00:00"/>
    <x v="2"/>
    <x v="4"/>
    <n v="0"/>
    <n v="0"/>
    <s v="D"/>
    <n v="1.71"/>
    <n v="3.6"/>
    <n v="4.75"/>
    <n v="1"/>
    <n v="1"/>
    <n v="0"/>
    <n v="0"/>
    <n v="1.71"/>
    <n v="4.75"/>
    <n v="0"/>
    <n v="0"/>
    <n v="-1"/>
    <n v="-1"/>
    <n v="2.6"/>
    <n v="0"/>
    <n v="0"/>
    <n v="0"/>
    <n v="0"/>
    <n v="0"/>
    <n v="0"/>
    <n v="0"/>
    <n v="0"/>
    <n v="0"/>
    <s v="ABR"/>
    <x v="101"/>
    <n v="0"/>
    <n v="1"/>
    <n v="0"/>
    <s v="1,71-2,0"/>
    <s v="4,01-5,5"/>
    <n v="0.58479532163742687"/>
    <n v="0.27777777777777779"/>
    <n v="0.21052631578947367"/>
    <n v="-7.309941520467822E-2"/>
    <n v="1"/>
    <n v="1"/>
  </r>
  <r>
    <d v="2026-04-12T00:00:00"/>
    <x v="19"/>
    <x v="17"/>
    <n v="2"/>
    <n v="0"/>
    <s v="H"/>
    <n v="1.39"/>
    <n v="4.0999999999999996"/>
    <n v="5.75"/>
    <n v="3"/>
    <n v="0"/>
    <n v="0.34782608695652173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ABR"/>
    <x v="102"/>
    <n v="1"/>
    <n v="0"/>
    <n v="0"/>
    <s v="1,21-1,4"/>
    <s v="5,51-9,0"/>
    <n v="0.71942446043165476"/>
    <n v="0.24390243902439027"/>
    <n v="0.17391304347826086"/>
    <n v="-0.13723994293430586"/>
    <n v="0.35971223021582738"/>
    <n v="1"/>
  </r>
  <r>
    <d v="2026-04-12T00:00:00"/>
    <x v="9"/>
    <x v="18"/>
    <n v="2"/>
    <n v="2"/>
    <s v="D"/>
    <n v="1.86"/>
    <n v="3.4"/>
    <n v="4.2"/>
    <n v="1"/>
    <n v="1"/>
    <n v="0.47619047619047616"/>
    <n v="1.075268817204301"/>
    <n v="1.86"/>
    <n v="4.2"/>
    <n v="0"/>
    <n v="0"/>
    <n v="-1"/>
    <n v="-1"/>
    <n v="2.4"/>
    <n v="0"/>
    <n v="0"/>
    <n v="1"/>
    <n v="1"/>
    <n v="1"/>
    <n v="1"/>
    <n v="0"/>
    <n v="0"/>
    <n v="1"/>
    <s v="ABR"/>
    <x v="103"/>
    <n v="0"/>
    <n v="1"/>
    <n v="0"/>
    <s v="1,71-2,0"/>
    <s v="4,01-5,5"/>
    <n v="0.5376344086021505"/>
    <n v="0.29411764705882354"/>
    <n v="0.23809523809523808"/>
    <n v="-6.9847293756212236E-2"/>
    <n v="0.26881720430107525"/>
    <n v="0.11904761904761904"/>
  </r>
  <r>
    <d v="2026-04-12T00:00:00"/>
    <x v="4"/>
    <x v="7"/>
    <n v="1"/>
    <n v="2"/>
    <s v="A"/>
    <n v="3.2"/>
    <n v="3.1"/>
    <n v="2.35"/>
    <n v="0"/>
    <n v="3"/>
    <n v="0.42553191489361702"/>
    <n v="0.625"/>
    <n v="0"/>
    <n v="7.0500000000000007"/>
    <n v="-1"/>
    <n v="1"/>
    <n v="-1"/>
    <n v="1.35"/>
    <n v="-1"/>
    <n v="0"/>
    <n v="0"/>
    <n v="1"/>
    <n v="1"/>
    <n v="1"/>
    <n v="0"/>
    <n v="0"/>
    <n v="0"/>
    <n v="1"/>
    <s v="ABR"/>
    <x v="104"/>
    <n v="0"/>
    <n v="0"/>
    <n v="1"/>
    <s v="3,01-4.0"/>
    <s v="2,01-2,4"/>
    <n v="0.3125"/>
    <n v="0.32258064516129031"/>
    <n v="0.42553191489361702"/>
    <n v="-6.0612560054907227E-2"/>
    <n v="0.3125"/>
    <n v="0.21276595744680851"/>
  </r>
  <r>
    <d v="2026-04-12T00:00:00"/>
    <x v="6"/>
    <x v="0"/>
    <n v="0"/>
    <n v="0"/>
    <s v="D"/>
    <n v="2.65"/>
    <n v="3"/>
    <n v="2.85"/>
    <n v="1"/>
    <n v="1"/>
    <n v="0"/>
    <n v="0"/>
    <n v="2.65"/>
    <n v="2.85"/>
    <n v="0"/>
    <n v="0"/>
    <n v="-1"/>
    <n v="-1"/>
    <n v="2"/>
    <n v="0"/>
    <n v="0"/>
    <n v="0"/>
    <n v="0"/>
    <n v="0"/>
    <n v="0"/>
    <n v="0"/>
    <n v="0"/>
    <n v="0"/>
    <s v="ABR"/>
    <x v="105"/>
    <n v="0"/>
    <n v="1"/>
    <n v="0"/>
    <s v="2,41-3,0"/>
    <s v="2,41-3,0"/>
    <n v="0.37735849056603776"/>
    <n v="0.33333333333333331"/>
    <n v="0.35087719298245612"/>
    <n v="-6.1569016881827254E-2"/>
    <n v="1"/>
    <n v="1"/>
  </r>
  <r>
    <d v="2026-04-12T00:00:00"/>
    <x v="18"/>
    <x v="1"/>
    <n v="2"/>
    <n v="1"/>
    <s v="H"/>
    <n v="1.96"/>
    <n v="3.4"/>
    <n v="3.9"/>
    <n v="3"/>
    <n v="0"/>
    <n v="0.51282051282051289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ABR"/>
    <x v="106"/>
    <n v="1"/>
    <n v="0"/>
    <n v="0"/>
    <s v="1,71-2,0"/>
    <s v="3,01-4.0"/>
    <n v="0.51020408163265307"/>
    <n v="0.29411764705882354"/>
    <n v="0.25641025641025644"/>
    <n v="-6.0731985101732944E-2"/>
    <n v="0.25510204081632654"/>
    <n v="0.25641025641025644"/>
  </r>
  <r>
    <d v="2026-04-18T00:00:00"/>
    <x v="5"/>
    <x v="14"/>
    <n v="1"/>
    <n v="4"/>
    <s v="A"/>
    <n v="3.7"/>
    <n v="3.6"/>
    <n v="1.96"/>
    <n v="0"/>
    <n v="3"/>
    <n v="0.51020408163265307"/>
    <n v="1.0810810810810809"/>
    <n v="0"/>
    <n v="5.88"/>
    <n v="-3"/>
    <n v="3"/>
    <n v="-1"/>
    <n v="0.96"/>
    <n v="-1"/>
    <n v="0"/>
    <n v="1"/>
    <n v="1"/>
    <n v="1"/>
    <n v="1"/>
    <n v="1"/>
    <n v="1"/>
    <n v="0"/>
    <n v="1"/>
    <s v="ABR"/>
    <x v="107"/>
    <n v="0"/>
    <n v="0"/>
    <n v="1"/>
    <s v="3,01-4.0"/>
    <s v="1,71-2,0"/>
    <n v="0.27027027027027023"/>
    <n v="0.27777777777777779"/>
    <n v="0.51020408163265307"/>
    <n v="-5.8252129680701259E-2"/>
    <n v="0.27027027027027023"/>
    <n v="0.12755102040816327"/>
  </r>
  <r>
    <d v="2026-04-18T00:00:00"/>
    <x v="17"/>
    <x v="13"/>
    <n v="2"/>
    <n v="1"/>
    <s v="H"/>
    <n v="2.0099999999999998"/>
    <n v="3.3"/>
    <n v="3.6"/>
    <n v="3"/>
    <n v="0"/>
    <n v="0.55555555555555558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ABR"/>
    <x v="108"/>
    <n v="1"/>
    <n v="0"/>
    <n v="0"/>
    <s v="2,01-2,4"/>
    <s v="3,01-4.0"/>
    <n v="0.49751243781094534"/>
    <n v="0.30303030303030304"/>
    <n v="0.27777777777777779"/>
    <n v="-7.8320518619026114E-2"/>
    <n v="0.24875621890547267"/>
    <n v="0.27777777777777779"/>
  </r>
  <r>
    <d v="2026-04-19T00:00:00"/>
    <x v="3"/>
    <x v="19"/>
    <n v="0"/>
    <n v="0"/>
    <s v="D"/>
    <n v="2.57"/>
    <n v="3"/>
    <n v="3"/>
    <n v="1"/>
    <n v="1"/>
    <n v="0"/>
    <n v="0"/>
    <n v="2.57"/>
    <n v="3"/>
    <n v="0"/>
    <n v="0"/>
    <n v="-1"/>
    <n v="-1"/>
    <n v="2"/>
    <n v="0"/>
    <n v="0"/>
    <n v="0"/>
    <n v="0"/>
    <n v="0"/>
    <n v="0"/>
    <n v="0"/>
    <n v="0"/>
    <n v="0"/>
    <s v="ABR"/>
    <x v="109"/>
    <n v="0"/>
    <n v="1"/>
    <n v="0"/>
    <s v="2,41-3,0"/>
    <s v="2,41-3,0"/>
    <n v="0.38910505836575876"/>
    <n v="0.33333333333333331"/>
    <n v="0.33333333333333331"/>
    <n v="-5.5771725032425445E-2"/>
    <n v="1"/>
    <n v="1"/>
  </r>
  <r>
    <d v="2026-04-19T00:00:00"/>
    <x v="18"/>
    <x v="4"/>
    <n v="2"/>
    <n v="0"/>
    <s v="H"/>
    <n v="1.62"/>
    <n v="3.8"/>
    <n v="5.25"/>
    <n v="3"/>
    <n v="0"/>
    <n v="0.38095238095238093"/>
    <n v="0"/>
    <n v="4.8600000000000003"/>
    <n v="0"/>
    <n v="2"/>
    <n v="-2"/>
    <n v="0.62000000000000011"/>
    <n v="-1"/>
    <n v="-1"/>
    <n v="0"/>
    <n v="0"/>
    <n v="1"/>
    <n v="1"/>
    <n v="0"/>
    <n v="0"/>
    <n v="0"/>
    <n v="0"/>
    <n v="0"/>
    <s v="ABR"/>
    <x v="110"/>
    <n v="1"/>
    <n v="0"/>
    <n v="0"/>
    <s v="1,41-1,7"/>
    <s v="4,01-5,5"/>
    <n v="0.61728395061728392"/>
    <n v="0.26315789473684209"/>
    <n v="0.19047619047619047"/>
    <n v="-7.0918035830316528E-2"/>
    <n v="0.30864197530864196"/>
    <n v="1"/>
  </r>
  <r>
    <d v="2026-04-19T00:00:00"/>
    <x v="2"/>
    <x v="12"/>
    <n v="1"/>
    <n v="2"/>
    <s v="A"/>
    <n v="1.86"/>
    <n v="3.4"/>
    <n v="4.0999999999999996"/>
    <n v="0"/>
    <n v="3"/>
    <n v="0.24390243902439027"/>
    <n v="1.075268817204301"/>
    <n v="0"/>
    <n v="12.299999999999999"/>
    <n v="-1"/>
    <n v="1"/>
    <n v="-1"/>
    <n v="3.0999999999999996"/>
    <n v="-1"/>
    <n v="0"/>
    <n v="0"/>
    <n v="1"/>
    <n v="1"/>
    <n v="1"/>
    <n v="0"/>
    <n v="0"/>
    <n v="0"/>
    <n v="1"/>
    <s v="ABR"/>
    <x v="111"/>
    <n v="0"/>
    <n v="0"/>
    <n v="1"/>
    <s v="1,71-2,0"/>
    <s v="4,01-5,5"/>
    <n v="0.5376344086021505"/>
    <n v="0.29411764705882354"/>
    <n v="0.24390243902439027"/>
    <n v="-7.5654494685364337E-2"/>
    <n v="0.5376344086021505"/>
    <n v="0.12195121951219513"/>
  </r>
  <r>
    <d v="2026-04-19T00:00:00"/>
    <x v="1"/>
    <x v="10"/>
    <n v="2"/>
    <n v="0"/>
    <s v="H"/>
    <n v="2.2000000000000002"/>
    <n v="3.2"/>
    <n v="3.4"/>
    <n v="3"/>
    <n v="0"/>
    <n v="0.58823529411764708"/>
    <n v="0"/>
    <n v="6.6000000000000005"/>
    <n v="0"/>
    <n v="2"/>
    <n v="-2"/>
    <n v="1.2000000000000002"/>
    <n v="-1"/>
    <n v="-1"/>
    <n v="0"/>
    <n v="0"/>
    <n v="1"/>
    <n v="1"/>
    <n v="0"/>
    <n v="0"/>
    <n v="0"/>
    <n v="0"/>
    <n v="0"/>
    <s v="ABR"/>
    <x v="112"/>
    <n v="1"/>
    <n v="0"/>
    <n v="0"/>
    <s v="2,01-2,4"/>
    <s v="3,01-4.0"/>
    <n v="0.45454545454545453"/>
    <n v="0.3125"/>
    <n v="0.29411764705882354"/>
    <n v="-6.1163101604278181E-2"/>
    <n v="0.22727272727272727"/>
    <n v="1"/>
  </r>
  <r>
    <d v="2026-04-19T00:00:00"/>
    <x v="13"/>
    <x v="16"/>
    <n v="2"/>
    <n v="3"/>
    <s v="A"/>
    <n v="2.15"/>
    <n v="3.2"/>
    <n v="3.5"/>
    <n v="0"/>
    <n v="3"/>
    <n v="0.5714285714285714"/>
    <n v="1.3953488372093024"/>
    <n v="0"/>
    <n v="10.5"/>
    <n v="-1"/>
    <n v="1"/>
    <n v="-1"/>
    <n v="2.5"/>
    <n v="-1"/>
    <n v="0"/>
    <n v="0"/>
    <n v="1"/>
    <n v="1"/>
    <n v="1"/>
    <n v="1"/>
    <n v="1"/>
    <n v="0"/>
    <n v="1"/>
    <s v="ABR"/>
    <x v="113"/>
    <n v="0"/>
    <n v="0"/>
    <n v="1"/>
    <s v="2,01-2,4"/>
    <s v="3,01-4.0"/>
    <n v="0.46511627906976744"/>
    <n v="0.3125"/>
    <n v="0.2857142857142857"/>
    <n v="-6.3330564784052967E-2"/>
    <n v="0.23255813953488372"/>
    <n v="9.5238095238095233E-2"/>
  </r>
  <r>
    <d v="2026-04-19T00:00:00"/>
    <x v="10"/>
    <x v="3"/>
    <n v="4"/>
    <n v="2"/>
    <s v="H"/>
    <n v="1.49"/>
    <n v="3.9"/>
    <n v="6.5"/>
    <n v="3"/>
    <n v="0"/>
    <n v="0.61538461538461542"/>
    <n v="1.3422818791946309"/>
    <n v="4.47"/>
    <n v="0"/>
    <n v="2"/>
    <n v="-2"/>
    <n v="0.49"/>
    <n v="-1"/>
    <n v="-1"/>
    <n v="1"/>
    <n v="0"/>
    <n v="1"/>
    <n v="1"/>
    <n v="1"/>
    <n v="1"/>
    <n v="1"/>
    <n v="1"/>
    <n v="1"/>
    <s v="ABR"/>
    <x v="114"/>
    <n v="1"/>
    <n v="0"/>
    <n v="0"/>
    <s v="1,41-1,7"/>
    <s v="5,51-9,0"/>
    <n v="0.67114093959731547"/>
    <n v="0.25641025641025644"/>
    <n v="0.15384615384615385"/>
    <n v="-8.1397349853725931E-2"/>
    <n v="0.16778523489932887"/>
    <n v="7.6923076923076927E-2"/>
  </r>
  <r>
    <d v="2026-04-19T00:00:00"/>
    <x v="15"/>
    <x v="2"/>
    <n v="1"/>
    <n v="0"/>
    <s v="H"/>
    <n v="1.56"/>
    <n v="3.6"/>
    <n v="6.5"/>
    <n v="3"/>
    <n v="0"/>
    <n v="0.15384615384615385"/>
    <n v="0"/>
    <n v="4.68"/>
    <n v="0"/>
    <n v="1"/>
    <n v="-1"/>
    <n v="0.56000000000000005"/>
    <n v="-1"/>
    <n v="-1"/>
    <n v="0"/>
    <n v="0"/>
    <n v="1"/>
    <n v="0"/>
    <n v="0"/>
    <n v="0"/>
    <n v="0"/>
    <n v="0"/>
    <n v="0"/>
    <s v="ABR"/>
    <x v="115"/>
    <n v="1"/>
    <n v="0"/>
    <n v="0"/>
    <s v="1,41-1,7"/>
    <s v="5,51-9,0"/>
    <n v="0.64102564102564097"/>
    <n v="0.27777777777777779"/>
    <n v="0.15384615384615385"/>
    <n v="-7.2649572649572614E-2"/>
    <n v="0.64102564102564097"/>
    <n v="1"/>
  </r>
  <r>
    <d v="2026-04-19T00:00:00"/>
    <x v="11"/>
    <x v="6"/>
    <n v="2"/>
    <n v="0"/>
    <s v="H"/>
    <n v="1.42"/>
    <n v="4.5"/>
    <n v="6.5"/>
    <n v="3"/>
    <n v="0"/>
    <n v="0.30769230769230771"/>
    <n v="0"/>
    <n v="4.26"/>
    <n v="0"/>
    <n v="2"/>
    <n v="-2"/>
    <n v="0.41999999999999993"/>
    <n v="-1"/>
    <n v="-1"/>
    <n v="0"/>
    <n v="0"/>
    <n v="1"/>
    <n v="1"/>
    <n v="0"/>
    <n v="0"/>
    <n v="0"/>
    <n v="0"/>
    <n v="0"/>
    <s v="ABR"/>
    <x v="116"/>
    <n v="1"/>
    <n v="0"/>
    <n v="0"/>
    <s v="1,41-1,7"/>
    <s v="5,51-9,0"/>
    <n v="0.70422535211267612"/>
    <n v="0.22222222222222221"/>
    <n v="0.15384615384615385"/>
    <n v="-8.0293728181052071E-2"/>
    <n v="0.35211267605633806"/>
    <n v="1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  <r>
    <m/>
    <x v="20"/>
    <x v="20"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s v="Atletico-MG"/>
    <s v="Palmeiras"/>
    <n v="2"/>
    <n v="2"/>
    <s v="D"/>
    <x v="0"/>
    <n v="3.1"/>
    <n v="2.5"/>
    <n v="1"/>
    <n v="1"/>
    <n v="0.8"/>
    <n v="0.66666666666666663"/>
    <n v="3"/>
    <n v="2.5"/>
    <n v="0"/>
    <n v="0"/>
    <n v="-1"/>
    <n v="-1"/>
    <n v="2.1"/>
    <n v="0"/>
    <n v="0"/>
    <n v="1"/>
    <n v="1"/>
    <n v="1"/>
    <n v="1"/>
    <n v="0"/>
    <n v="0"/>
    <n v="1"/>
  </r>
  <r>
    <x v="0"/>
    <s v="Coritiba"/>
    <s v="Bragantino"/>
    <n v="0"/>
    <n v="1"/>
    <s v="A"/>
    <x v="1"/>
    <n v="2.82"/>
    <n v="2.82"/>
    <n v="0"/>
    <n v="3"/>
    <n v="0"/>
    <n v="0.37037037037037035"/>
    <n v="0"/>
    <n v="8.4599999999999991"/>
    <n v="-1"/>
    <n v="1"/>
    <n v="-1"/>
    <n v="1.8199999999999998"/>
    <n v="-1"/>
    <n v="0"/>
    <n v="0"/>
    <n v="1"/>
    <n v="0"/>
    <n v="0"/>
    <n v="0"/>
    <n v="0"/>
    <n v="0"/>
    <n v="0"/>
  </r>
  <r>
    <x v="0"/>
    <s v="Internacional"/>
    <s v="Athletico-PR"/>
    <n v="0"/>
    <n v="1"/>
    <s v="A"/>
    <x v="2"/>
    <n v="3.25"/>
    <n v="3.9"/>
    <n v="0"/>
    <n v="3"/>
    <n v="0"/>
    <n v="0.51020408163265307"/>
    <n v="0"/>
    <n v="11.7"/>
    <n v="-1"/>
    <n v="1"/>
    <n v="-1"/>
    <n v="2.9"/>
    <n v="-1"/>
    <n v="0"/>
    <n v="0"/>
    <n v="1"/>
    <n v="0"/>
    <n v="0"/>
    <n v="0"/>
    <n v="0"/>
    <n v="0"/>
    <n v="0"/>
  </r>
  <r>
    <x v="0"/>
    <s v="Vitoria"/>
    <s v="Remo"/>
    <n v="2"/>
    <n v="0"/>
    <s v="H"/>
    <x v="3"/>
    <n v="3.4"/>
    <n v="4.75"/>
    <n v="3"/>
    <n v="0"/>
    <n v="0.42105263157894735"/>
    <n v="0"/>
    <n v="5.37"/>
    <n v="0"/>
    <n v="2"/>
    <n v="-2"/>
    <n v="0.79"/>
    <n v="-1"/>
    <n v="-1"/>
    <n v="0"/>
    <n v="0"/>
    <n v="1"/>
    <n v="1"/>
    <n v="0"/>
    <n v="0"/>
    <n v="0"/>
    <n v="0"/>
    <n v="0"/>
  </r>
  <r>
    <x v="0"/>
    <s v="Fluminense"/>
    <s v="Gremio"/>
    <n v="2"/>
    <n v="1"/>
    <s v="H"/>
    <x v="4"/>
    <n v="4.0999999999999996"/>
    <n v="6"/>
    <n v="3"/>
    <n v="0"/>
    <n v="0.33333333333333331"/>
    <n v="0.65359477124183007"/>
    <n v="4.59"/>
    <n v="0"/>
    <n v="1"/>
    <n v="-1"/>
    <n v="0.53"/>
    <n v="-1"/>
    <n v="-1"/>
    <n v="0"/>
    <n v="0"/>
    <n v="1"/>
    <n v="1"/>
    <n v="1"/>
    <n v="0"/>
    <n v="0"/>
    <n v="0"/>
    <n v="1"/>
  </r>
  <r>
    <x v="0"/>
    <s v="Chapecoense-SC"/>
    <s v="Santos"/>
    <n v="4"/>
    <n v="2"/>
    <s v="H"/>
    <x v="0"/>
    <n v="3.1"/>
    <n v="2.5"/>
    <n v="3"/>
    <n v="0"/>
    <n v="1.6"/>
    <n v="0.66666666666666663"/>
    <n v="9"/>
    <n v="0"/>
    <n v="2"/>
    <n v="-2"/>
    <n v="2"/>
    <n v="-1"/>
    <n v="-1"/>
    <n v="1"/>
    <n v="0"/>
    <n v="1"/>
    <n v="1"/>
    <n v="1"/>
    <n v="1"/>
    <n v="1"/>
    <n v="1"/>
    <n v="1"/>
  </r>
  <r>
    <x v="0"/>
    <s v="Corinthians"/>
    <s v="Bahia"/>
    <n v="1"/>
    <n v="2"/>
    <s v="A"/>
    <x v="5"/>
    <n v="3.5"/>
    <n v="3.2"/>
    <n v="0"/>
    <n v="3"/>
    <n v="0.3125"/>
    <n v="0.90909090909090906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</r>
  <r>
    <x v="1"/>
    <s v="Sao Paulo"/>
    <s v="Flamengo RJ"/>
    <n v="2"/>
    <n v="1"/>
    <s v="H"/>
    <x v="6"/>
    <n v="3"/>
    <n v="2.2000000000000002"/>
    <n v="3"/>
    <n v="0"/>
    <n v="0.90909090909090906"/>
    <n v="0.27027027027027023"/>
    <n v="11.100000000000001"/>
    <n v="0"/>
    <n v="1"/>
    <n v="-1"/>
    <n v="2.7"/>
    <n v="-1"/>
    <n v="-1"/>
    <n v="0"/>
    <n v="0"/>
    <n v="1"/>
    <n v="1"/>
    <n v="1"/>
    <n v="0"/>
    <n v="0"/>
    <n v="0"/>
    <n v="1"/>
  </r>
  <r>
    <x v="1"/>
    <s v="Mirassol"/>
    <s v="Vasco"/>
    <n v="2"/>
    <n v="1"/>
    <s v="H"/>
    <x v="3"/>
    <n v="3.3"/>
    <n v="4.5"/>
    <n v="3"/>
    <n v="0"/>
    <n v="0.44444444444444442"/>
    <n v="0.55865921787709494"/>
    <n v="5.37"/>
    <n v="0"/>
    <n v="1"/>
    <n v="-1"/>
    <n v="0.79"/>
    <n v="-1"/>
    <n v="-1"/>
    <n v="0"/>
    <n v="0"/>
    <n v="1"/>
    <n v="1"/>
    <n v="1"/>
    <n v="0"/>
    <n v="0"/>
    <n v="0"/>
    <n v="1"/>
  </r>
  <r>
    <x v="2"/>
    <s v="Botafogo RJ"/>
    <s v="Cruzeiro"/>
    <n v="4"/>
    <n v="0"/>
    <s v="H"/>
    <x v="7"/>
    <n v="3"/>
    <n v="3.4"/>
    <n v="3"/>
    <n v="0"/>
    <n v="1.1764705882352942"/>
    <n v="0"/>
    <n v="6.8999999999999995"/>
    <n v="0"/>
    <n v="4"/>
    <n v="-4"/>
    <n v="1.2999999999999998"/>
    <n v="-1"/>
    <n v="-1"/>
    <n v="1"/>
    <n v="0"/>
    <n v="1"/>
    <n v="1"/>
    <n v="1"/>
    <n v="1"/>
    <n v="0"/>
    <n v="0"/>
    <n v="0"/>
  </r>
  <r>
    <x v="3"/>
    <s v="Bragantino"/>
    <s v="Atletico-MG"/>
    <n v="1"/>
    <n v="0"/>
    <s v="H"/>
    <x v="8"/>
    <n v="3.2"/>
    <n v="4"/>
    <n v="3"/>
    <n v="0"/>
    <n v="0.25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</r>
  <r>
    <x v="3"/>
    <s v="Flamengo RJ"/>
    <s v="Internacional"/>
    <n v="1"/>
    <n v="1"/>
    <s v="D"/>
    <x v="9"/>
    <n v="4.5"/>
    <n v="7.5"/>
    <n v="1"/>
    <n v="1"/>
    <n v="0.13333333333333333"/>
    <n v="0.70921985815602839"/>
    <n v="1.41"/>
    <n v="7.5"/>
    <n v="0"/>
    <n v="0"/>
    <n v="-1"/>
    <n v="-1"/>
    <n v="3.5"/>
    <n v="0"/>
    <n v="0"/>
    <n v="1"/>
    <n v="1"/>
    <n v="0"/>
    <n v="0"/>
    <n v="0"/>
    <n v="0"/>
    <n v="1"/>
  </r>
  <r>
    <x v="3"/>
    <s v="Remo"/>
    <s v="Mirassol"/>
    <n v="2"/>
    <n v="2"/>
    <s v="D"/>
    <x v="10"/>
    <n v="3.1"/>
    <n v="2.4"/>
    <n v="1"/>
    <n v="1"/>
    <n v="0.83333333333333337"/>
    <n v="0.64516129032258063"/>
    <n v="3.1"/>
    <n v="2.4"/>
    <n v="0"/>
    <n v="0"/>
    <n v="-1"/>
    <n v="-1"/>
    <n v="2.1"/>
    <n v="0"/>
    <n v="0"/>
    <n v="1"/>
    <n v="1"/>
    <n v="1"/>
    <n v="1"/>
    <n v="0"/>
    <n v="0"/>
    <n v="1"/>
  </r>
  <r>
    <x v="3"/>
    <s v="Santos"/>
    <s v="Sao Paulo"/>
    <n v="1"/>
    <n v="1"/>
    <s v="D"/>
    <x v="5"/>
    <n v="3.1"/>
    <n v="3.3"/>
    <n v="1"/>
    <n v="1"/>
    <n v="0.30303030303030304"/>
    <n v="0.45454545454545453"/>
    <n v="2.2000000000000002"/>
    <n v="3.3"/>
    <n v="0"/>
    <n v="0"/>
    <n v="-1"/>
    <n v="-1"/>
    <n v="2.1"/>
    <n v="0"/>
    <n v="0"/>
    <n v="1"/>
    <n v="1"/>
    <n v="0"/>
    <n v="0"/>
    <n v="0"/>
    <n v="0"/>
    <n v="1"/>
  </r>
  <r>
    <x v="4"/>
    <s v="Gremio"/>
    <s v="Botafogo RJ"/>
    <n v="5"/>
    <n v="3"/>
    <s v="H"/>
    <x v="7"/>
    <n v="3"/>
    <n v="3.4"/>
    <n v="3"/>
    <n v="0"/>
    <n v="1.4705882352941178"/>
    <n v="1.3043478260869565"/>
    <n v="6.8999999999999995"/>
    <n v="0"/>
    <n v="2"/>
    <n v="-2"/>
    <n v="1.2999999999999998"/>
    <n v="-1"/>
    <n v="-1"/>
    <n v="1"/>
    <n v="0"/>
    <n v="1"/>
    <n v="1"/>
    <n v="1"/>
    <n v="1"/>
    <n v="1"/>
    <n v="1"/>
    <n v="1"/>
  </r>
  <r>
    <x v="4"/>
    <s v="Palmeiras"/>
    <s v="Vitoria"/>
    <n v="5"/>
    <n v="1"/>
    <s v="H"/>
    <x v="11"/>
    <n v="4.75"/>
    <n v="10"/>
    <n v="3"/>
    <n v="0"/>
    <n v="0.5"/>
    <n v="0.76923076923076916"/>
    <n v="3.9000000000000004"/>
    <n v="0"/>
    <n v="4"/>
    <n v="-4"/>
    <n v="0.30000000000000004"/>
    <n v="-1"/>
    <n v="-1"/>
    <n v="1"/>
    <n v="0"/>
    <n v="1"/>
    <n v="1"/>
    <n v="1"/>
    <n v="1"/>
    <n v="1"/>
    <n v="1"/>
    <n v="1"/>
  </r>
  <r>
    <x v="4"/>
    <s v="Bahia"/>
    <s v="Fluminense"/>
    <n v="1"/>
    <n v="1"/>
    <s v="D"/>
    <x v="8"/>
    <n v="3.3"/>
    <n v="3.6"/>
    <n v="1"/>
    <n v="1"/>
    <n v="0.27777777777777779"/>
    <n v="0.49751243781094534"/>
    <n v="2.0099999999999998"/>
    <n v="3.6"/>
    <n v="0"/>
    <n v="0"/>
    <n v="-1"/>
    <n v="-1"/>
    <n v="2.2999999999999998"/>
    <n v="0"/>
    <n v="0"/>
    <n v="1"/>
    <n v="1"/>
    <n v="0"/>
    <n v="0"/>
    <n v="0"/>
    <n v="0"/>
    <n v="1"/>
  </r>
  <r>
    <x v="4"/>
    <s v="Vasco"/>
    <s v="Chapecoense-SC"/>
    <n v="1"/>
    <n v="1"/>
    <s v="D"/>
    <x v="4"/>
    <n v="3.9"/>
    <n v="6"/>
    <n v="1"/>
    <n v="1"/>
    <n v="0.16666666666666666"/>
    <n v="0.65359477124183007"/>
    <n v="1.53"/>
    <n v="6"/>
    <n v="0"/>
    <n v="0"/>
    <n v="-1"/>
    <n v="-1"/>
    <n v="2.9"/>
    <n v="0"/>
    <n v="0"/>
    <n v="1"/>
    <n v="1"/>
    <n v="0"/>
    <n v="0"/>
    <n v="0"/>
    <n v="0"/>
    <n v="1"/>
  </r>
  <r>
    <x v="5"/>
    <s v="Cruzeiro"/>
    <s v="Coritiba"/>
    <n v="1"/>
    <n v="2"/>
    <s v="A"/>
    <x v="12"/>
    <n v="4.33"/>
    <n v="9.5"/>
    <n v="0"/>
    <n v="3"/>
    <n v="0.10526315789473684"/>
    <n v="1.4814814814814814"/>
    <n v="0"/>
    <n v="28.5"/>
    <n v="-1"/>
    <n v="1"/>
    <n v="-1"/>
    <n v="8.5"/>
    <n v="-1"/>
    <n v="0"/>
    <n v="0"/>
    <n v="1"/>
    <n v="1"/>
    <n v="1"/>
    <n v="0"/>
    <n v="0"/>
    <n v="0"/>
    <n v="1"/>
  </r>
  <r>
    <x v="6"/>
    <s v="Vitoria"/>
    <s v="Flamengo RJ"/>
    <n v="1"/>
    <n v="2"/>
    <s v="A"/>
    <x v="13"/>
    <n v="3.8"/>
    <n v="1.57"/>
    <n v="0"/>
    <n v="3"/>
    <n v="0.63694267515923564"/>
    <n v="0.34782608695652173"/>
    <n v="0"/>
    <n v="4.71"/>
    <n v="-1"/>
    <n v="1"/>
    <n v="-1"/>
    <n v="0.57000000000000006"/>
    <n v="-1"/>
    <n v="0"/>
    <n v="0"/>
    <n v="1"/>
    <n v="1"/>
    <n v="1"/>
    <n v="0"/>
    <n v="0"/>
    <n v="0"/>
    <n v="1"/>
  </r>
  <r>
    <x v="6"/>
    <s v="Chapecoense-SC"/>
    <s v="Coritiba"/>
    <n v="3"/>
    <n v="3"/>
    <s v="D"/>
    <x v="1"/>
    <n v="3.2"/>
    <n v="2.65"/>
    <n v="1"/>
    <n v="1"/>
    <n v="1.1320754716981132"/>
    <n v="1.1111111111111109"/>
    <n v="2.7"/>
    <n v="2.65"/>
    <n v="0"/>
    <n v="0"/>
    <n v="-1"/>
    <n v="-1"/>
    <n v="2.2000000000000002"/>
    <n v="0"/>
    <n v="0"/>
    <n v="1"/>
    <n v="1"/>
    <n v="1"/>
    <n v="1"/>
    <n v="1"/>
    <n v="1"/>
    <n v="1"/>
  </r>
  <r>
    <x v="6"/>
    <s v="Mirassol"/>
    <s v="Cruzeiro"/>
    <n v="2"/>
    <n v="2"/>
    <s v="D"/>
    <x v="14"/>
    <n v="3"/>
    <n v="3.2"/>
    <n v="1"/>
    <n v="1"/>
    <n v="0.625"/>
    <n v="0.83333333333333337"/>
    <n v="2.4"/>
    <n v="3.2"/>
    <n v="0"/>
    <n v="0"/>
    <n v="-1"/>
    <n v="-1"/>
    <n v="2"/>
    <n v="0"/>
    <n v="0"/>
    <n v="1"/>
    <n v="1"/>
    <n v="1"/>
    <n v="1"/>
    <n v="0"/>
    <n v="0"/>
    <n v="1"/>
  </r>
  <r>
    <x v="6"/>
    <s v="Atletico-MG"/>
    <s v="Remo"/>
    <n v="3"/>
    <n v="3"/>
    <s v="D"/>
    <x v="9"/>
    <n v="4.5"/>
    <n v="7.5"/>
    <n v="1"/>
    <n v="1"/>
    <n v="0.4"/>
    <n v="2.1276595744680851"/>
    <n v="1.41"/>
    <n v="7.5"/>
    <n v="0"/>
    <n v="0"/>
    <n v="-1"/>
    <n v="-1"/>
    <n v="3.5"/>
    <n v="0"/>
    <n v="0"/>
    <n v="1"/>
    <n v="1"/>
    <n v="1"/>
    <n v="1"/>
    <n v="1"/>
    <n v="1"/>
    <n v="1"/>
  </r>
  <r>
    <x v="7"/>
    <s v="Sao Paulo"/>
    <s v="Gremio"/>
    <n v="2"/>
    <n v="0"/>
    <s v="H"/>
    <x v="15"/>
    <n v="3.2"/>
    <n v="4.2"/>
    <n v="3"/>
    <n v="0"/>
    <n v="0.47619047619047616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</r>
  <r>
    <x v="7"/>
    <s v="Vasco"/>
    <s v="Bahia"/>
    <n v="0"/>
    <n v="1"/>
    <s v="A"/>
    <x v="5"/>
    <n v="3.3"/>
    <n v="3.1"/>
    <n v="0"/>
    <n v="3"/>
    <n v="0"/>
    <n v="0.45454545454545453"/>
    <n v="0"/>
    <n v="9.3000000000000007"/>
    <n v="-1"/>
    <n v="1"/>
    <n v="-1"/>
    <n v="2.1"/>
    <n v="-1"/>
    <n v="0"/>
    <n v="0"/>
    <n v="1"/>
    <n v="0"/>
    <n v="0"/>
    <n v="0"/>
    <n v="0"/>
    <n v="0"/>
    <n v="0"/>
  </r>
  <r>
    <x v="7"/>
    <s v="Athletico-PR"/>
    <s v="Santos"/>
    <n v="2"/>
    <n v="1"/>
    <s v="H"/>
    <x v="2"/>
    <n v="3.25"/>
    <n v="4"/>
    <n v="3"/>
    <n v="0"/>
    <n v="0.5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</r>
  <r>
    <x v="7"/>
    <s v="Fluminense"/>
    <s v="Botafogo RJ"/>
    <n v="1"/>
    <n v="0"/>
    <s v="H"/>
    <x v="16"/>
    <n v="3.3"/>
    <n v="5.5"/>
    <n v="3"/>
    <n v="0"/>
    <n v="0.18181818181818182"/>
    <n v="0"/>
    <n v="5.28"/>
    <n v="0"/>
    <n v="1"/>
    <n v="-1"/>
    <n v="0.76"/>
    <n v="-1"/>
    <n v="-1"/>
    <n v="0"/>
    <n v="0"/>
    <n v="1"/>
    <n v="0"/>
    <n v="0"/>
    <n v="0"/>
    <n v="0"/>
    <n v="0"/>
    <n v="0"/>
  </r>
  <r>
    <x v="7"/>
    <s v="Corinthians"/>
    <s v="Bragantino"/>
    <n v="2"/>
    <n v="0"/>
    <s v="H"/>
    <x v="17"/>
    <n v="3.2"/>
    <n v="4.75"/>
    <n v="3"/>
    <n v="0"/>
    <n v="0.42105263157894735"/>
    <n v="0"/>
    <n v="5.58"/>
    <n v="0"/>
    <n v="2"/>
    <n v="-2"/>
    <n v="0.8600000000000001"/>
    <n v="-1"/>
    <n v="-1"/>
    <n v="0"/>
    <n v="0"/>
    <n v="1"/>
    <n v="1"/>
    <n v="0"/>
    <n v="0"/>
    <n v="0"/>
    <n v="0"/>
    <n v="0"/>
  </r>
  <r>
    <x v="8"/>
    <s v="Internacional"/>
    <s v="Palmeiras"/>
    <n v="1"/>
    <n v="3"/>
    <s v="A"/>
    <x v="10"/>
    <n v="3.4"/>
    <n v="2.25"/>
    <n v="0"/>
    <n v="3"/>
    <n v="0.44444444444444442"/>
    <n v="0.96774193548387089"/>
    <n v="0"/>
    <n v="6.75"/>
    <n v="-2"/>
    <n v="2"/>
    <n v="-1"/>
    <n v="1.25"/>
    <n v="-1"/>
    <n v="0"/>
    <n v="0"/>
    <n v="1"/>
    <n v="1"/>
    <n v="1"/>
    <n v="1"/>
    <n v="0"/>
    <n v="0"/>
    <n v="1"/>
  </r>
  <r>
    <x v="9"/>
    <s v="Athletico-PR"/>
    <s v="Corinthians"/>
    <n v="0"/>
    <n v="1"/>
    <s v="A"/>
    <x v="18"/>
    <n v="3"/>
    <n v="2.85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</r>
  <r>
    <x v="10"/>
    <s v="Bragantino"/>
    <s v="Athletico-PR"/>
    <n v="1"/>
    <n v="1"/>
    <s v="D"/>
    <x v="8"/>
    <n v="3.3"/>
    <n v="3.9"/>
    <n v="1"/>
    <n v="1"/>
    <n v="0.25641025641025644"/>
    <n v="0.49751243781094534"/>
    <n v="2.0099999999999998"/>
    <n v="3.9"/>
    <n v="0"/>
    <n v="0"/>
    <n v="-1"/>
    <n v="-1"/>
    <n v="2.2999999999999998"/>
    <n v="0"/>
    <n v="0"/>
    <n v="1"/>
    <n v="1"/>
    <n v="0"/>
    <n v="0"/>
    <n v="0"/>
    <n v="0"/>
    <n v="1"/>
  </r>
  <r>
    <x v="10"/>
    <s v="Remo"/>
    <s v="Internacional"/>
    <n v="1"/>
    <n v="1"/>
    <s v="D"/>
    <x v="19"/>
    <n v="3.4"/>
    <n v="2.15"/>
    <n v="1"/>
    <n v="1"/>
    <n v="0.46511627906976744"/>
    <n v="0.30769230769230771"/>
    <n v="3.25"/>
    <n v="2.15"/>
    <n v="0"/>
    <n v="0"/>
    <n v="-1"/>
    <n v="-1"/>
    <n v="2.4"/>
    <n v="0"/>
    <n v="0"/>
    <n v="1"/>
    <n v="1"/>
    <n v="0"/>
    <n v="0"/>
    <n v="0"/>
    <n v="0"/>
    <n v="1"/>
  </r>
  <r>
    <x v="10"/>
    <s v="Coritiba"/>
    <s v="Sao Paulo"/>
    <n v="0"/>
    <n v="1"/>
    <s v="A"/>
    <x v="20"/>
    <n v="3.1"/>
    <n v="3"/>
    <n v="0"/>
    <n v="3"/>
    <n v="0"/>
    <n v="0.4"/>
    <n v="0"/>
    <n v="9"/>
    <n v="-1"/>
    <n v="1"/>
    <n v="-1"/>
    <n v="2"/>
    <n v="-1"/>
    <n v="0"/>
    <n v="0"/>
    <n v="1"/>
    <n v="0"/>
    <n v="0"/>
    <n v="0"/>
    <n v="0"/>
    <n v="0"/>
    <n v="0"/>
  </r>
  <r>
    <x v="10"/>
    <s v="Cruzeiro"/>
    <s v="Corinthians"/>
    <n v="1"/>
    <n v="1"/>
    <s v="D"/>
    <x v="21"/>
    <n v="3.5"/>
    <n v="5.5"/>
    <n v="1"/>
    <n v="1"/>
    <n v="0.18181818181818182"/>
    <n v="0.60240963855421692"/>
    <n v="1.66"/>
    <n v="5.5"/>
    <n v="0"/>
    <n v="0"/>
    <n v="-1"/>
    <n v="-1"/>
    <n v="2.5"/>
    <n v="0"/>
    <n v="0"/>
    <n v="1"/>
    <n v="1"/>
    <n v="0"/>
    <n v="0"/>
    <n v="0"/>
    <n v="0"/>
    <n v="1"/>
  </r>
  <r>
    <x v="11"/>
    <s v="Gremio"/>
    <s v="Atletico-MG"/>
    <n v="2"/>
    <n v="1"/>
    <s v="H"/>
    <x v="22"/>
    <n v="3.3"/>
    <n v="3.4"/>
    <n v="3"/>
    <n v="0"/>
    <n v="0.588235294117647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</r>
  <r>
    <x v="11"/>
    <s v="Palmeiras"/>
    <s v="Fluminense"/>
    <n v="2"/>
    <n v="1"/>
    <s v="H"/>
    <x v="23"/>
    <n v="3.9"/>
    <n v="5"/>
    <n v="3"/>
    <n v="0"/>
    <n v="0.4"/>
    <n v="0.61728395061728392"/>
    <n v="4.8600000000000003"/>
    <n v="0"/>
    <n v="1"/>
    <n v="-1"/>
    <n v="0.62000000000000011"/>
    <n v="-1"/>
    <n v="-1"/>
    <n v="0"/>
    <n v="0"/>
    <n v="1"/>
    <n v="1"/>
    <n v="1"/>
    <n v="0"/>
    <n v="0"/>
    <n v="0"/>
    <n v="1"/>
  </r>
  <r>
    <x v="11"/>
    <s v="Santos"/>
    <s v="Vasco"/>
    <n v="2"/>
    <n v="1"/>
    <s v="H"/>
    <x v="8"/>
    <n v="3.4"/>
    <n v="3.75"/>
    <n v="3"/>
    <n v="0"/>
    <n v="0.53333333333333333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</r>
  <r>
    <x v="12"/>
    <s v="Mirassol"/>
    <s v="Santos"/>
    <n v="2"/>
    <n v="2"/>
    <s v="D"/>
    <x v="21"/>
    <n v="3.7"/>
    <n v="4.75"/>
    <n v="1"/>
    <n v="1"/>
    <n v="0.42105263157894735"/>
    <n v="1.2048192771084338"/>
    <n v="1.66"/>
    <n v="4.75"/>
    <n v="0"/>
    <n v="0"/>
    <n v="-1"/>
    <n v="-1"/>
    <n v="2.7"/>
    <n v="0"/>
    <n v="0"/>
    <n v="1"/>
    <n v="1"/>
    <n v="1"/>
    <n v="1"/>
    <n v="0"/>
    <n v="0"/>
    <n v="1"/>
  </r>
  <r>
    <x v="12"/>
    <s v="Atletico-MG"/>
    <s v="Internacional"/>
    <n v="1"/>
    <n v="0"/>
    <s v="H"/>
    <x v="8"/>
    <n v="3.4"/>
    <n v="3.7"/>
    <n v="3"/>
    <n v="0"/>
    <n v="0.27027027027027023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</r>
  <r>
    <x v="12"/>
    <s v="Bahia"/>
    <s v="Vitoria"/>
    <n v="1"/>
    <n v="1"/>
    <s v="D"/>
    <x v="21"/>
    <n v="3.6"/>
    <n v="5.25"/>
    <n v="1"/>
    <n v="1"/>
    <n v="0.19047619047619047"/>
    <n v="0.60240963855421692"/>
    <n v="1.66"/>
    <n v="5.25"/>
    <n v="0"/>
    <n v="0"/>
    <n v="-1"/>
    <n v="-1"/>
    <n v="2.6"/>
    <n v="0"/>
    <n v="0"/>
    <n v="1"/>
    <n v="1"/>
    <n v="0"/>
    <n v="0"/>
    <n v="0"/>
    <n v="0"/>
    <n v="1"/>
  </r>
  <r>
    <x v="13"/>
    <s v="Corinthians"/>
    <s v="Coritiba"/>
    <n v="0"/>
    <n v="2"/>
    <s v="A"/>
    <x v="23"/>
    <n v="3.75"/>
    <n v="5"/>
    <n v="0"/>
    <n v="3"/>
    <n v="0"/>
    <n v="1.2345679012345678"/>
    <n v="0"/>
    <n v="15"/>
    <n v="-2"/>
    <n v="2"/>
    <n v="-1"/>
    <n v="4"/>
    <n v="-1"/>
    <n v="0"/>
    <n v="0"/>
    <n v="1"/>
    <n v="1"/>
    <n v="0"/>
    <n v="0"/>
    <n v="0"/>
    <n v="0"/>
    <n v="0"/>
  </r>
  <r>
    <x v="13"/>
    <s v="Flamengo RJ"/>
    <s v="Cruzeiro"/>
    <n v="2"/>
    <n v="0"/>
    <s v="H"/>
    <x v="24"/>
    <n v="4.2"/>
    <n v="6.5"/>
    <n v="3"/>
    <n v="0"/>
    <n v="0.30769230769230771"/>
    <n v="0"/>
    <n v="4.3499999999999996"/>
    <n v="0"/>
    <n v="2"/>
    <n v="-2"/>
    <n v="0.44999999999999996"/>
    <n v="-1"/>
    <n v="-1"/>
    <n v="0"/>
    <n v="0"/>
    <n v="1"/>
    <n v="1"/>
    <n v="0"/>
    <n v="0"/>
    <n v="0"/>
    <n v="0"/>
    <n v="0"/>
  </r>
  <r>
    <x v="13"/>
    <s v="Remo"/>
    <s v="Fluminense"/>
    <n v="0"/>
    <n v="2"/>
    <s v="A"/>
    <x v="25"/>
    <n v="3.5"/>
    <n v="1.86"/>
    <n v="0"/>
    <n v="3"/>
    <n v="0"/>
    <n v="0.5"/>
    <n v="0"/>
    <n v="5.58"/>
    <n v="-2"/>
    <n v="2"/>
    <n v="-1"/>
    <n v="0.8600000000000001"/>
    <n v="-1"/>
    <n v="0"/>
    <n v="0"/>
    <n v="1"/>
    <n v="1"/>
    <n v="0"/>
    <n v="0"/>
    <n v="0"/>
    <n v="0"/>
    <n v="0"/>
  </r>
  <r>
    <x v="13"/>
    <s v="Vasco"/>
    <s v="Palmeiras"/>
    <n v="2"/>
    <n v="1"/>
    <s v="H"/>
    <x v="10"/>
    <n v="3.25"/>
    <n v="2.4"/>
    <n v="3"/>
    <n v="0"/>
    <n v="0.83333333333333337"/>
    <n v="0.32258064516129031"/>
    <n v="9.3000000000000007"/>
    <n v="0"/>
    <n v="1"/>
    <n v="-1"/>
    <n v="2.1"/>
    <n v="-1"/>
    <n v="-1"/>
    <n v="0"/>
    <n v="0"/>
    <n v="1"/>
    <n v="1"/>
    <n v="1"/>
    <n v="0"/>
    <n v="0"/>
    <n v="0"/>
    <n v="1"/>
  </r>
  <r>
    <x v="13"/>
    <s v="Sao Paulo"/>
    <s v="Chapecoense-SC"/>
    <n v="2"/>
    <n v="0"/>
    <s v="H"/>
    <x v="26"/>
    <n v="4.5"/>
    <n v="7.5"/>
    <n v="3"/>
    <n v="0"/>
    <n v="0.26666666666666666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</r>
  <r>
    <x v="14"/>
    <s v="Gremio"/>
    <s v="Bragantino"/>
    <n v="1"/>
    <n v="1"/>
    <s v="D"/>
    <x v="27"/>
    <n v="3.4"/>
    <n v="3.2"/>
    <n v="1"/>
    <n v="1"/>
    <n v="0.3125"/>
    <n v="0.46511627906976744"/>
    <n v="2.15"/>
    <n v="3.2"/>
    <n v="0"/>
    <n v="0"/>
    <n v="-1"/>
    <n v="-1"/>
    <n v="2.4"/>
    <n v="0"/>
    <n v="0"/>
    <n v="1"/>
    <n v="1"/>
    <n v="0"/>
    <n v="0"/>
    <n v="0"/>
    <n v="0"/>
    <n v="1"/>
  </r>
  <r>
    <x v="15"/>
    <s v="Vitoria"/>
    <s v="Atletico-MG"/>
    <n v="2"/>
    <n v="0"/>
    <s v="H"/>
    <x v="28"/>
    <n v="3.1"/>
    <n v="3.25"/>
    <n v="3"/>
    <n v="0"/>
    <n v="0.61538461538461542"/>
    <n v="0"/>
    <n v="6.9599999999999991"/>
    <n v="0"/>
    <n v="2"/>
    <n v="-2"/>
    <n v="1.3199999999999998"/>
    <n v="-1"/>
    <n v="-1"/>
    <n v="0"/>
    <n v="0"/>
    <n v="1"/>
    <n v="1"/>
    <n v="0"/>
    <n v="0"/>
    <n v="0"/>
    <n v="0"/>
    <n v="0"/>
  </r>
  <r>
    <x v="15"/>
    <s v="Botafogo RJ"/>
    <s v="Flamengo RJ"/>
    <n v="0"/>
    <n v="3"/>
    <s v="A"/>
    <x v="29"/>
    <n v="3.3"/>
    <n v="1.91"/>
    <n v="0"/>
    <n v="3"/>
    <n v="0"/>
    <n v="0.73170731707317083"/>
    <n v="0"/>
    <n v="5.7299999999999995"/>
    <n v="-3"/>
    <n v="3"/>
    <n v="-1"/>
    <n v="0.90999999999999992"/>
    <n v="-1"/>
    <n v="0"/>
    <n v="0"/>
    <n v="1"/>
    <n v="1"/>
    <n v="1"/>
    <n v="0"/>
    <n v="0"/>
    <n v="0"/>
    <n v="0"/>
  </r>
  <r>
    <x v="16"/>
    <s v="Fluminense"/>
    <s v="Athletico-PR"/>
    <n v="3"/>
    <n v="2"/>
    <s v="H"/>
    <x v="3"/>
    <n v="3.4"/>
    <n v="4.75"/>
    <n v="3"/>
    <n v="0"/>
    <n v="0.63157894736842102"/>
    <n v="1.1173184357541899"/>
    <n v="5.37"/>
    <n v="0"/>
    <n v="1"/>
    <n v="-1"/>
    <n v="0.79"/>
    <n v="-1"/>
    <n v="-1"/>
    <n v="0"/>
    <n v="0"/>
    <n v="1"/>
    <n v="1"/>
    <n v="1"/>
    <n v="1"/>
    <n v="1"/>
    <n v="0"/>
    <n v="1"/>
  </r>
  <r>
    <x v="16"/>
    <s v="Internacional"/>
    <s v="Bahia"/>
    <n v="0"/>
    <n v="1"/>
    <s v="A"/>
    <x v="16"/>
    <n v="3.75"/>
    <n v="4.33"/>
    <n v="0"/>
    <n v="3"/>
    <n v="0"/>
    <n v="0.56818181818181823"/>
    <n v="0"/>
    <n v="12.99"/>
    <n v="-1"/>
    <n v="1"/>
    <n v="-1"/>
    <n v="3.33"/>
    <n v="-1"/>
    <n v="0"/>
    <n v="0"/>
    <n v="1"/>
    <n v="0"/>
    <n v="0"/>
    <n v="0"/>
    <n v="0"/>
    <n v="0"/>
    <n v="0"/>
  </r>
  <r>
    <x v="16"/>
    <s v="Santos"/>
    <s v="Corinthians"/>
    <n v="1"/>
    <n v="1"/>
    <s v="D"/>
    <x v="18"/>
    <n v="3"/>
    <n v="3"/>
    <n v="1"/>
    <n v="1"/>
    <n v="0.33333333333333331"/>
    <n v="0.38910505836575876"/>
    <n v="2.57"/>
    <n v="3"/>
    <n v="0"/>
    <n v="0"/>
    <n v="-1"/>
    <n v="-1"/>
    <n v="2"/>
    <n v="0"/>
    <n v="0"/>
    <n v="1"/>
    <n v="1"/>
    <n v="0"/>
    <n v="0"/>
    <n v="0"/>
    <n v="0"/>
    <n v="1"/>
  </r>
  <r>
    <x v="16"/>
    <s v="Coritiba"/>
    <s v="Remo"/>
    <n v="1"/>
    <n v="0"/>
    <s v="H"/>
    <x v="21"/>
    <n v="3.5"/>
    <n v="5"/>
    <n v="3"/>
    <n v="0"/>
    <n v="0.2"/>
    <n v="0"/>
    <n v="4.9799999999999995"/>
    <n v="0"/>
    <n v="1"/>
    <n v="-1"/>
    <n v="0.65999999999999992"/>
    <n v="-1"/>
    <n v="-1"/>
    <n v="0"/>
    <n v="0"/>
    <n v="1"/>
    <n v="0"/>
    <n v="0"/>
    <n v="0"/>
    <n v="0"/>
    <n v="0"/>
    <n v="0"/>
  </r>
  <r>
    <x v="16"/>
    <s v="Palmeiras"/>
    <s v="Mirassol"/>
    <n v="1"/>
    <n v="0"/>
    <s v="H"/>
    <x v="30"/>
    <n v="3.75"/>
    <n v="5.5"/>
    <n v="3"/>
    <n v="0"/>
    <n v="0.18181818181818182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</r>
  <r>
    <x v="16"/>
    <s v="Bragantino"/>
    <s v="Sao Paulo"/>
    <n v="1"/>
    <n v="2"/>
    <s v="A"/>
    <x v="31"/>
    <n v="3.1"/>
    <n v="3.2"/>
    <n v="0"/>
    <n v="3"/>
    <n v="0.3125"/>
    <n v="0.85106382978723405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</r>
  <r>
    <x v="16"/>
    <s v="Cruzeiro"/>
    <s v="Vasco"/>
    <n v="3"/>
    <n v="3"/>
    <s v="D"/>
    <x v="15"/>
    <n v="3.4"/>
    <n v="4.2"/>
    <n v="1"/>
    <n v="1"/>
    <n v="0.7142857142857143"/>
    <n v="1.5706806282722514"/>
    <n v="1.91"/>
    <n v="4.2"/>
    <n v="0"/>
    <n v="0"/>
    <n v="-1"/>
    <n v="-1"/>
    <n v="2.4"/>
    <n v="0"/>
    <n v="0"/>
    <n v="1"/>
    <n v="1"/>
    <n v="1"/>
    <n v="1"/>
    <n v="1"/>
    <n v="1"/>
    <n v="1"/>
  </r>
  <r>
    <x v="17"/>
    <s v="Chapecoense-SC"/>
    <s v="Gremio"/>
    <n v="1"/>
    <n v="1"/>
    <s v="D"/>
    <x v="32"/>
    <n v="3.4"/>
    <n v="2.2999999999999998"/>
    <n v="1"/>
    <n v="1"/>
    <n v="0.43478260869565222"/>
    <n v="0.35087719298245612"/>
    <n v="2.85"/>
    <n v="2.2999999999999998"/>
    <n v="0"/>
    <n v="0"/>
    <n v="-1"/>
    <n v="-1"/>
    <n v="2.4"/>
    <n v="0"/>
    <n v="0"/>
    <n v="1"/>
    <n v="1"/>
    <n v="0"/>
    <n v="0"/>
    <n v="0"/>
    <n v="0"/>
    <n v="1"/>
  </r>
  <r>
    <x v="18"/>
    <s v="Bahia"/>
    <s v="Bragantino"/>
    <n v="2"/>
    <n v="0"/>
    <s v="H"/>
    <x v="21"/>
    <n v="3.7"/>
    <n v="5.25"/>
    <n v="3"/>
    <n v="0"/>
    <n v="0.38095238095238093"/>
    <n v="0"/>
    <n v="4.9799999999999995"/>
    <n v="0"/>
    <n v="2"/>
    <n v="-2"/>
    <n v="0.65999999999999992"/>
    <n v="-1"/>
    <n v="-1"/>
    <n v="0"/>
    <n v="0"/>
    <n v="1"/>
    <n v="1"/>
    <n v="0"/>
    <n v="0"/>
    <n v="0"/>
    <n v="0"/>
    <n v="0"/>
  </r>
  <r>
    <x v="18"/>
    <s v="Palmeiras"/>
    <s v="Botafogo RJ"/>
    <n v="2"/>
    <n v="1"/>
    <s v="H"/>
    <x v="33"/>
    <n v="4"/>
    <n v="6.25"/>
    <n v="3"/>
    <n v="0"/>
    <n v="0.32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</r>
  <r>
    <x v="18"/>
    <s v="Athletico-PR"/>
    <s v="Cruzeiro"/>
    <n v="2"/>
    <n v="1"/>
    <s v="H"/>
    <x v="22"/>
    <n v="3.2"/>
    <n v="3.6"/>
    <n v="3"/>
    <n v="0"/>
    <n v="0.5555555555555555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</r>
  <r>
    <x v="18"/>
    <s v="Atletico-MG"/>
    <s v="Sao Paulo"/>
    <n v="1"/>
    <n v="0"/>
    <s v="H"/>
    <x v="7"/>
    <n v="3"/>
    <n v="3.4"/>
    <n v="3"/>
    <n v="0"/>
    <n v="0.29411764705882354"/>
    <n v="0"/>
    <n v="6.8999999999999995"/>
    <n v="0"/>
    <n v="1"/>
    <n v="-1"/>
    <n v="1.2999999999999998"/>
    <n v="-1"/>
    <n v="-1"/>
    <n v="0"/>
    <n v="0"/>
    <n v="1"/>
    <n v="0"/>
    <n v="0"/>
    <n v="0"/>
    <n v="0"/>
    <n v="0"/>
    <n v="0"/>
  </r>
  <r>
    <x v="18"/>
    <s v="Mirassol"/>
    <s v="Coritiba"/>
    <n v="0"/>
    <n v="1"/>
    <s v="A"/>
    <x v="34"/>
    <n v="3.6"/>
    <n v="6.25"/>
    <n v="0"/>
    <n v="3"/>
    <n v="0"/>
    <n v="0.63694267515923564"/>
    <n v="0"/>
    <n v="18.75"/>
    <n v="-1"/>
    <n v="1"/>
    <n v="-1"/>
    <n v="5.25"/>
    <n v="-1"/>
    <n v="0"/>
    <n v="0"/>
    <n v="1"/>
    <n v="0"/>
    <n v="0"/>
    <n v="0"/>
    <n v="0"/>
    <n v="0"/>
    <n v="0"/>
  </r>
  <r>
    <x v="19"/>
    <s v="Santos"/>
    <s v="Internacional"/>
    <n v="1"/>
    <n v="2"/>
    <s v="A"/>
    <x v="35"/>
    <n v="3.3"/>
    <n v="3.7"/>
    <n v="0"/>
    <n v="3"/>
    <n v="0.27027027027027023"/>
    <n v="0.97560975609756106"/>
    <n v="0"/>
    <n v="11.100000000000001"/>
    <n v="-1"/>
    <n v="1"/>
    <n v="-1"/>
    <n v="2.7"/>
    <n v="-1"/>
    <n v="0"/>
    <n v="0"/>
    <n v="1"/>
    <n v="1"/>
    <n v="1"/>
    <n v="0"/>
    <n v="0"/>
    <n v="0"/>
    <n v="1"/>
  </r>
  <r>
    <x v="19"/>
    <s v="Vasco"/>
    <s v="Fluminense"/>
    <n v="3"/>
    <n v="2"/>
    <s v="H"/>
    <x v="6"/>
    <n v="3.1"/>
    <n v="2.1"/>
    <n v="3"/>
    <n v="0"/>
    <n v="1.4285714285714286"/>
    <n v="0.54054054054054046"/>
    <n v="11.100000000000001"/>
    <n v="0"/>
    <n v="1"/>
    <n v="-1"/>
    <n v="2.7"/>
    <n v="-1"/>
    <n v="-1"/>
    <n v="0"/>
    <n v="0"/>
    <n v="1"/>
    <n v="1"/>
    <n v="1"/>
    <n v="1"/>
    <n v="1"/>
    <n v="0"/>
    <n v="1"/>
  </r>
  <r>
    <x v="19"/>
    <s v="Gremio"/>
    <s v="Vitoria"/>
    <n v="2"/>
    <n v="0"/>
    <s v="H"/>
    <x v="16"/>
    <n v="3.4"/>
    <n v="4.75"/>
    <n v="3"/>
    <n v="0"/>
    <n v="0.42105263157894735"/>
    <n v="0"/>
    <n v="5.28"/>
    <n v="0"/>
    <n v="2"/>
    <n v="-2"/>
    <n v="0.76"/>
    <n v="-1"/>
    <n v="-1"/>
    <n v="0"/>
    <n v="0"/>
    <n v="1"/>
    <n v="1"/>
    <n v="0"/>
    <n v="0"/>
    <n v="0"/>
    <n v="0"/>
    <n v="0"/>
  </r>
  <r>
    <x v="19"/>
    <s v="Flamengo RJ"/>
    <s v="Remo"/>
    <n v="3"/>
    <n v="0"/>
    <s v="H"/>
    <x v="36"/>
    <n v="7.5"/>
    <n v="17"/>
    <n v="3"/>
    <n v="0"/>
    <n v="0.17647058823529413"/>
    <n v="0"/>
    <n v="3.3899999999999997"/>
    <n v="0"/>
    <n v="3"/>
    <n v="-3"/>
    <n v="0.12999999999999989"/>
    <n v="-1"/>
    <n v="-1"/>
    <n v="0"/>
    <n v="0"/>
    <n v="1"/>
    <n v="1"/>
    <n v="1"/>
    <n v="0"/>
    <n v="0"/>
    <n v="0"/>
    <n v="0"/>
  </r>
  <r>
    <x v="20"/>
    <s v="Chapecoense-SC"/>
    <s v="Corinthians"/>
    <n v="0"/>
    <n v="0"/>
    <s v="D"/>
    <x v="37"/>
    <n v="3.1"/>
    <n v="2.25"/>
    <n v="1"/>
    <n v="1"/>
    <n v="0"/>
    <n v="0"/>
    <n v="3.4"/>
    <n v="2.25"/>
    <n v="0"/>
    <n v="0"/>
    <n v="-1"/>
    <n v="-1"/>
    <n v="2.1"/>
    <n v="0"/>
    <n v="0"/>
    <n v="0"/>
    <n v="0"/>
    <n v="0"/>
    <n v="0"/>
    <n v="0"/>
    <n v="0"/>
    <n v="0"/>
  </r>
  <r>
    <x v="21"/>
    <s v="Bragantino"/>
    <s v="Botafogo RJ"/>
    <n v="1"/>
    <n v="2"/>
    <s v="A"/>
    <x v="17"/>
    <n v="3.4"/>
    <n v="4.2"/>
    <n v="0"/>
    <n v="3"/>
    <n v="0.23809523809523808"/>
    <n v="1.075268817204301"/>
    <n v="0"/>
    <n v="12.600000000000001"/>
    <n v="-1"/>
    <n v="1"/>
    <n v="-1"/>
    <n v="3.2"/>
    <n v="-1"/>
    <n v="0"/>
    <n v="0"/>
    <n v="1"/>
    <n v="1"/>
    <n v="1"/>
    <n v="0"/>
    <n v="0"/>
    <n v="0"/>
    <n v="1"/>
  </r>
  <r>
    <x v="21"/>
    <s v="Fluminense"/>
    <s v="Atletico-MG"/>
    <n v="1"/>
    <n v="0"/>
    <s v="H"/>
    <x v="30"/>
    <n v="3.6"/>
    <n v="6"/>
    <n v="3"/>
    <n v="0"/>
    <n v="0.16666666666666666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</r>
  <r>
    <x v="22"/>
    <s v="Sao Paulo"/>
    <s v="Palmeiras"/>
    <n v="0"/>
    <n v="1"/>
    <s v="A"/>
    <x v="18"/>
    <n v="3"/>
    <n v="2.85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</r>
  <r>
    <x v="22"/>
    <s v="Athletico-PR"/>
    <s v="Coritiba"/>
    <n v="2"/>
    <n v="0"/>
    <s v="H"/>
    <x v="15"/>
    <n v="3.1"/>
    <n v="4.75"/>
    <n v="3"/>
    <n v="0"/>
    <n v="0.42105263157894735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</r>
  <r>
    <x v="22"/>
    <s v="Cruzeiro"/>
    <s v="Santos"/>
    <n v="0"/>
    <n v="0"/>
    <s v="D"/>
    <x v="21"/>
    <n v="3.6"/>
    <n v="5.25"/>
    <n v="1"/>
    <n v="1"/>
    <n v="0"/>
    <n v="0"/>
    <n v="1.66"/>
    <n v="5.25"/>
    <n v="0"/>
    <n v="0"/>
    <n v="-1"/>
    <n v="-1"/>
    <n v="2.6"/>
    <n v="0"/>
    <n v="0"/>
    <n v="0"/>
    <n v="0"/>
    <n v="0"/>
    <n v="0"/>
    <n v="0"/>
    <n v="0"/>
    <n v="0"/>
  </r>
  <r>
    <x v="22"/>
    <s v="Remo"/>
    <s v="Bahia"/>
    <n v="4"/>
    <n v="1"/>
    <s v="H"/>
    <x v="0"/>
    <n v="3.2"/>
    <n v="2.35"/>
    <n v="3"/>
    <n v="0"/>
    <n v="1.7021276595744681"/>
    <n v="0.33333333333333331"/>
    <n v="9"/>
    <n v="0"/>
    <n v="3"/>
    <n v="-3"/>
    <n v="2"/>
    <n v="-1"/>
    <n v="-1"/>
    <n v="1"/>
    <n v="0"/>
    <n v="1"/>
    <n v="1"/>
    <n v="1"/>
    <n v="1"/>
    <n v="1"/>
    <n v="0"/>
    <n v="1"/>
  </r>
  <r>
    <x v="22"/>
    <s v="Vasco"/>
    <s v="Gremio"/>
    <n v="2"/>
    <n v="1"/>
    <s v="H"/>
    <x v="38"/>
    <n v="3.5"/>
    <n v="4.33"/>
    <n v="3"/>
    <n v="0"/>
    <n v="0.46189376443418012"/>
    <n v="0.5524861878453039"/>
    <n v="5.43"/>
    <n v="0"/>
    <n v="1"/>
    <n v="-1"/>
    <n v="0.81"/>
    <n v="-1"/>
    <n v="-1"/>
    <n v="0"/>
    <n v="0"/>
    <n v="1"/>
    <n v="1"/>
    <n v="1"/>
    <n v="0"/>
    <n v="0"/>
    <n v="0"/>
    <n v="1"/>
  </r>
  <r>
    <x v="22"/>
    <s v="Internacional"/>
    <s v="Chapecoense-SC"/>
    <n v="2"/>
    <n v="0"/>
    <s v="H"/>
    <x v="39"/>
    <n v="5"/>
    <n v="7.5"/>
    <n v="3"/>
    <n v="0"/>
    <n v="0.26666666666666666"/>
    <n v="0"/>
    <n v="4.1100000000000003"/>
    <n v="0"/>
    <n v="2"/>
    <n v="-2"/>
    <n v="0.37000000000000011"/>
    <n v="-1"/>
    <n v="-1"/>
    <n v="0"/>
    <n v="0"/>
    <n v="1"/>
    <n v="1"/>
    <n v="0"/>
    <n v="0"/>
    <n v="0"/>
    <n v="0"/>
    <n v="0"/>
  </r>
  <r>
    <x v="22"/>
    <s v="Vitoria"/>
    <s v="Mirassol"/>
    <n v="1"/>
    <n v="0"/>
    <s v="H"/>
    <x v="18"/>
    <n v="3"/>
    <n v="2.85"/>
    <n v="3"/>
    <n v="0"/>
    <n v="0.35087719298245612"/>
    <n v="0"/>
    <n v="7.7099999999999991"/>
    <n v="0"/>
    <n v="1"/>
    <n v="-1"/>
    <n v="1.5699999999999998"/>
    <n v="-1"/>
    <n v="-1"/>
    <n v="0"/>
    <n v="0"/>
    <n v="1"/>
    <n v="0"/>
    <n v="0"/>
    <n v="0"/>
    <n v="0"/>
    <n v="0"/>
    <n v="0"/>
  </r>
  <r>
    <x v="22"/>
    <s v="Corinthians"/>
    <s v="Flamengo RJ"/>
    <n v="1"/>
    <n v="1"/>
    <s v="D"/>
    <x v="37"/>
    <n v="3.1"/>
    <n v="2.25"/>
    <n v="1"/>
    <n v="1"/>
    <n v="0.44444444444444442"/>
    <n v="0.29411764705882354"/>
    <n v="3.4"/>
    <n v="2.25"/>
    <n v="0"/>
    <n v="0"/>
    <n v="-1"/>
    <n v="-1"/>
    <n v="2.1"/>
    <n v="0"/>
    <n v="0"/>
    <n v="1"/>
    <n v="1"/>
    <n v="0"/>
    <n v="0"/>
    <n v="0"/>
    <n v="0"/>
    <n v="1"/>
  </r>
  <r>
    <x v="23"/>
    <s v="Athletico-PR"/>
    <s v="Botafogo RJ"/>
    <n v="4"/>
    <n v="1"/>
    <s v="H"/>
    <x v="15"/>
    <n v="3.3"/>
    <n v="3.9"/>
    <n v="3"/>
    <n v="0"/>
    <n v="1.0256410256410258"/>
    <n v="0.52356020942408377"/>
    <n v="5.7299999999999995"/>
    <n v="0"/>
    <n v="3"/>
    <n v="-3"/>
    <n v="0.90999999999999992"/>
    <n v="-1"/>
    <n v="-1"/>
    <n v="1"/>
    <n v="0"/>
    <n v="1"/>
    <n v="1"/>
    <n v="1"/>
    <n v="1"/>
    <n v="1"/>
    <n v="0"/>
    <n v="1"/>
  </r>
  <r>
    <x v="24"/>
    <s v="Botafogo RJ"/>
    <s v="Mirassol"/>
    <n v="3"/>
    <n v="2"/>
    <s v="H"/>
    <x v="28"/>
    <n v="3.3"/>
    <n v="3"/>
    <n v="3"/>
    <n v="0"/>
    <n v="1"/>
    <n v="0.86206896551724144"/>
    <n v="6.9599999999999991"/>
    <n v="0"/>
    <n v="1"/>
    <n v="-1"/>
    <n v="1.3199999999999998"/>
    <n v="-1"/>
    <n v="-1"/>
    <n v="0"/>
    <n v="0"/>
    <n v="1"/>
    <n v="1"/>
    <n v="1"/>
    <n v="1"/>
    <n v="1"/>
    <n v="0"/>
    <n v="1"/>
  </r>
  <r>
    <x v="24"/>
    <s v="Internacional"/>
    <s v="Sao Paulo"/>
    <n v="1"/>
    <n v="1"/>
    <s v="D"/>
    <x v="27"/>
    <n v="3"/>
    <n v="3.6"/>
    <n v="1"/>
    <n v="1"/>
    <n v="0.27777777777777779"/>
    <n v="0.46511627906976744"/>
    <n v="2.15"/>
    <n v="3.6"/>
    <n v="0"/>
    <n v="0"/>
    <n v="-1"/>
    <n v="-1"/>
    <n v="2"/>
    <n v="0"/>
    <n v="0"/>
    <n v="1"/>
    <n v="1"/>
    <n v="0"/>
    <n v="0"/>
    <n v="0"/>
    <n v="0"/>
    <n v="1"/>
  </r>
  <r>
    <x v="25"/>
    <s v="Bahia"/>
    <s v="Athletico-PR"/>
    <n v="3"/>
    <n v="0"/>
    <s v="H"/>
    <x v="40"/>
    <n v="3.6"/>
    <n v="4.75"/>
    <n v="3"/>
    <n v="0"/>
    <n v="0.63157894736842102"/>
    <n v="0"/>
    <n v="5.13"/>
    <n v="0"/>
    <n v="3"/>
    <n v="-3"/>
    <n v="0.71"/>
    <n v="-1"/>
    <n v="-1"/>
    <n v="0"/>
    <n v="0"/>
    <n v="1"/>
    <n v="1"/>
    <n v="1"/>
    <n v="0"/>
    <n v="0"/>
    <n v="0"/>
    <n v="0"/>
  </r>
  <r>
    <x v="25"/>
    <s v="Cruzeiro"/>
    <s v="Vitoria"/>
    <n v="3"/>
    <n v="0"/>
    <s v="H"/>
    <x v="41"/>
    <n v="4.0999999999999996"/>
    <n v="6"/>
    <n v="3"/>
    <n v="0"/>
    <n v="0.5"/>
    <n v="0"/>
    <n v="4.47"/>
    <n v="0"/>
    <n v="3"/>
    <n v="-3"/>
    <n v="0.49"/>
    <n v="-1"/>
    <n v="-1"/>
    <n v="0"/>
    <n v="0"/>
    <n v="1"/>
    <n v="1"/>
    <n v="1"/>
    <n v="0"/>
    <n v="0"/>
    <n v="0"/>
    <n v="0"/>
  </r>
  <r>
    <x v="25"/>
    <s v="Coritiba"/>
    <s v="Vasco"/>
    <n v="1"/>
    <n v="1"/>
    <s v="D"/>
    <x v="42"/>
    <n v="3"/>
    <n v="2.75"/>
    <n v="1"/>
    <n v="1"/>
    <n v="0.36363636363636365"/>
    <n v="0.36363636363636365"/>
    <n v="2.75"/>
    <n v="2.75"/>
    <n v="0"/>
    <n v="0"/>
    <n v="-1"/>
    <n v="-1"/>
    <n v="2"/>
    <n v="0"/>
    <n v="0"/>
    <n v="1"/>
    <n v="1"/>
    <n v="0"/>
    <n v="0"/>
    <n v="0"/>
    <n v="0"/>
    <n v="1"/>
  </r>
  <r>
    <x v="25"/>
    <s v="Fluminense"/>
    <s v="Corinthians"/>
    <n v="3"/>
    <n v="1"/>
    <s v="H"/>
    <x v="38"/>
    <n v="3.3"/>
    <n v="4.75"/>
    <n v="3"/>
    <n v="0"/>
    <n v="0.63157894736842102"/>
    <n v="0.5524861878453039"/>
    <n v="5.43"/>
    <n v="0"/>
    <n v="2"/>
    <n v="-2"/>
    <n v="0.81"/>
    <n v="-1"/>
    <n v="-1"/>
    <n v="0"/>
    <n v="0"/>
    <n v="1"/>
    <n v="1"/>
    <n v="1"/>
    <n v="1"/>
    <n v="0"/>
    <n v="0"/>
    <n v="1"/>
  </r>
  <r>
    <x v="25"/>
    <s v="Chapecoense-SC"/>
    <s v="Atletico-MG"/>
    <n v="0"/>
    <n v="4"/>
    <s v="A"/>
    <x v="37"/>
    <n v="3.2"/>
    <n v="2.2000000000000002"/>
    <n v="0"/>
    <n v="3"/>
    <n v="0"/>
    <n v="1.1764705882352942"/>
    <n v="0"/>
    <n v="6.6000000000000005"/>
    <n v="-4"/>
    <n v="4"/>
    <n v="-1"/>
    <n v="1.2000000000000002"/>
    <n v="-1"/>
    <n v="0"/>
    <n v="1"/>
    <n v="1"/>
    <n v="1"/>
    <n v="1"/>
    <n v="1"/>
    <n v="0"/>
    <n v="0"/>
    <n v="0"/>
  </r>
  <r>
    <x v="25"/>
    <s v="Santos"/>
    <s v="Remo"/>
    <n v="2"/>
    <n v="0"/>
    <s v="H"/>
    <x v="30"/>
    <n v="3.7"/>
    <n v="5.75"/>
    <n v="3"/>
    <n v="0"/>
    <n v="0.34782608695652173"/>
    <n v="0"/>
    <n v="4.83"/>
    <n v="0"/>
    <n v="2"/>
    <n v="-2"/>
    <n v="0.6100000000000001"/>
    <n v="-1"/>
    <n v="-1"/>
    <n v="0"/>
    <n v="0"/>
    <n v="1"/>
    <n v="1"/>
    <n v="0"/>
    <n v="0"/>
    <n v="0"/>
    <n v="0"/>
    <n v="0"/>
  </r>
  <r>
    <x v="26"/>
    <s v="Bragantino"/>
    <s v="Flamengo RJ"/>
    <n v="3"/>
    <n v="0"/>
    <s v="H"/>
    <x v="43"/>
    <n v="3.2"/>
    <n v="2.0499999999999998"/>
    <n v="3"/>
    <n v="0"/>
    <n v="1.4634146341463417"/>
    <n v="0"/>
    <n v="11.399999999999999"/>
    <n v="0"/>
    <n v="3"/>
    <n v="-3"/>
    <n v="2.8"/>
    <n v="-1"/>
    <n v="-1"/>
    <n v="0"/>
    <n v="0"/>
    <n v="1"/>
    <n v="1"/>
    <n v="1"/>
    <n v="0"/>
    <n v="0"/>
    <n v="0"/>
    <n v="0"/>
  </r>
  <r>
    <x v="26"/>
    <s v="Palmeiras"/>
    <s v="Gremio"/>
    <n v="2"/>
    <n v="1"/>
    <s v="H"/>
    <x v="33"/>
    <n v="4.33"/>
    <n v="6"/>
    <n v="3"/>
    <n v="0"/>
    <n v="0.33333333333333331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</r>
  <r>
    <x v="27"/>
    <s v="Sao Paulo"/>
    <s v="Cruzeiro"/>
    <n v="4"/>
    <n v="1"/>
    <s v="H"/>
    <x v="27"/>
    <n v="3.2"/>
    <n v="3.5"/>
    <n v="3"/>
    <n v="0"/>
    <n v="1.1428571428571428"/>
    <n v="0.46511627906976744"/>
    <n v="6.4499999999999993"/>
    <n v="0"/>
    <n v="3"/>
    <n v="-3"/>
    <n v="1.1499999999999999"/>
    <n v="-1"/>
    <n v="-1"/>
    <n v="1"/>
    <n v="0"/>
    <n v="1"/>
    <n v="1"/>
    <n v="1"/>
    <n v="1"/>
    <n v="1"/>
    <n v="0"/>
    <n v="1"/>
  </r>
  <r>
    <x v="28"/>
    <s v="Coritiba"/>
    <s v="Fluminense"/>
    <n v="1"/>
    <n v="1"/>
    <s v="D"/>
    <x v="10"/>
    <n v="3"/>
    <n v="2.5"/>
    <n v="1"/>
    <n v="1"/>
    <n v="0.4"/>
    <n v="0.32258064516129031"/>
    <n v="3.1"/>
    <n v="2.5"/>
    <n v="0"/>
    <n v="0"/>
    <n v="-1"/>
    <n v="-1"/>
    <n v="2"/>
    <n v="0"/>
    <n v="0"/>
    <n v="1"/>
    <n v="1"/>
    <n v="0"/>
    <n v="0"/>
    <n v="0"/>
    <n v="0"/>
    <n v="1"/>
  </r>
  <r>
    <x v="28"/>
    <s v="Vasco"/>
    <s v="Botafogo RJ"/>
    <n v="1"/>
    <n v="2"/>
    <s v="A"/>
    <x v="15"/>
    <n v="3.4"/>
    <n v="4"/>
    <n v="0"/>
    <n v="3"/>
    <n v="0.25"/>
    <n v="1.0471204188481675"/>
    <n v="0"/>
    <n v="12"/>
    <n v="-1"/>
    <n v="1"/>
    <n v="-1"/>
    <n v="3"/>
    <n v="-1"/>
    <n v="0"/>
    <n v="0"/>
    <n v="1"/>
    <n v="1"/>
    <n v="1"/>
    <n v="0"/>
    <n v="0"/>
    <n v="0"/>
    <n v="1"/>
  </r>
  <r>
    <x v="28"/>
    <s v="Chapecoense-SC"/>
    <s v="Vitoria"/>
    <n v="1"/>
    <n v="1"/>
    <s v="D"/>
    <x v="20"/>
    <n v="3.2"/>
    <n v="2.75"/>
    <n v="1"/>
    <n v="1"/>
    <n v="0.36363636363636365"/>
    <n v="0.4"/>
    <n v="2.5"/>
    <n v="2.75"/>
    <n v="0"/>
    <n v="0"/>
    <n v="-1"/>
    <n v="-1"/>
    <n v="2.2000000000000002"/>
    <n v="0"/>
    <n v="0"/>
    <n v="1"/>
    <n v="1"/>
    <n v="0"/>
    <n v="0"/>
    <n v="0"/>
    <n v="0"/>
    <n v="1"/>
  </r>
  <r>
    <x v="28"/>
    <s v="Atletico-MG"/>
    <s v="Athletico-PR"/>
    <n v="2"/>
    <n v="1"/>
    <s v="H"/>
    <x v="22"/>
    <n v="3.2"/>
    <n v="3.3"/>
    <n v="3"/>
    <n v="0"/>
    <n v="0.606060606060606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</r>
  <r>
    <x v="28"/>
    <s v="Flamengo RJ"/>
    <s v="Santos"/>
    <n v="3"/>
    <n v="1"/>
    <s v="H"/>
    <x v="11"/>
    <n v="4.75"/>
    <n v="11"/>
    <n v="3"/>
    <n v="0"/>
    <n v="0.27272727272727271"/>
    <n v="0.76923076923076916"/>
    <n v="3.9000000000000004"/>
    <n v="0"/>
    <n v="2"/>
    <n v="-2"/>
    <n v="0.30000000000000004"/>
    <n v="-1"/>
    <n v="-1"/>
    <n v="0"/>
    <n v="0"/>
    <n v="1"/>
    <n v="1"/>
    <n v="1"/>
    <n v="1"/>
    <n v="0"/>
    <n v="0"/>
    <n v="1"/>
  </r>
  <r>
    <x v="28"/>
    <s v="Bahia"/>
    <s v="Palmeiras"/>
    <n v="1"/>
    <n v="2"/>
    <s v="A"/>
    <x v="20"/>
    <n v="3.1"/>
    <n v="2.85"/>
    <n v="0"/>
    <n v="3"/>
    <n v="0.35087719298245612"/>
    <n v="0.8"/>
    <n v="0"/>
    <n v="8.5500000000000007"/>
    <n v="-1"/>
    <n v="1"/>
    <n v="-1"/>
    <n v="1.85"/>
    <n v="-1"/>
    <n v="0"/>
    <n v="0"/>
    <n v="1"/>
    <n v="1"/>
    <n v="1"/>
    <n v="0"/>
    <n v="0"/>
    <n v="0"/>
    <n v="1"/>
  </r>
  <r>
    <x v="28"/>
    <s v="Corinthians"/>
    <s v="Internacional"/>
    <n v="0"/>
    <n v="1"/>
    <s v="A"/>
    <x v="22"/>
    <n v="3"/>
    <n v="3.7"/>
    <n v="0"/>
    <n v="3"/>
    <n v="0"/>
    <n v="0.47619047619047616"/>
    <n v="0"/>
    <n v="11.100000000000001"/>
    <n v="-1"/>
    <n v="1"/>
    <n v="-1"/>
    <n v="2.7"/>
    <n v="-1"/>
    <n v="0"/>
    <n v="0"/>
    <n v="1"/>
    <n v="0"/>
    <n v="0"/>
    <n v="0"/>
    <n v="0"/>
    <n v="0"/>
    <n v="0"/>
  </r>
  <r>
    <x v="29"/>
    <s v="Mirassol"/>
    <s v="Bragantino"/>
    <n v="0"/>
    <n v="1"/>
    <s v="A"/>
    <x v="22"/>
    <n v="3.3"/>
    <n v="3.6"/>
    <n v="0"/>
    <n v="3"/>
    <n v="0"/>
    <n v="0.47619047619047616"/>
    <n v="0"/>
    <n v="10.8"/>
    <n v="-1"/>
    <n v="1"/>
    <n v="-1"/>
    <n v="2.6"/>
    <n v="-1"/>
    <n v="0"/>
    <n v="0"/>
    <n v="1"/>
    <n v="0"/>
    <n v="0"/>
    <n v="0"/>
    <n v="0"/>
    <n v="0"/>
    <n v="0"/>
  </r>
  <r>
    <x v="29"/>
    <s v="Gremio"/>
    <s v="Remo"/>
    <n v="0"/>
    <n v="0"/>
    <s v="D"/>
    <x v="44"/>
    <n v="3.7"/>
    <n v="4.75"/>
    <n v="1"/>
    <n v="1"/>
    <n v="0"/>
    <n v="0"/>
    <n v="1.68"/>
    <n v="4.75"/>
    <n v="0"/>
    <n v="0"/>
    <n v="-1"/>
    <n v="-1"/>
    <n v="2.7"/>
    <n v="0"/>
    <n v="0"/>
    <n v="0"/>
    <n v="0"/>
    <n v="0"/>
    <n v="0"/>
    <n v="0"/>
    <n v="0"/>
    <n v="0"/>
  </r>
  <r>
    <x v="30"/>
    <s v="Remo"/>
    <s v="Vasco"/>
    <n v="1"/>
    <n v="1"/>
    <s v="D"/>
    <x v="32"/>
    <n v="3.2"/>
    <n v="2.5"/>
    <n v="1"/>
    <n v="1"/>
    <n v="0.4"/>
    <n v="0.35087719298245612"/>
    <n v="2.85"/>
    <n v="2.5"/>
    <n v="0"/>
    <n v="0"/>
    <n v="-1"/>
    <n v="-1"/>
    <n v="2.2000000000000002"/>
    <n v="0"/>
    <n v="0"/>
    <n v="1"/>
    <n v="1"/>
    <n v="0"/>
    <n v="0"/>
    <n v="0"/>
    <n v="0"/>
    <n v="1"/>
  </r>
  <r>
    <x v="30"/>
    <s v="Vitoria"/>
    <s v="Sao Paulo"/>
    <n v="2"/>
    <n v="0"/>
    <s v="H"/>
    <x v="0"/>
    <n v="3"/>
    <n v="2.5"/>
    <n v="3"/>
    <n v="0"/>
    <n v="0.8"/>
    <n v="0"/>
    <n v="9"/>
    <n v="0"/>
    <n v="2"/>
    <n v="-2"/>
    <n v="2"/>
    <n v="-1"/>
    <n v="-1"/>
    <n v="0"/>
    <n v="0"/>
    <n v="1"/>
    <n v="1"/>
    <n v="0"/>
    <n v="0"/>
    <n v="0"/>
    <n v="0"/>
    <n v="0"/>
  </r>
  <r>
    <x v="30"/>
    <s v="Mirassol"/>
    <s v="Bahia"/>
    <n v="1"/>
    <n v="2"/>
    <s v="A"/>
    <x v="27"/>
    <n v="3.3"/>
    <n v="3.4"/>
    <n v="0"/>
    <n v="3"/>
    <n v="0.29411764705882354"/>
    <n v="0.93023255813953487"/>
    <n v="0"/>
    <n v="10.199999999999999"/>
    <n v="-1"/>
    <n v="1"/>
    <n v="-1"/>
    <n v="2.4"/>
    <n v="-1"/>
    <n v="0"/>
    <n v="0"/>
    <n v="1"/>
    <n v="1"/>
    <n v="1"/>
    <n v="0"/>
    <n v="0"/>
    <n v="0"/>
    <n v="1"/>
  </r>
  <r>
    <x v="31"/>
    <s v="Santos"/>
    <s v="Atletico-MG"/>
    <n v="1"/>
    <n v="0"/>
    <s v="H"/>
    <x v="22"/>
    <n v="3.2"/>
    <n v="3.5"/>
    <n v="3"/>
    <n v="0"/>
    <n v="0.2857142857142857"/>
    <n v="0"/>
    <n v="6.3000000000000007"/>
    <n v="0"/>
    <n v="1"/>
    <n v="-1"/>
    <n v="1.1000000000000001"/>
    <n v="-1"/>
    <n v="-1"/>
    <n v="0"/>
    <n v="0"/>
    <n v="1"/>
    <n v="0"/>
    <n v="0"/>
    <n v="0"/>
    <n v="0"/>
    <n v="0"/>
    <n v="0"/>
  </r>
  <r>
    <x v="31"/>
    <s v="Internacional"/>
    <s v="Gremio"/>
    <n v="0"/>
    <n v="0"/>
    <s v="D"/>
    <x v="40"/>
    <n v="3.6"/>
    <n v="4.75"/>
    <n v="1"/>
    <n v="1"/>
    <n v="0"/>
    <n v="0"/>
    <n v="1.71"/>
    <n v="4.75"/>
    <n v="0"/>
    <n v="0"/>
    <n v="-1"/>
    <n v="-1"/>
    <n v="2.6"/>
    <n v="0"/>
    <n v="0"/>
    <n v="0"/>
    <n v="0"/>
    <n v="0"/>
    <n v="0"/>
    <n v="0"/>
    <n v="0"/>
    <n v="0"/>
  </r>
  <r>
    <x v="31"/>
    <s v="Athletico-PR"/>
    <s v="Chapecoense-SC"/>
    <n v="2"/>
    <n v="0"/>
    <s v="H"/>
    <x v="26"/>
    <n v="4.0999999999999996"/>
    <n v="5.75"/>
    <n v="3"/>
    <n v="0"/>
    <n v="0.34782608695652173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</r>
  <r>
    <x v="31"/>
    <s v="Botafogo RJ"/>
    <s v="Coritiba"/>
    <n v="2"/>
    <n v="2"/>
    <s v="D"/>
    <x v="17"/>
    <n v="3.4"/>
    <n v="4.2"/>
    <n v="1"/>
    <n v="1"/>
    <n v="0.47619047619047616"/>
    <n v="1.075268817204301"/>
    <n v="1.86"/>
    <n v="4.2"/>
    <n v="0"/>
    <n v="0"/>
    <n v="-1"/>
    <n v="-1"/>
    <n v="2.4"/>
    <n v="0"/>
    <n v="0"/>
    <n v="1"/>
    <n v="1"/>
    <n v="1"/>
    <n v="1"/>
    <n v="0"/>
    <n v="0"/>
    <n v="1"/>
  </r>
  <r>
    <x v="31"/>
    <s v="Fluminense"/>
    <s v="Flamengo RJ"/>
    <n v="1"/>
    <n v="2"/>
    <s v="A"/>
    <x v="45"/>
    <n v="3.1"/>
    <n v="2.35"/>
    <n v="0"/>
    <n v="3"/>
    <n v="0.42553191489361702"/>
    <n v="0.625"/>
    <n v="0"/>
    <n v="7.0500000000000007"/>
    <n v="-1"/>
    <n v="1"/>
    <n v="-1"/>
    <n v="1.35"/>
    <n v="-1"/>
    <n v="0"/>
    <n v="0"/>
    <n v="1"/>
    <n v="1"/>
    <n v="1"/>
    <n v="0"/>
    <n v="0"/>
    <n v="0"/>
    <n v="1"/>
  </r>
  <r>
    <x v="31"/>
    <s v="Corinthians"/>
    <s v="Palmeiras"/>
    <n v="0"/>
    <n v="0"/>
    <s v="D"/>
    <x v="46"/>
    <n v="3"/>
    <n v="2.85"/>
    <n v="1"/>
    <n v="1"/>
    <n v="0"/>
    <n v="0"/>
    <n v="2.65"/>
    <n v="2.85"/>
    <n v="0"/>
    <n v="0"/>
    <n v="-1"/>
    <n v="-1"/>
    <n v="2"/>
    <n v="0"/>
    <n v="0"/>
    <n v="0"/>
    <n v="0"/>
    <n v="0"/>
    <n v="0"/>
    <n v="0"/>
    <n v="0"/>
    <n v="0"/>
  </r>
  <r>
    <x v="31"/>
    <s v="Cruzeiro"/>
    <s v="Bragantino"/>
    <n v="2"/>
    <n v="1"/>
    <s v="H"/>
    <x v="2"/>
    <n v="3.4"/>
    <n v="3.9"/>
    <n v="3"/>
    <n v="0"/>
    <n v="0.51282051282051289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</r>
  <r>
    <x v="32"/>
    <s v="Chapecoense-SC"/>
    <s v="Botafogo RJ"/>
    <n v="1"/>
    <n v="4"/>
    <s v="A"/>
    <x v="6"/>
    <n v="3.6"/>
    <n v="1.96"/>
    <n v="0"/>
    <n v="3"/>
    <n v="0.51020408163265307"/>
    <n v="1.0810810810810809"/>
    <n v="0"/>
    <n v="5.88"/>
    <n v="-3"/>
    <n v="3"/>
    <n v="-1"/>
    <n v="0.96"/>
    <n v="-1"/>
    <n v="0"/>
    <n v="1"/>
    <n v="1"/>
    <n v="1"/>
    <n v="1"/>
    <n v="1"/>
    <n v="1"/>
    <n v="0"/>
    <n v="1"/>
  </r>
  <r>
    <x v="32"/>
    <s v="Vasco"/>
    <s v="Sao Paulo"/>
    <n v="2"/>
    <n v="1"/>
    <s v="H"/>
    <x v="8"/>
    <n v="3.3"/>
    <n v="3.6"/>
    <n v="3"/>
    <n v="0"/>
    <n v="0.55555555555555558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</r>
  <r>
    <x v="33"/>
    <s v="Vitoria"/>
    <s v="Corinthians"/>
    <n v="0"/>
    <n v="0"/>
    <s v="D"/>
    <x v="18"/>
    <n v="3"/>
    <n v="3"/>
    <n v="1"/>
    <n v="1"/>
    <n v="0"/>
    <n v="0"/>
    <n v="2.57"/>
    <n v="3"/>
    <n v="0"/>
    <n v="0"/>
    <n v="-1"/>
    <n v="-1"/>
    <n v="2"/>
    <n v="0"/>
    <n v="0"/>
    <n v="0"/>
    <n v="0"/>
    <n v="0"/>
    <n v="0"/>
    <n v="0"/>
    <n v="0"/>
    <n v="0"/>
  </r>
  <r>
    <x v="33"/>
    <s v="Cruzeiro"/>
    <s v="Gremio"/>
    <n v="2"/>
    <n v="0"/>
    <s v="H"/>
    <x v="23"/>
    <n v="3.8"/>
    <n v="5.25"/>
    <n v="3"/>
    <n v="0"/>
    <n v="0.38095238095238093"/>
    <n v="0"/>
    <n v="4.8600000000000003"/>
    <n v="0"/>
    <n v="2"/>
    <n v="-2"/>
    <n v="0.62000000000000011"/>
    <n v="-1"/>
    <n v="-1"/>
    <n v="0"/>
    <n v="0"/>
    <n v="1"/>
    <n v="1"/>
    <n v="0"/>
    <n v="0"/>
    <n v="0"/>
    <n v="0"/>
    <n v="0"/>
  </r>
  <r>
    <x v="33"/>
    <s v="Internacional"/>
    <s v="Mirassol"/>
    <n v="1"/>
    <n v="2"/>
    <s v="A"/>
    <x v="17"/>
    <n v="3.4"/>
    <n v="4.0999999999999996"/>
    <n v="0"/>
    <n v="3"/>
    <n v="0.24390243902439027"/>
    <n v="1.075268817204301"/>
    <n v="0"/>
    <n v="12.299999999999999"/>
    <n v="-1"/>
    <n v="1"/>
    <n v="-1"/>
    <n v="3.0999999999999996"/>
    <n v="-1"/>
    <n v="0"/>
    <n v="0"/>
    <n v="1"/>
    <n v="1"/>
    <n v="1"/>
    <n v="0"/>
    <n v="0"/>
    <n v="0"/>
    <n v="1"/>
  </r>
  <r>
    <x v="33"/>
    <s v="Coritiba"/>
    <s v="Atletico-MG"/>
    <n v="2"/>
    <n v="0"/>
    <s v="H"/>
    <x v="5"/>
    <n v="3.2"/>
    <n v="3.4"/>
    <n v="3"/>
    <n v="0"/>
    <n v="0.58823529411764708"/>
    <n v="0"/>
    <n v="6.6000000000000005"/>
    <n v="0"/>
    <n v="2"/>
    <n v="-2"/>
    <n v="1.2000000000000002"/>
    <n v="-1"/>
    <n v="-1"/>
    <n v="0"/>
    <n v="0"/>
    <n v="1"/>
    <n v="1"/>
    <n v="0"/>
    <n v="0"/>
    <n v="0"/>
    <n v="0"/>
    <n v="0"/>
  </r>
  <r>
    <x v="33"/>
    <s v="Santos"/>
    <s v="Fluminense"/>
    <n v="2"/>
    <n v="3"/>
    <s v="A"/>
    <x v="27"/>
    <n v="3.2"/>
    <n v="3.5"/>
    <n v="0"/>
    <n v="3"/>
    <n v="0.5714285714285714"/>
    <n v="1.3953488372093024"/>
    <n v="0"/>
    <n v="10.5"/>
    <n v="-1"/>
    <n v="1"/>
    <n v="-1"/>
    <n v="2.5"/>
    <n v="-1"/>
    <n v="0"/>
    <n v="0"/>
    <n v="1"/>
    <n v="1"/>
    <n v="1"/>
    <n v="1"/>
    <n v="1"/>
    <n v="0"/>
    <n v="1"/>
  </r>
  <r>
    <x v="33"/>
    <s v="Bragantino"/>
    <s v="Remo"/>
    <n v="4"/>
    <n v="2"/>
    <s v="H"/>
    <x v="41"/>
    <n v="3.9"/>
    <n v="6.5"/>
    <n v="3"/>
    <n v="0"/>
    <n v="0.61538461538461542"/>
    <n v="1.3422818791946309"/>
    <n v="4.47"/>
    <n v="0"/>
    <n v="2"/>
    <n v="-2"/>
    <n v="0.49"/>
    <n v="-1"/>
    <n v="-1"/>
    <n v="1"/>
    <n v="0"/>
    <n v="1"/>
    <n v="1"/>
    <n v="1"/>
    <n v="1"/>
    <n v="1"/>
    <n v="1"/>
    <n v="1"/>
  </r>
  <r>
    <x v="33"/>
    <s v="Palmeiras"/>
    <s v="Athletico-PR"/>
    <n v="1"/>
    <n v="0"/>
    <s v="H"/>
    <x v="47"/>
    <n v="3.6"/>
    <n v="6.5"/>
    <n v="3"/>
    <n v="0"/>
    <n v="0.15384615384615385"/>
    <n v="0"/>
    <n v="4.68"/>
    <n v="0"/>
    <n v="1"/>
    <n v="-1"/>
    <n v="0.56000000000000005"/>
    <n v="-1"/>
    <n v="-1"/>
    <n v="0"/>
    <n v="0"/>
    <n v="1"/>
    <n v="0"/>
    <n v="0"/>
    <n v="0"/>
    <n v="0"/>
    <n v="0"/>
    <n v="0"/>
  </r>
  <r>
    <x v="33"/>
    <s v="Flamengo RJ"/>
    <s v="Bahia"/>
    <n v="2"/>
    <n v="0"/>
    <s v="H"/>
    <x v="48"/>
    <n v="4.5"/>
    <n v="6.5"/>
    <n v="3"/>
    <n v="0"/>
    <n v="0.30769230769230771"/>
    <n v="0"/>
    <n v="4.26"/>
    <n v="0"/>
    <n v="2"/>
    <n v="-2"/>
    <n v="0.41999999999999993"/>
    <n v="-1"/>
    <n v="-1"/>
    <n v="0"/>
    <n v="0"/>
    <n v="1"/>
    <n v="1"/>
    <n v="0"/>
    <n v="0"/>
    <n v="0"/>
    <n v="0"/>
    <n v="0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49"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x v="0"/>
    <x v="0"/>
    <x v="0"/>
    <n v="2"/>
    <n v="2"/>
    <s v="D"/>
    <x v="0"/>
    <n v="3.1"/>
    <x v="0"/>
    <n v="1"/>
    <n v="1"/>
    <n v="0.8"/>
    <n v="0.66666666666666663"/>
    <n v="3"/>
    <n v="2.5"/>
    <n v="0"/>
    <n v="0"/>
    <n v="-1"/>
    <n v="-1"/>
    <n v="2.1"/>
    <n v="0"/>
    <n v="0"/>
    <n v="1"/>
    <n v="1"/>
    <n v="1"/>
    <n v="1"/>
    <n v="0"/>
    <n v="0"/>
    <n v="1"/>
    <s v="JAN"/>
    <x v="0"/>
    <n v="0"/>
    <n v="1"/>
    <n v="0"/>
    <s v="2,41-3,0"/>
    <s v="2,41-3,0"/>
    <n v="0.33333333333333331"/>
    <n v="0.32258064516129031"/>
    <n v="0.4"/>
    <n v="-5.5913978494623651E-2"/>
    <n v="0.16666666666666666"/>
    <n v="0.2"/>
    <s v="Athletico-PR"/>
    <n v="2.5"/>
    <n v="0.66666666666666663"/>
    <n v="1.2247448713915889"/>
    <n v="1.2110601416389968"/>
    <n v="0.4898979485566356"/>
    <n v="1.8165902124584952"/>
    <s v="Athletico-PR"/>
    <n v="0.16666666666666666"/>
    <n v="0"/>
    <n v="0"/>
    <n v="0"/>
    <s v="Athletico-PR"/>
    <n v="2"/>
    <n v="0.83333333333333337"/>
    <n v="1.2649110640673518"/>
    <n v="0.752772652709081"/>
    <n v="0.63245553203367588"/>
    <n v="0.90332718325089711"/>
    <s v="Athletico-PR"/>
    <n v="0.66666666666666663"/>
    <n v="1.6666666666666667"/>
    <n v="0.51639777949432231"/>
    <n v="1.2110601416389966"/>
    <n v="0.77459666924148352"/>
    <n v="0.72663608498339793"/>
    <s v="Athletico-PR"/>
    <n v="1.2445366323431364"/>
    <n v="0.8000914390216024"/>
    <n v="0.63905055346342587"/>
    <n v="1.0481395522946768"/>
    <n v="0.60548607887971051"/>
    <n v="-0.24804811327307441"/>
    <s v="Athletico-PR"/>
    <n v="1.9733333333333334"/>
    <n v="4.5166666666666666"/>
    <n v="0.37961383887664901"/>
    <n v="1.1210114480533477"/>
    <n v="0.19237187780911266"/>
    <n v="0.24819441654317662"/>
    <s v="Athletico-PR"/>
    <n v="1"/>
    <n v="1"/>
    <n v="0.83333333333333337"/>
    <n v="0.66666666666666663"/>
    <n v="0.5"/>
    <n v="0.5"/>
    <n v="0.16666666666666666"/>
    <n v="0.16666666666666666"/>
    <n v="0.16666666666666666"/>
    <n v="0.16666666666666666"/>
    <n v="0"/>
    <n v="0"/>
    <s v="Athletico-PR"/>
    <n v="0.5"/>
    <n v="0.5"/>
    <s v="Athletico-PR"/>
    <n v="0.4750125499553417"/>
    <n v="0.43353757189804409"/>
    <n v="0.33317510664009814"/>
    <n v="0.41358329988006054"/>
    <n v="0.7014027454041406"/>
    <n v="0.95397337321740538"/>
    <s v="Athletico-PR"/>
    <n v="0.3742632776992425"/>
    <n v="0.48685232895759212"/>
    <n v="0.31508167354603622"/>
    <n v="0.40305061589849173"/>
    <n v="0.84187173126623305"/>
    <n v="0.82787036628020316"/>
    <s v="Athletico-PR"/>
    <n v="4.9333333333333336"/>
    <n v="3.0111111111111111"/>
    <s v="Athletico-PR"/>
    <n v="3.2699999999999996"/>
    <n v="-2.1"/>
    <n v="-6"/>
    <n v="-2.7"/>
  </r>
  <r>
    <x v="0"/>
    <x v="1"/>
    <x v="1"/>
    <n v="0"/>
    <n v="1"/>
    <s v="A"/>
    <x v="1"/>
    <n v="2.82"/>
    <x v="1"/>
    <n v="0"/>
    <n v="3"/>
    <n v="0"/>
    <n v="0.37037037037037035"/>
    <n v="0"/>
    <n v="8.4599999999999991"/>
    <n v="-1"/>
    <n v="1"/>
    <n v="-1"/>
    <n v="1.8199999999999998"/>
    <n v="-1"/>
    <n v="0"/>
    <n v="0"/>
    <n v="1"/>
    <n v="0"/>
    <n v="0"/>
    <n v="0"/>
    <n v="0"/>
    <n v="0"/>
    <n v="0"/>
    <s v="JAN"/>
    <x v="1"/>
    <n v="0"/>
    <n v="0"/>
    <n v="1"/>
    <s v="2,41-3,0"/>
    <s v="2,41-3,0"/>
    <n v="0.37037037037037035"/>
    <n v="0.3546099290780142"/>
    <n v="0.3546099290780142"/>
    <n v="-7.9590228526398743E-2"/>
    <n v="1"/>
    <n v="0.3546099290780142"/>
    <s v="Atletico-MG"/>
    <n v="2.2000000000000002"/>
    <n v="0.42857142857142855"/>
    <n v="1.0954451150103324"/>
    <n v="1.1338934190276817"/>
    <n v="0.49792959773196921"/>
    <n v="2.6457513110645907"/>
    <s v="Atletico-MG"/>
    <n v="0"/>
    <n v="0"/>
    <n v="0.14285714285714285"/>
    <n v="0"/>
    <s v="Atletico-MG"/>
    <n v="1.8"/>
    <n v="0.7142857142857143"/>
    <n v="0.83666002653407567"/>
    <n v="1.4960264830861913"/>
    <n v="0.46481112585226425"/>
    <n v="2.0944370763206677"/>
    <s v="Atletico-MG"/>
    <n v="1.2"/>
    <n v="1.2857142857142858"/>
    <n v="1.3038404810405297"/>
    <n v="0.75592894601845451"/>
    <n v="1.0865337342004415"/>
    <n v="0.58794473579213125"/>
    <s v="Atletico-MG"/>
    <n v="1.1200829691088228"/>
    <n v="0.6857926620185163"/>
    <n v="1.1502909962341668"/>
    <n v="0.80856479748446497"/>
    <n v="-3.0208027125343984E-2"/>
    <n v="-0.12277213546594867"/>
    <s v="Atletico-MG"/>
    <n v="2.1639999999999997"/>
    <n v="3.6785714285714279"/>
    <n v="0.57308812585849389"/>
    <n v="1.1582519669949309"/>
    <n v="0.26482815427841683"/>
    <n v="0.31486461238697155"/>
    <s v="Atletico-MG"/>
    <n v="1"/>
    <n v="1"/>
    <n v="0.6"/>
    <n v="0.5714285714285714"/>
    <n v="0.6"/>
    <n v="0.2857142857142857"/>
    <n v="0.4"/>
    <n v="0.14285714285714285"/>
    <n v="0.2"/>
    <n v="0"/>
    <n v="0.2"/>
    <n v="0"/>
    <s v="Atletico-MG"/>
    <n v="0.6"/>
    <n v="0.14285714285714285"/>
    <s v="Atletico-MG"/>
    <n v="0.47408970467794004"/>
    <n v="0.23609443777511002"/>
    <n v="0.22530835931776419"/>
    <n v="0.45104625220310357"/>
    <n v="0.47524415125365632"/>
    <n v="1.9104484478907728"/>
    <s v="Atletico-MG"/>
    <n v="0.31469271413076905"/>
    <n v="0.77253628724216961"/>
    <n v="0.14296173512206778"/>
    <n v="0.39194646907252156"/>
    <n v="0.45428994286363017"/>
    <n v="0.50735023784022815"/>
    <s v="Atletico-MG"/>
    <n v="4.7607999999999997"/>
    <n v="1.5765306122448977"/>
    <s v="Atletico-MG"/>
    <n v="1.4099999999999997"/>
    <n v="-4.8"/>
    <n v="2.5999999999999996"/>
    <n v="-7"/>
  </r>
  <r>
    <x v="0"/>
    <x v="2"/>
    <x v="2"/>
    <n v="0"/>
    <n v="1"/>
    <s v="A"/>
    <x v="2"/>
    <n v="3.25"/>
    <x v="2"/>
    <n v="0"/>
    <n v="3"/>
    <n v="0"/>
    <n v="0.51020408163265307"/>
    <n v="0"/>
    <n v="11.7"/>
    <n v="-1"/>
    <n v="1"/>
    <n v="-1"/>
    <n v="2.9"/>
    <n v="-1"/>
    <n v="0"/>
    <n v="0"/>
    <n v="1"/>
    <n v="0"/>
    <n v="0"/>
    <n v="0"/>
    <n v="0"/>
    <n v="0"/>
    <n v="0"/>
    <s v="JAN"/>
    <x v="2"/>
    <n v="0"/>
    <n v="0"/>
    <n v="1"/>
    <s v="1,71-2,0"/>
    <s v="3,01-4.0"/>
    <n v="0.51020408163265307"/>
    <n v="0.30769230769230771"/>
    <n v="0.25641025641025644"/>
    <n v="-7.430664573521728E-2"/>
    <n v="1"/>
    <n v="0.25641025641025644"/>
    <s v="Bahia"/>
    <n v="1.6"/>
    <n v="2"/>
    <n v="1.3416407864998738"/>
    <n v="1.5491933384829668"/>
    <n v="0.83852549156242107"/>
    <n v="0.7745966692414834"/>
    <s v="Bahia"/>
    <n v="0"/>
    <n v="0"/>
    <n v="0"/>
    <n v="0.16666666666666666"/>
    <s v="Bahia"/>
    <n v="1.6"/>
    <n v="1.1666666666666667"/>
    <n v="0.89442719099991574"/>
    <n v="0.75277265270908111"/>
    <n v="0.55901699437494734"/>
    <n v="0.64523370232206945"/>
    <s v="Bahia"/>
    <n v="0.8"/>
    <n v="1.3333333333333333"/>
    <n v="0.83666002653407556"/>
    <n v="1.505545305418162"/>
    <n v="1.0458250331675945"/>
    <n v="1.1291589790636216"/>
    <s v="Bahia"/>
    <n v="0.99562930587450926"/>
    <n v="1.1201280146302435"/>
    <n v="0.7668606641561112"/>
    <n v="0.83851164183574134"/>
    <n v="0.22876864171839806"/>
    <n v="0.28161637279450213"/>
    <s v="Bahia"/>
    <n v="1.9079999999999999"/>
    <n v="3.813333333333333"/>
    <n v="0.36162134892729997"/>
    <n v="1.4616657164573128"/>
    <n v="0.1895290088717505"/>
    <n v="0.38330394662342121"/>
    <s v="Bahia"/>
    <n v="1"/>
    <n v="1"/>
    <n v="1"/>
    <n v="0.66666666666666663"/>
    <n v="0.4"/>
    <n v="0.5"/>
    <n v="0"/>
    <n v="0.16666666666666666"/>
    <n v="0"/>
    <n v="0.16666666666666666"/>
    <n v="0"/>
    <n v="0"/>
    <s v="Bahia"/>
    <n v="0.6"/>
    <n v="0.5"/>
    <s v="Bahia"/>
    <n v="0.36633249791144523"/>
    <n v="0.53256401221517502"/>
    <n v="0.1655110764441656"/>
    <n v="0.3551297200870831"/>
    <n v="0.45180560662181585"/>
    <n v="0.66683011232760114"/>
    <s v="Bahia"/>
    <n v="0.39921173390428261"/>
    <n v="0.38039471096690153"/>
    <n v="0.15991301978631853"/>
    <n v="0.32134457795948462"/>
    <n v="0.4005719426690505"/>
    <n v="0.84476615656058662"/>
    <s v="Bahia"/>
    <n v="3.0528"/>
    <n v="7.626666666666666"/>
    <s v="Bahia"/>
    <n v="-1.6300000000000001"/>
    <n v="8.0300000000000011"/>
    <n v="1.9000000000000004"/>
    <n v="-6"/>
  </r>
  <r>
    <x v="0"/>
    <x v="3"/>
    <x v="3"/>
    <n v="2"/>
    <n v="0"/>
    <s v="H"/>
    <x v="3"/>
    <n v="3.4"/>
    <x v="3"/>
    <n v="3"/>
    <n v="0"/>
    <n v="0.42105263157894735"/>
    <n v="0"/>
    <n v="5.37"/>
    <n v="0"/>
    <n v="2"/>
    <n v="-2"/>
    <n v="0.79"/>
    <n v="-1"/>
    <n v="-1"/>
    <n v="0"/>
    <n v="0"/>
    <n v="1"/>
    <n v="1"/>
    <n v="0"/>
    <n v="0"/>
    <n v="0"/>
    <n v="0"/>
    <n v="0"/>
    <s v="JAN"/>
    <x v="3"/>
    <n v="1"/>
    <n v="0"/>
    <n v="0"/>
    <s v="1,71-2,0"/>
    <s v="4,01-5,5"/>
    <n v="0.55865921787709494"/>
    <n v="0.29411764705882354"/>
    <n v="0.21052631578947367"/>
    <n v="-6.3303180725392094E-2"/>
    <n v="0.27932960893854747"/>
    <n v="1"/>
    <s v="Botafogo RJ"/>
    <n v="1.75"/>
    <n v="1.2857142857142858"/>
    <n v="1.5"/>
    <n v="1.6035674514745464"/>
    <n v="0.8571428571428571"/>
    <n v="1.247219128924647"/>
    <s v="Botafogo RJ"/>
    <n v="0.25"/>
    <n v="0"/>
    <n v="0.14285714285714285"/>
    <n v="0.2857142857142857"/>
    <s v="Botafogo RJ"/>
    <n v="2.25"/>
    <n v="1.8571428571428572"/>
    <n v="1.707825127659933"/>
    <n v="1.3451854182690985"/>
    <n v="0.75903339007108128"/>
    <n v="0.72433060983720687"/>
    <s v="Botafogo RJ"/>
    <n v="1.75"/>
    <n v="2.1428571428571428"/>
    <n v="1.2583057392117916"/>
    <n v="1.6761634196950514"/>
    <n v="0.71903185097816658"/>
    <n v="0.78220959585769068"/>
    <s v="Botafogo RJ"/>
    <n v="1.4001037113860284"/>
    <n v="1.7830609212481425"/>
    <n v="1.6775077028414931"/>
    <n v="1.3476079958074416"/>
    <n v="-0.27740399145546468"/>
    <n v="0.43545292544070091"/>
    <s v="Botafogo RJ"/>
    <n v="2.6449999999999996"/>
    <n v="4.1728571428571426"/>
    <n v="0.99295854226985214"/>
    <n v="1.394927886854302"/>
    <n v="0.37540965681279859"/>
    <n v="0.33428603930092826"/>
    <s v="Botafogo RJ"/>
    <n v="1"/>
    <n v="1"/>
    <n v="1"/>
    <n v="0.8571428571428571"/>
    <n v="1"/>
    <n v="0.8571428571428571"/>
    <n v="0.75"/>
    <n v="0.42857142857142855"/>
    <n v="0.25"/>
    <n v="0.42857142857142855"/>
    <n v="0"/>
    <n v="0.14285714285714285"/>
    <s v="Botafogo RJ"/>
    <n v="0.5"/>
    <n v="0.8571428571428571"/>
    <s v="Botafogo RJ"/>
    <n v="0.66316526610644266"/>
    <n v="0.81337571546767562"/>
    <n v="0.53281883535184693"/>
    <n v="0.44802453853886198"/>
    <n v="0.80344804317047236"/>
    <n v="0.55082113962703738"/>
    <s v="Botafogo RJ"/>
    <n v="0.38029775434863217"/>
    <n v="0.26943544450747331"/>
    <n v="0.41881392853490812"/>
    <n v="0.32630667949906822"/>
    <n v="1.1012789945400698"/>
    <n v="1.2110755513089797"/>
    <s v="Botafogo RJ"/>
    <n v="4.6287499999999993"/>
    <n v="5.3651020408163266"/>
    <s v="Botafogo RJ"/>
    <n v="0.61999999999999966"/>
    <n v="3.16"/>
    <n v="-0.60000000000000009"/>
    <n v="-7"/>
  </r>
  <r>
    <x v="0"/>
    <x v="4"/>
    <x v="4"/>
    <n v="2"/>
    <n v="1"/>
    <s v="H"/>
    <x v="4"/>
    <n v="4.0999999999999996"/>
    <x v="4"/>
    <n v="3"/>
    <n v="0"/>
    <n v="0.33333333333333331"/>
    <n v="0.65359477124183007"/>
    <n v="4.59"/>
    <n v="0"/>
    <n v="1"/>
    <n v="-1"/>
    <n v="0.53"/>
    <n v="-1"/>
    <n v="-1"/>
    <n v="0"/>
    <n v="0"/>
    <n v="1"/>
    <n v="1"/>
    <n v="1"/>
    <n v="0"/>
    <n v="0"/>
    <n v="0"/>
    <n v="1"/>
    <s v="JAN"/>
    <x v="4"/>
    <n v="1"/>
    <n v="0"/>
    <n v="0"/>
    <s v="1,41-1,7"/>
    <s v="5,51-9,0"/>
    <n v="0.65359477124183007"/>
    <n v="0.24390243902439027"/>
    <n v="0.16666666666666666"/>
    <n v="-6.4163876932886943E-2"/>
    <n v="0.32679738562091504"/>
    <n v="0.16666666666666666"/>
    <s v="Bragantino"/>
    <n v="1.6666666666666667"/>
    <n v="1.1666666666666667"/>
    <n v="1.505545305418162"/>
    <n v="1.4719601443879746"/>
    <n v="0.90332718325089711"/>
    <n v="1.261680123761121"/>
    <s v="Bragantino"/>
    <n v="0.16666666666666666"/>
    <n v="0"/>
    <n v="0"/>
    <n v="0"/>
    <s v="Bragantino"/>
    <n v="1.8333333333333333"/>
    <n v="0.66666666666666663"/>
    <n v="1.3291601358251257"/>
    <n v="0.51639777949432231"/>
    <n v="0.72499643772279587"/>
    <n v="0.77459666924148352"/>
    <s v="Bragantino"/>
    <n v="1.1666666666666667"/>
    <n v="1.1666666666666667"/>
    <n v="0.98319208025017513"/>
    <n v="0.98319208025017513"/>
    <n v="0.84273606878586438"/>
    <n v="0.84273606878586438"/>
    <s v="Bragantino"/>
    <n v="1.1408252463145416"/>
    <n v="0.64007315121728192"/>
    <n v="1.1183384685609954"/>
    <n v="0.73369768660627377"/>
    <n v="2.2486777753546239E-2"/>
    <n v="-9.3624535388991847E-2"/>
    <s v="Bragantino"/>
    <n v="2.253333333333333"/>
    <n v="3.92"/>
    <n v="0.80713485036062493"/>
    <n v="0.92617492948146696"/>
    <n v="0.35819593950915313"/>
    <n v="0.23626911466363953"/>
    <s v="Bragantino"/>
    <n v="1"/>
    <n v="1"/>
    <n v="0.83333333333333337"/>
    <n v="0.66666666666666663"/>
    <n v="0.66666666666666663"/>
    <n v="0.16666666666666666"/>
    <n v="0.16666666666666666"/>
    <n v="0"/>
    <n v="0.16666666666666666"/>
    <n v="0"/>
    <n v="0.16666666666666666"/>
    <n v="0"/>
    <s v="Bragantino"/>
    <n v="0.66666666666666663"/>
    <n v="0.33333333333333331"/>
    <s v="Bragantino"/>
    <n v="0.52263412400607534"/>
    <n v="0.30364686787721112"/>
    <n v="0.48249225130112866"/>
    <n v="0.23973502731277266"/>
    <n v="0.92319316542660335"/>
    <n v="0.78951918387551701"/>
    <s v="Bragantino"/>
    <n v="0.36894928871043348"/>
    <n v="0.53354966054434139"/>
    <n v="0.19197422428779828"/>
    <n v="0.36283873101375402"/>
    <n v="0.52032685835713188"/>
    <n v="0.68004678448033573"/>
    <s v="Bragantino"/>
    <n v="3.7555555555555551"/>
    <n v="4.5733333333333333"/>
    <s v="Bragantino"/>
    <n v="1.2999999999999996"/>
    <n v="0.41999999999999993"/>
    <n v="-2.7"/>
    <n v="-2.6"/>
  </r>
  <r>
    <x v="0"/>
    <x v="5"/>
    <x v="5"/>
    <n v="4"/>
    <n v="2"/>
    <s v="H"/>
    <x v="0"/>
    <n v="3.1"/>
    <x v="0"/>
    <n v="3"/>
    <n v="0"/>
    <n v="1.6"/>
    <n v="0.66666666666666663"/>
    <n v="9"/>
    <n v="0"/>
    <n v="2"/>
    <n v="-2"/>
    <n v="2"/>
    <n v="-1"/>
    <n v="-1"/>
    <n v="1"/>
    <n v="0"/>
    <n v="1"/>
    <n v="1"/>
    <n v="1"/>
    <n v="1"/>
    <n v="1"/>
    <n v="1"/>
    <n v="1"/>
    <s v="JAN"/>
    <x v="5"/>
    <n v="1"/>
    <n v="0"/>
    <n v="0"/>
    <s v="2,41-3,0"/>
    <s v="2,41-3,0"/>
    <n v="0.33333333333333331"/>
    <n v="0.32258064516129031"/>
    <n v="0.4"/>
    <n v="-5.5913978494623651E-2"/>
    <n v="8.3333333333333329E-2"/>
    <n v="0.2"/>
    <s v="Chapecoense-SC"/>
    <n v="1"/>
    <n v="0.25"/>
    <n v="1"/>
    <n v="0.5"/>
    <n v="1"/>
    <n v="2"/>
    <s v="Chapecoense-SC"/>
    <n v="0.14285714285714285"/>
    <n v="0.2857142857142857"/>
    <n v="0"/>
    <n v="0"/>
    <s v="Chapecoense-SC"/>
    <n v="1.4285714285714286"/>
    <n v="0.25"/>
    <n v="1.5118578920369088"/>
    <n v="0.5"/>
    <n v="1.0583005244258361"/>
    <n v="2"/>
    <s v="Chapecoense-SC"/>
    <n v="2.1428571428571428"/>
    <n v="1.75"/>
    <n v="1.5735915849388862"/>
    <n v="0.5"/>
    <n v="0.73434273963814689"/>
    <n v="0.2857142857142857"/>
    <s v="Chapecoense-SC"/>
    <n v="0.88895473738795461"/>
    <n v="0.24002743170648072"/>
    <n v="2.054091064703869"/>
    <n v="1.1005465299094106"/>
    <n v="-1.1651363273159143"/>
    <n v="-0.86051909820292982"/>
    <s v="Chapecoense-SC"/>
    <n v="3.0785714285714287"/>
    <n v="6.6875"/>
    <n v="0.43383670397314628"/>
    <n v="0.94372930440884373"/>
    <n v="0.14092143516529113"/>
    <n v="0.14111840065926634"/>
    <s v="Chapecoense-SC"/>
    <n v="0.8571428571428571"/>
    <n v="1"/>
    <n v="0.8571428571428571"/>
    <n v="1"/>
    <n v="0.5714285714285714"/>
    <n v="0"/>
    <n v="0.5714285714285714"/>
    <n v="0"/>
    <n v="0.42857142857142855"/>
    <n v="0"/>
    <n v="0.2857142857142857"/>
    <n v="0"/>
    <s v="Chapecoense-SC"/>
    <n v="0.7142857142857143"/>
    <n v="0.25"/>
    <s v="Chapecoense-SC"/>
    <n v="0.57724264652325463"/>
    <n v="0.16339869281045752"/>
    <n v="0.59029750826197802"/>
    <n v="0.32679738562091504"/>
    <n v="1.0226158996001995"/>
    <n v="2"/>
    <s v="Chapecoense-SC"/>
    <n v="0.46113394095850235"/>
    <n v="0.79166666666666674"/>
    <n v="0.3851050217130837"/>
    <n v="0.41666666666666635"/>
    <n v="0.83512616944355322"/>
    <n v="0.52631578947368374"/>
    <s v="Chapecoense-SC"/>
    <n v="3.0785714285714287"/>
    <n v="1.671875"/>
    <s v="Chapecoense-SC"/>
    <n v="-4"/>
    <n v="-4"/>
    <n v="5.9"/>
    <n v="-0.10000000000000009"/>
  </r>
  <r>
    <x v="0"/>
    <x v="6"/>
    <x v="6"/>
    <n v="1"/>
    <n v="2"/>
    <s v="A"/>
    <x v="5"/>
    <n v="3.5"/>
    <x v="5"/>
    <n v="0"/>
    <n v="3"/>
    <n v="0.3125"/>
    <n v="0.90909090909090906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JAN"/>
    <x v="6"/>
    <n v="0"/>
    <n v="0"/>
    <n v="1"/>
    <s v="2,01-2,4"/>
    <s v="3,01-4.0"/>
    <n v="0.45454545454545453"/>
    <n v="0.2857142857142857"/>
    <n v="0.3125"/>
    <n v="-5.2759740259740173E-2"/>
    <n v="0.45454545454545453"/>
    <n v="0.15625"/>
    <s v="Corinthians"/>
    <n v="0.83333333333333337"/>
    <n v="1.1666666666666667"/>
    <n v="1.1690451944500122"/>
    <n v="0.98319208025017513"/>
    <n v="1.4028542333400147"/>
    <n v="0.84273606878586438"/>
    <s v="Corinthians"/>
    <n v="0"/>
    <n v="0"/>
    <n v="0"/>
    <n v="0"/>
    <s v="Corinthians"/>
    <n v="0.66666666666666663"/>
    <n v="0.66666666666666663"/>
    <n v="1.1470820500689274"/>
    <n v="0.51639777949432231"/>
    <n v="1.7206230751033911"/>
    <n v="0.77459666924148352"/>
    <s v="Corinthians"/>
    <n v="1"/>
    <n v="0.83333333333333337"/>
    <n v="0.9545368424290267"/>
    <n v="1.1690451944500122"/>
    <n v="0.9545368424290267"/>
    <n v="1.4028542333400147"/>
    <s v="Corinthians"/>
    <n v="0.41484554411437879"/>
    <n v="0.64007315121728192"/>
    <n v="0.95857583019513892"/>
    <n v="0.52406977614733841"/>
    <n v="-0.54373028608076013"/>
    <n v="0.11600337506994352"/>
    <s v="Corinthians"/>
    <n v="2.3050000000000002"/>
    <n v="3.5583333333333336"/>
    <n v="0.63849040713232297"/>
    <n v="1.2670503804769029"/>
    <n v="0.27700234582747196"/>
    <n v="0.35607973221833333"/>
    <s v="Corinthians"/>
    <n v="0.83333333333333337"/>
    <n v="0.66666666666666663"/>
    <n v="0.66666666666666663"/>
    <n v="0.5"/>
    <n v="0.16666666666666666"/>
    <n v="0.16666666666666666"/>
    <n v="0"/>
    <n v="0.16666666666666666"/>
    <n v="0"/>
    <n v="0"/>
    <n v="0"/>
    <n v="0"/>
    <s v="Corinthians"/>
    <n v="0.33333333333333331"/>
    <n v="0.5"/>
    <s v="Corinthians"/>
    <n v="0.19633284600389864"/>
    <n v="0.32218432385517309"/>
    <n v="0.21963283645081133"/>
    <n v="0.26386641394706128"/>
    <n v="1.1186759674764253"/>
    <n v="0.81899209368632531"/>
    <s v="Corinthians"/>
    <n v="0.66958005098422557"/>
    <n v="0.51275917065390753"/>
    <n v="0.36752000811693775"/>
    <n v="0.38316401031616204"/>
    <n v="0.5488813586616188"/>
    <n v="0.74725920518890698"/>
    <s v="Corinthians"/>
    <n v="1.9208333333333336"/>
    <n v="4.1513888888888895"/>
    <s v="Corinthians"/>
    <n v="-4.1399999999999997"/>
    <n v="-3.15"/>
    <n v="0.10000000000000009"/>
    <n v="6.6"/>
  </r>
  <r>
    <x v="1"/>
    <x v="7"/>
    <x v="7"/>
    <n v="2"/>
    <n v="1"/>
    <s v="H"/>
    <x v="6"/>
    <n v="3"/>
    <x v="6"/>
    <n v="3"/>
    <n v="0"/>
    <n v="0.90909090909090906"/>
    <n v="0.27027027027027023"/>
    <n v="11.100000000000001"/>
    <n v="0"/>
    <n v="1"/>
    <n v="-1"/>
    <n v="2.7"/>
    <n v="-1"/>
    <n v="-1"/>
    <n v="0"/>
    <n v="0"/>
    <n v="1"/>
    <n v="1"/>
    <n v="1"/>
    <n v="0"/>
    <n v="0"/>
    <n v="0"/>
    <n v="1"/>
    <s v="JAN"/>
    <x v="7"/>
    <n v="1"/>
    <n v="0"/>
    <n v="0"/>
    <s v="3,01-4.0"/>
    <s v="2,01-2,4"/>
    <n v="0.27027027027027023"/>
    <n v="0.33333333333333331"/>
    <n v="0.45454545454545453"/>
    <n v="-5.8149058149058019E-2"/>
    <n v="0.13513513513513511"/>
    <n v="0.45454545454545453"/>
    <s v="Coritiba"/>
    <n v="1.3333333333333333"/>
    <n v="1.8333333333333333"/>
    <n v="1.3662601021279464"/>
    <n v="1.3291601358251257"/>
    <n v="1.0246950765959599"/>
    <n v="0.72499643772279587"/>
    <s v="Coritiba"/>
    <n v="0"/>
    <n v="0"/>
    <n v="0"/>
    <n v="0"/>
    <s v="Coritiba"/>
    <n v="0.83333333333333337"/>
    <n v="1.6666666666666667"/>
    <n v="0.752772652709081"/>
    <n v="1.0327955589886444"/>
    <n v="0.90332718325089711"/>
    <n v="0.61967733539318659"/>
    <s v="Coritiba"/>
    <n v="0.66666666666666663"/>
    <n v="1.3333333333333333"/>
    <n v="0.51639777949432231"/>
    <n v="1.2110601416389968"/>
    <n v="0.77459666924148352"/>
    <n v="0.90829510622924758"/>
    <s v="Coritiba"/>
    <n v="0.51855693014297355"/>
    <n v="1.6001828780432048"/>
    <n v="0.63905055346342587"/>
    <n v="0.83851164183574134"/>
    <n v="-0.12049362332045233"/>
    <n v="0.76167123620746346"/>
    <s v="Coritiba"/>
    <n v="2.4849999999999999"/>
    <n v="5.3916666666666666"/>
    <n v="0.50134818240420576"/>
    <n v="2.3288230217572687"/>
    <n v="0.2017497715912297"/>
    <n v="0.43193008131510396"/>
    <s v="Coritiba"/>
    <n v="1"/>
    <n v="1"/>
    <n v="0.5"/>
    <n v="0.83333333333333337"/>
    <n v="0"/>
    <n v="0.5"/>
    <n v="0"/>
    <n v="0.33333333333333331"/>
    <n v="0"/>
    <n v="0.16666666666666666"/>
    <n v="0"/>
    <n v="0.16666666666666666"/>
    <s v="Coritiba"/>
    <n v="0.33333333333333331"/>
    <n v="0.5"/>
    <s v="Coritiba"/>
    <n v="0.25864527629233514"/>
    <n v="0.92322866436511619"/>
    <n v="0.23531591213274219"/>
    <n v="0.52939686142334086"/>
    <n v="0.90980170025133256"/>
    <n v="0.57341900425870695"/>
    <s v="Coritiba"/>
    <n v="0.58598322910409972"/>
    <n v="0.25957756025283335"/>
    <n v="0.34368062908134678"/>
    <n v="0.36443971213799048"/>
    <n v="0.58650250043298091"/>
    <n v="1.4039723302084335"/>
    <s v="Coritiba"/>
    <n v="3.313333333333333"/>
    <n v="9.8847222222222211"/>
    <s v="Coritiba"/>
    <n v="-2.1399999999999997"/>
    <n v="14.75"/>
    <n v="0"/>
    <n v="0.60000000000000009"/>
  </r>
  <r>
    <x v="1"/>
    <x v="8"/>
    <x v="8"/>
    <n v="2"/>
    <n v="1"/>
    <s v="H"/>
    <x v="3"/>
    <n v="3.3"/>
    <x v="7"/>
    <n v="3"/>
    <n v="0"/>
    <n v="0.44444444444444442"/>
    <n v="0.55865921787709494"/>
    <n v="5.37"/>
    <n v="0"/>
    <n v="1"/>
    <n v="-1"/>
    <n v="0.79"/>
    <n v="-1"/>
    <n v="-1"/>
    <n v="0"/>
    <n v="0"/>
    <n v="1"/>
    <n v="1"/>
    <n v="1"/>
    <n v="0"/>
    <n v="0"/>
    <n v="0"/>
    <n v="1"/>
    <s v="JAN"/>
    <x v="8"/>
    <n v="1"/>
    <n v="0"/>
    <n v="0"/>
    <s v="1,71-2,0"/>
    <s v="4,01-5,5"/>
    <n v="0.55865921787709494"/>
    <n v="0.30303030303030304"/>
    <n v="0.22222222222222221"/>
    <n v="-8.3911743129620131E-2"/>
    <n v="0.27932960893854747"/>
    <n v="0.22222222222222221"/>
    <s v="Cruzeiro"/>
    <n v="1.7142857142857142"/>
    <n v="0.2"/>
    <n v="1.2535663410560174"/>
    <n v="0.44721359549995793"/>
    <n v="0.73124703228267685"/>
    <n v="2.2360679774997894"/>
    <s v="Cruzeiro"/>
    <n v="0"/>
    <n v="0"/>
    <n v="0"/>
    <n v="0.4"/>
    <s v="Cruzeiro"/>
    <n v="1.7142857142857142"/>
    <n v="0.8"/>
    <n v="1.1126972805283735"/>
    <n v="0.83666002653407556"/>
    <n v="0.64907341364155124"/>
    <n v="1.0458250331675945"/>
    <s v="Cruzeiro"/>
    <n v="1"/>
    <n v="2.8"/>
    <n v="1.1547005383792515"/>
    <n v="1.0954451150103319"/>
    <n v="1.1547005383792515"/>
    <n v="0.39123039821797573"/>
    <s v="Cruzeiro"/>
    <n v="1.0667456848655454"/>
    <n v="0.76808778146073831"/>
    <n v="0.95857583019513892"/>
    <n v="1.7608744478550569"/>
    <n v="0.10816985467040652"/>
    <n v="-0.99278666639431856"/>
    <s v="Cruzeiro"/>
    <n v="1.6642857142857146"/>
    <n v="4.04"/>
    <n v="0.21562754484350402"/>
    <n v="1.3831124321616086"/>
    <n v="0.12956161492742729"/>
    <n v="0.34235456241623974"/>
    <s v="Cruzeiro"/>
    <n v="0.8571428571428571"/>
    <n v="1"/>
    <n v="0.8571428571428571"/>
    <n v="1"/>
    <n v="0.5714285714285714"/>
    <n v="0.8"/>
    <n v="0.14285714285714285"/>
    <n v="0.6"/>
    <n v="0.14285714285714285"/>
    <n v="0.2"/>
    <n v="0.14285714285714285"/>
    <n v="0"/>
    <s v="Cruzeiro"/>
    <n v="0.5714285714285714"/>
    <n v="0.6"/>
    <s v="Cruzeiro"/>
    <n v="0.34216284968164673"/>
    <n v="0.35492801771871541"/>
    <n v="0.25590491407591887"/>
    <n v="0.35625323798738268"/>
    <n v="0.74790385430217365"/>
    <n v="1.0037337719270094"/>
    <s v="Cruzeiro"/>
    <n v="0.47216115882291326"/>
    <n v="0.54394841269841265"/>
    <n v="0.31408148328921065"/>
    <n v="0.41946627725085722"/>
    <n v="0.66519974678181593"/>
    <n v="0.77115084345953699"/>
    <s v="Cruzeiro"/>
    <n v="2.8530612244897964"/>
    <n v="0.80800000000000005"/>
    <s v="Cruzeiro"/>
    <n v="-1.9299999999999997"/>
    <n v="-5"/>
    <n v="3.5"/>
    <n v="-2"/>
  </r>
  <r>
    <x v="2"/>
    <x v="9"/>
    <x v="9"/>
    <n v="4"/>
    <n v="0"/>
    <s v="H"/>
    <x v="7"/>
    <n v="3"/>
    <x v="8"/>
    <n v="3"/>
    <n v="0"/>
    <n v="1.1764705882352942"/>
    <n v="0"/>
    <n v="6.8999999999999995"/>
    <n v="0"/>
    <n v="4"/>
    <n v="-4"/>
    <n v="1.2999999999999998"/>
    <n v="-1"/>
    <n v="-1"/>
    <n v="1"/>
    <n v="0"/>
    <n v="1"/>
    <n v="1"/>
    <n v="1"/>
    <n v="1"/>
    <n v="0"/>
    <n v="0"/>
    <n v="0"/>
    <s v="JAN"/>
    <x v="9"/>
    <n v="1"/>
    <n v="0"/>
    <n v="0"/>
    <s v="2,01-2,4"/>
    <s v="3,01-4.0"/>
    <n v="0.43478260869565222"/>
    <n v="0.33333333333333331"/>
    <n v="0.29411764705882354"/>
    <n v="-6.2233589087809182E-2"/>
    <n v="0.10869565217391305"/>
    <n v="1"/>
    <s v="Flamengo RJ"/>
    <n v="2.6"/>
    <n v="1.6666666666666667"/>
    <n v="0.8944271909999163"/>
    <n v="1.505545305418162"/>
    <n v="0.34401045807689085"/>
    <n v="0.90332718325089711"/>
    <s v="Flamengo RJ"/>
    <n v="0"/>
    <n v="0"/>
    <n v="0"/>
    <n v="0"/>
    <s v="Flamengo RJ"/>
    <n v="2.2000000000000002"/>
    <n v="1.5"/>
    <n v="0.83666002653407567"/>
    <n v="1.0488088481701516"/>
    <n v="0.38030001206094344"/>
    <n v="0.69920589878010109"/>
    <s v="Flamengo RJ"/>
    <n v="0.4"/>
    <n v="1.3333333333333333"/>
    <n v="0.54772255750516607"/>
    <n v="1.0327955589886446"/>
    <n v="1.3693063937629151"/>
    <n v="0.77459666924148352"/>
    <s v="Flamengo RJ"/>
    <n v="1.3689902955774502"/>
    <n v="1.4401645902388842"/>
    <n v="0.3834303320780556"/>
    <n v="0.83851164183574134"/>
    <n v="0.98555996349939456"/>
    <n v="0.60165294840314287"/>
    <s v="Flamengo RJ"/>
    <n v="1.3420000000000001"/>
    <n v="2.0550000000000002"/>
    <n v="0.13141537200799611"/>
    <n v="0.2836723462024473"/>
    <n v="9.7925016399400974E-2"/>
    <n v="0.1380400711447432"/>
    <s v="Flamengo RJ"/>
    <n v="1"/>
    <n v="1"/>
    <n v="1"/>
    <n v="1"/>
    <n v="0.4"/>
    <n v="0.83333333333333337"/>
    <n v="0.2"/>
    <n v="0"/>
    <n v="0"/>
    <n v="0"/>
    <n v="0"/>
    <n v="0"/>
    <s v="Flamengo RJ"/>
    <n v="0.4"/>
    <n v="0.66666666666666663"/>
    <s v="Flamengo RJ"/>
    <n v="0.23958316193610313"/>
    <n v="0.37815355355979774"/>
    <n v="8.0075693235642897E-2"/>
    <n v="0.26402807938167117"/>
    <n v="0.33422921956843987"/>
    <n v="0.69820335389211197"/>
    <s v="Flamengo RJ"/>
    <n v="0.39151112551339645"/>
    <n v="0.43412454397072553"/>
    <n v="0.18182403498497676"/>
    <n v="0.30016939106195656"/>
    <n v="0.46441601051961739"/>
    <n v="0.69143612180148462"/>
    <s v="Flamengo RJ"/>
    <n v="3.4892000000000003"/>
    <n v="3.4250000000000003"/>
    <s v="Flamengo RJ"/>
    <n v="0.29999999999999982"/>
    <n v="-0.16999999999999993"/>
    <n v="-0.5"/>
    <n v="-2.9"/>
  </r>
  <r>
    <x v="3"/>
    <x v="10"/>
    <x v="10"/>
    <n v="1"/>
    <n v="0"/>
    <s v="H"/>
    <x v="8"/>
    <n v="3.2"/>
    <x v="9"/>
    <n v="3"/>
    <n v="0"/>
    <n v="0.25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FEV"/>
    <x v="10"/>
    <n v="1"/>
    <n v="0"/>
    <n v="0"/>
    <s v="2,01-2,4"/>
    <s v="3,01-4.0"/>
    <n v="0.49751243781094534"/>
    <n v="0.3125"/>
    <n v="0.25"/>
    <n v="-6.0012437810945229E-2"/>
    <n v="0.49751243781094534"/>
    <n v="1"/>
    <s v="Fluminense"/>
    <n v="2.5"/>
    <n v="1.3333333333333333"/>
    <n v="1.2247448713915889"/>
    <n v="1.3662601021279464"/>
    <n v="0.4898979485566356"/>
    <n v="1.0246950765959599"/>
    <s v="Fluminense"/>
    <n v="0"/>
    <n v="0"/>
    <n v="0"/>
    <n v="0"/>
    <s v="Fluminense"/>
    <n v="1.8333333333333333"/>
    <n v="1.6666666666666667"/>
    <n v="0.9831920802501749"/>
    <n v="0.81649658092772592"/>
    <n v="0.53628658922736816"/>
    <n v="0.48989794855663554"/>
    <s v="Fluminense"/>
    <n v="1"/>
    <n v="1.5"/>
    <n v="0.89442719099991586"/>
    <n v="1.0488088481701516"/>
    <n v="0.89442719099991586"/>
    <n v="0.69920589878010109"/>
    <s v="Fluminense"/>
    <n v="1.1408252463145416"/>
    <n v="1.6001828780432048"/>
    <n v="0.95857583019513892"/>
    <n v="0.94332559706520913"/>
    <n v="0.18224941611940271"/>
    <n v="0.65685728097799567"/>
    <s v="Fluminense"/>
    <n v="1.95"/>
    <n v="3.0933333333333333"/>
    <n v="0.62222182539669946"/>
    <n v="1.1762085982795176"/>
    <n v="0.319088115588051"/>
    <n v="0.38023984858174065"/>
    <s v="Fluminense"/>
    <n v="1"/>
    <n v="1"/>
    <n v="0.66666666666666663"/>
    <n v="1"/>
    <n v="0.66666666666666663"/>
    <n v="0.5"/>
    <n v="0.33333333333333331"/>
    <n v="0.33333333333333331"/>
    <n v="0.16666666666666666"/>
    <n v="0.33333333333333331"/>
    <n v="0"/>
    <n v="0"/>
    <s v="Fluminense"/>
    <n v="0.66666666666666663"/>
    <n v="0.83333333333333337"/>
    <s v="Fluminense"/>
    <n v="0.39508466524144015"/>
    <n v="0.64554440188989382"/>
    <n v="0.20700566561616005"/>
    <n v="0.37985085986472966"/>
    <n v="0.52395267097916043"/>
    <n v="0.5884194158491336"/>
    <s v="Fluminense"/>
    <n v="0.3664965030220933"/>
    <n v="0.24665471923536444"/>
    <n v="0.18748134913147516"/>
    <n v="0.10015140260341478"/>
    <n v="0.51155017192666996"/>
    <n v="0.4060388664522071"/>
    <s v="Fluminense"/>
    <n v="4.875"/>
    <n v="4.1244444444444444"/>
    <s v="Fluminense"/>
    <n v="2.5000000000000004"/>
    <n v="-0.63999999999999968"/>
    <n v="-6"/>
    <n v="0.29999999999999982"/>
  </r>
  <r>
    <x v="3"/>
    <x v="11"/>
    <x v="11"/>
    <n v="1"/>
    <n v="1"/>
    <s v="D"/>
    <x v="9"/>
    <n v="4.5"/>
    <x v="10"/>
    <n v="1"/>
    <n v="1"/>
    <n v="0.13333333333333333"/>
    <n v="0.70921985815602839"/>
    <n v="1.41"/>
    <n v="7.5"/>
    <n v="0"/>
    <n v="0"/>
    <n v="-1"/>
    <n v="-1"/>
    <n v="3.5"/>
    <n v="0"/>
    <n v="0"/>
    <n v="1"/>
    <n v="1"/>
    <n v="0"/>
    <n v="0"/>
    <n v="0"/>
    <n v="0"/>
    <n v="1"/>
    <s v="FEV"/>
    <x v="11"/>
    <n v="0"/>
    <n v="1"/>
    <n v="0"/>
    <s v="1,41-1,7"/>
    <s v="5,51-9,0"/>
    <n v="0.70921985815602839"/>
    <n v="0.22222222222222221"/>
    <n v="0.13333333333333333"/>
    <n v="-6.4775413711583907E-2"/>
    <n v="0.70921985815602839"/>
    <n v="0.13333333333333333"/>
    <s v="Gremio"/>
    <n v="2.2000000000000002"/>
    <n v="0.2857142857142857"/>
    <n v="1.0954451150103324"/>
    <n v="0.4879500364742666"/>
    <n v="0.49792959773196921"/>
    <n v="1.7078251276599332"/>
    <s v="Gremio"/>
    <n v="0.2"/>
    <n v="0"/>
    <n v="0"/>
    <n v="0"/>
    <s v="Gremio"/>
    <n v="2"/>
    <n v="0.5714285714285714"/>
    <n v="1.8708286933869707"/>
    <n v="0.53452248382484879"/>
    <n v="0.93541434669348533"/>
    <n v="0.93541434669348544"/>
    <s v="Gremio"/>
    <n v="1"/>
    <n v="1.5714285714285714"/>
    <n v="1.2247448713915889"/>
    <n v="0.7867957924694432"/>
    <n v="1.2247448713915889"/>
    <n v="0.50068823157146392"/>
    <s v="Gremio"/>
    <n v="1.2445366323431364"/>
    <n v="0.54863412961481306"/>
    <n v="0.95857583019513892"/>
    <n v="0.98824586359212385"/>
    <n v="0.28596080214799746"/>
    <n v="-0.43961173397731079"/>
    <s v="Gremio"/>
    <n v="1.998"/>
    <n v="4.6899999999999995"/>
    <n v="0.26574423794317537"/>
    <n v="1.280052082273738"/>
    <n v="0.13300512409568335"/>
    <n v="0.27293221370442178"/>
    <s v="Gremio"/>
    <n v="0.8"/>
    <n v="0.8571428571428571"/>
    <n v="0.8"/>
    <n v="0.8571428571428571"/>
    <n v="0.4"/>
    <n v="0.42857142857142855"/>
    <n v="0.2"/>
    <n v="0"/>
    <n v="0.2"/>
    <n v="0"/>
    <n v="0.2"/>
    <n v="0"/>
    <s v="Gremio"/>
    <n v="0.6"/>
    <n v="0.5714285714285714"/>
    <s v="Gremio"/>
    <n v="0.55847523219814244"/>
    <n v="0.31702997252838994"/>
    <n v="0.55319959388471485"/>
    <n v="0.31373108132173183"/>
    <n v="0.99055349636068402"/>
    <n v="0.98959438699013647"/>
    <s v="Gremio"/>
    <n v="0.41485178959900904"/>
    <n v="0.57129468917801085"/>
    <n v="0.35382959885123333"/>
    <n v="0.41095104769395313"/>
    <n v="0.85290604433270245"/>
    <n v="0.71933286879532687"/>
    <s v="Gremio"/>
    <n v="4.3956"/>
    <n v="1.3399999999999999"/>
    <s v="Gremio"/>
    <n v="1.1600000000000001"/>
    <n v="-7"/>
    <n v="2.1"/>
    <n v="0"/>
  </r>
  <r>
    <x v="3"/>
    <x v="12"/>
    <x v="12"/>
    <n v="2"/>
    <n v="2"/>
    <s v="D"/>
    <x v="10"/>
    <n v="3.1"/>
    <x v="11"/>
    <n v="1"/>
    <n v="1"/>
    <n v="0.83333333333333337"/>
    <n v="0.64516129032258063"/>
    <n v="3.1"/>
    <n v="2.4"/>
    <n v="0"/>
    <n v="0"/>
    <n v="-1"/>
    <n v="-1"/>
    <n v="2.1"/>
    <n v="0"/>
    <n v="0"/>
    <n v="1"/>
    <n v="1"/>
    <n v="1"/>
    <n v="1"/>
    <n v="0"/>
    <n v="0"/>
    <n v="1"/>
    <s v="FEV"/>
    <x v="12"/>
    <n v="0"/>
    <n v="1"/>
    <n v="0"/>
    <s v="3,01-4.0"/>
    <s v="2,01-2,4"/>
    <n v="0.32258064516129031"/>
    <n v="0.32258064516129031"/>
    <n v="0.41666666666666669"/>
    <n v="-6.1827956989247257E-2"/>
    <n v="0.16129032258064516"/>
    <n v="0.20833333333333334"/>
    <s v="Internacional"/>
    <n v="0.7142857142857143"/>
    <n v="1.6"/>
    <n v="1.1126972805283737"/>
    <n v="1.3416407864998738"/>
    <n v="1.5577761927397231"/>
    <n v="0.83852549156242107"/>
    <s v="Internacional"/>
    <n v="0"/>
    <n v="0"/>
    <n v="0"/>
    <n v="0"/>
    <s v="Internacional"/>
    <n v="0.7142857142857143"/>
    <n v="1"/>
    <n v="0.7559289460184544"/>
    <n v="0"/>
    <n v="1.0583005244258361"/>
    <n v="0"/>
    <s v="Internacional"/>
    <n v="1.1428571428571428"/>
    <n v="0.8"/>
    <n v="1.0690449676496976"/>
    <n v="0"/>
    <n v="0.93541434669348544"/>
    <n v="0"/>
    <s v="Internacional"/>
    <n v="0.4444773686939773"/>
    <n v="0.96010972682592288"/>
    <n v="1.0955152345087302"/>
    <n v="0.50310698510144491"/>
    <n v="-0.65103786581475287"/>
    <n v="0.45700274172447797"/>
    <s v="Internacional"/>
    <n v="1.9871428571428571"/>
    <n v="4.1500000000000004"/>
    <n v="0.54637332431571839"/>
    <n v="1.9893466264077759"/>
    <n v="0.27495422503307182"/>
    <n v="0.47936063286934355"/>
    <s v="Internacional"/>
    <n v="0.8571428571428571"/>
    <n v="1"/>
    <n v="0.5714285714285714"/>
    <n v="0.6"/>
    <n v="0.2857142857142857"/>
    <n v="0.2"/>
    <n v="0.14285714285714285"/>
    <n v="0"/>
    <n v="0"/>
    <n v="0"/>
    <n v="0"/>
    <n v="0"/>
    <s v="Internacional"/>
    <n v="0.42857142857142855"/>
    <n v="0.6"/>
    <s v="Internacional"/>
    <n v="0.17611304684475418"/>
    <n v="0.49374247962727463"/>
    <n v="0.17709706943521625"/>
    <n v="0.37327300608290748"/>
    <n v="1.0055874485626808"/>
    <n v="0.75600747653856037"/>
    <s v="Internacional"/>
    <n v="0.6700421194975491"/>
    <n v="0.4007710035617012"/>
    <n v="0.31621339015824079"/>
    <n v="0.36136251469064068"/>
    <n v="0.471930615937044"/>
    <n v="0.90166831302456407"/>
    <s v="Internacional"/>
    <n v="1.4193877551020408"/>
    <n v="6.6400000000000006"/>
    <s v="Internacional"/>
    <n v="-5.63"/>
    <n v="2.4000000000000004"/>
    <n v="-0.39999999999999991"/>
    <n v="2.9000000000000004"/>
  </r>
  <r>
    <x v="3"/>
    <x v="13"/>
    <x v="13"/>
    <n v="1"/>
    <n v="1"/>
    <s v="D"/>
    <x v="5"/>
    <n v="3.1"/>
    <x v="12"/>
    <n v="1"/>
    <n v="1"/>
    <n v="0.30303030303030304"/>
    <n v="0.45454545454545453"/>
    <n v="2.2000000000000002"/>
    <n v="3.3"/>
    <n v="0"/>
    <n v="0"/>
    <n v="-1"/>
    <n v="-1"/>
    <n v="2.1"/>
    <n v="0"/>
    <n v="0"/>
    <n v="1"/>
    <n v="1"/>
    <n v="0"/>
    <n v="0"/>
    <n v="0"/>
    <n v="0"/>
    <n v="1"/>
    <s v="FEV"/>
    <x v="13"/>
    <n v="0"/>
    <n v="1"/>
    <n v="0"/>
    <s v="2,01-2,4"/>
    <s v="3,01-4.0"/>
    <n v="0.45454545454545453"/>
    <n v="0.32258064516129031"/>
    <n v="0.30303030303030304"/>
    <n v="-8.0156402737047827E-2"/>
    <n v="0.45454545454545453"/>
    <n v="0.30303030303030304"/>
    <s v="Mirassol"/>
    <n v="0.83333333333333337"/>
    <n v="0.8"/>
    <n v="1.1690451944500122"/>
    <n v="1.3038404810405297"/>
    <n v="1.4028542333400147"/>
    <n v="1.6298006013006621"/>
    <s v="Mirassol"/>
    <n v="0"/>
    <n v="0"/>
    <n v="0"/>
    <n v="0"/>
    <s v="Mirassol"/>
    <n v="1.1666666666666667"/>
    <n v="1.2"/>
    <n v="0.98319208025017513"/>
    <n v="1.0954451150103321"/>
    <n v="0.84273606878586438"/>
    <n v="0.91287092917527679"/>
    <s v="Mirassol"/>
    <n v="1.5"/>
    <n v="1.6"/>
    <n v="0.54772255750516607"/>
    <n v="0.89442719099991574"/>
    <n v="0.36514837167011072"/>
    <n v="0.55901699437494734"/>
    <s v="Mirassol"/>
    <n v="0.72597970220016295"/>
    <n v="1.1521316721911075"/>
    <n v="1.4378637452927083"/>
    <n v="1.0062139702028898"/>
    <n v="-0.71188404309254538"/>
    <n v="0.14591770198821763"/>
    <s v="Mirassol"/>
    <n v="1.9450000000000001"/>
    <n v="3.5700000000000003"/>
    <n v="0.32216455422656298"/>
    <n v="1.246795893480563"/>
    <n v="0.1656373029442483"/>
    <n v="0.349242547193435"/>
    <s v="Mirassol"/>
    <n v="1"/>
    <n v="1"/>
    <n v="0.66666666666666663"/>
    <n v="0.6"/>
    <n v="0.66666666666666663"/>
    <n v="0.6"/>
    <n v="0.33333333333333331"/>
    <n v="0.4"/>
    <n v="0"/>
    <n v="0.2"/>
    <n v="0"/>
    <n v="0"/>
    <s v="Mirassol"/>
    <n v="0.66666666666666663"/>
    <n v="0.6"/>
    <s v="Mirassol"/>
    <n v="0.29743578718036923"/>
    <n v="0.51649981460882466"/>
    <n v="0.25343168235043972"/>
    <n v="0.49541364752998313"/>
    <n v="0.85205510995472511"/>
    <n v="0.95917487967578208"/>
    <s v="Mirassol"/>
    <n v="0.54233067343645935"/>
    <n v="0.49939024390243897"/>
    <n v="0.36434871986017464"/>
    <n v="0.45801189312379748"/>
    <n v="0.67182023386487011"/>
    <n v="0.91714225240906955"/>
    <s v="Mirassol"/>
    <n v="1.6208333333333333"/>
    <n v="2.8560000000000003"/>
    <s v="Mirassol"/>
    <n v="-4.21"/>
    <n v="-0.90000000000000036"/>
    <n v="0.70000000000000018"/>
    <n v="-1.9"/>
  </r>
  <r>
    <x v="4"/>
    <x v="14"/>
    <x v="14"/>
    <n v="5"/>
    <n v="3"/>
    <s v="H"/>
    <x v="7"/>
    <n v="3"/>
    <x v="8"/>
    <n v="3"/>
    <n v="0"/>
    <n v="1.4705882352941178"/>
    <n v="1.3043478260869565"/>
    <n v="6.8999999999999995"/>
    <n v="0"/>
    <n v="2"/>
    <n v="-2"/>
    <n v="1.2999999999999998"/>
    <n v="-1"/>
    <n v="-1"/>
    <n v="1"/>
    <n v="0"/>
    <n v="1"/>
    <n v="1"/>
    <n v="1"/>
    <n v="1"/>
    <n v="1"/>
    <n v="1"/>
    <n v="1"/>
    <s v="FEV"/>
    <x v="14"/>
    <n v="1"/>
    <n v="0"/>
    <n v="0"/>
    <s v="2,01-2,4"/>
    <s v="3,01-4.0"/>
    <n v="0.43478260869565222"/>
    <n v="0.33333333333333331"/>
    <n v="0.29411764705882354"/>
    <n v="-6.2233589087809182E-2"/>
    <n v="8.6956521739130446E-2"/>
    <n v="9.8039215686274508E-2"/>
    <s v="Palmeiras"/>
    <n v="3"/>
    <n v="1.8333333333333333"/>
    <n v="0"/>
    <n v="1.3291601358251257"/>
    <n v="0"/>
    <n v="0.72499643772279587"/>
    <s v="Palmeiras"/>
    <n v="0.16666666666666666"/>
    <n v="0"/>
    <n v="0"/>
    <n v="0"/>
    <s v="Palmeiras"/>
    <n v="2.1666666666666665"/>
    <n v="1.5"/>
    <n v="1.4719601443879744"/>
    <n v="1.0488088481701516"/>
    <n v="0.67936622048675743"/>
    <n v="0.69920589878010109"/>
    <s v="Palmeiras"/>
    <n v="0.66666666666666663"/>
    <n v="1"/>
    <n v="0.51639777949432231"/>
    <n v="0.89442719099991586"/>
    <n v="0.77459666924148352"/>
    <n v="0.89442719099991586"/>
    <s v="Palmeiras"/>
    <n v="1.3482480183717311"/>
    <n v="1.4401645902388842"/>
    <n v="0.63905055346342587"/>
    <n v="0.62888373137680609"/>
    <n v="0.70919746490830526"/>
    <n v="0.81128085886207812"/>
    <s v="Palmeiras"/>
    <n v="1.5183333333333333"/>
    <n v="2.6166666666666667"/>
    <n v="0.11686174167222851"/>
    <n v="0.26770630673681689"/>
    <n v="7.6967118554705935E-2"/>
    <n v="0.10230814270196824"/>
    <s v="Palmeiras"/>
    <n v="1"/>
    <n v="0.83333333333333337"/>
    <n v="0.66666666666666663"/>
    <n v="0.66666666666666663"/>
    <n v="0.66666666666666663"/>
    <n v="0.66666666666666663"/>
    <n v="0.16666666666666666"/>
    <n v="0.33333333333333331"/>
    <n v="0.16666666666666666"/>
    <n v="0"/>
    <n v="0.16666666666666666"/>
    <n v="0"/>
    <s v="Palmeiras"/>
    <n v="0.66666666666666663"/>
    <n v="0.66666666666666663"/>
    <s v="Palmeiras"/>
    <n v="0.31483294483294483"/>
    <n v="0.52434905094626449"/>
    <n v="0.13078142260346501"/>
    <n v="0.3540560277265502"/>
    <n v="0.41539941975532335"/>
    <n v="0.67522965300996418"/>
    <s v="Palmeiras"/>
    <n v="0.39781390637198927"/>
    <n v="0.38185510071474987"/>
    <n v="0.19255293758217698"/>
    <n v="0.32080292484753498"/>
    <n v="0.48402766845994538"/>
    <n v="0.84011690362931257"/>
    <s v="Palmeiras"/>
    <n v="4.5549999999999997"/>
    <n v="4.7972222222222225"/>
    <s v="Palmeiras"/>
    <n v="3.11"/>
    <n v="1.9500000000000002"/>
    <n v="-6"/>
    <n v="0.10000000000000009"/>
  </r>
  <r>
    <x v="4"/>
    <x v="15"/>
    <x v="15"/>
    <n v="5"/>
    <n v="1"/>
    <s v="H"/>
    <x v="11"/>
    <n v="4.75"/>
    <x v="13"/>
    <n v="3"/>
    <n v="0"/>
    <n v="0.5"/>
    <n v="0.76923076923076916"/>
    <n v="3.9000000000000004"/>
    <n v="0"/>
    <n v="4"/>
    <n v="-4"/>
    <n v="0.30000000000000004"/>
    <n v="-1"/>
    <n v="-1"/>
    <n v="1"/>
    <n v="0"/>
    <n v="1"/>
    <n v="1"/>
    <n v="1"/>
    <n v="1"/>
    <n v="1"/>
    <n v="1"/>
    <n v="1"/>
    <s v="FEV"/>
    <x v="15"/>
    <n v="1"/>
    <n v="0"/>
    <n v="0"/>
    <s v="1,21-1,4"/>
    <s v="9,01-16"/>
    <n v="0.76923076923076916"/>
    <n v="0.21052631578947367"/>
    <n v="0.1"/>
    <n v="-7.9757085020242924E-2"/>
    <n v="0.15384615384615383"/>
    <n v="0.1"/>
    <s v="Remo"/>
    <n v="1.2"/>
    <n v="0.2857142857142857"/>
    <n v="1.0954451150103321"/>
    <n v="0.4879500364742666"/>
    <n v="0.91287092917527679"/>
    <n v="1.7078251276599332"/>
    <s v="Remo"/>
    <n v="0.2"/>
    <n v="0"/>
    <n v="0"/>
    <n v="0.14285714285714285"/>
    <s v="Remo"/>
    <n v="1.6"/>
    <n v="0.7142857142857143"/>
    <n v="1.51657508881031"/>
    <n v="1.2535663410560174"/>
    <n v="0.94785943050644372"/>
    <n v="1.7549928774784243"/>
    <s v="Remo"/>
    <n v="1.4"/>
    <n v="2.1428571428571428"/>
    <n v="0.54772255750516596"/>
    <n v="1.3451854182690983"/>
    <n v="0.39123039821797573"/>
    <n v="0.62775319519224593"/>
    <s v="Remo"/>
    <n v="0.99562930587450926"/>
    <n v="0.6857926620185163"/>
    <n v="1.3420061622731945"/>
    <n v="1.3476079958074416"/>
    <n v="-0.34637685639868521"/>
    <n v="-0.66181533378892532"/>
    <s v="Remo"/>
    <n v="3.2399999999999998"/>
    <n v="7.3214285714285712"/>
    <n v="0.44916589362951476"/>
    <n v="4.386803804485405"/>
    <n v="0.13863144865108482"/>
    <n v="0.5991732025638602"/>
    <s v="Remo"/>
    <n v="1"/>
    <n v="0.8571428571428571"/>
    <n v="1"/>
    <n v="0.7142857142857143"/>
    <n v="0.4"/>
    <n v="0.42857142857142855"/>
    <n v="0.4"/>
    <n v="0.2857142857142857"/>
    <n v="0.2"/>
    <n v="0.2857142857142857"/>
    <n v="0"/>
    <n v="0.2857142857142857"/>
    <s v="Remo"/>
    <n v="0.8"/>
    <n v="0.2857142857142857"/>
    <s v="Remo"/>
    <n v="0.6801154543955138"/>
    <n v="0.49570592195181656"/>
    <n v="0.64327890732763138"/>
    <n v="0.87641175450748032"/>
    <n v="0.9458378032291257"/>
    <n v="1.7680074328276212"/>
    <s v="Remo"/>
    <n v="0.38063863131774844"/>
    <n v="0.73162393162393158"/>
    <n v="0.36273941580480129"/>
    <n v="0.45843527844383786"/>
    <n v="0.95297583051152446"/>
    <n v="0.62659962123748869"/>
    <s v="Remo"/>
    <n v="3.8879999999999995"/>
    <n v="2.0918367346938775"/>
    <s v="Remo"/>
    <n v="-2"/>
    <n v="-7"/>
    <n v="4.7"/>
    <n v="1.2000000000000002"/>
  </r>
  <r>
    <x v="4"/>
    <x v="16"/>
    <x v="16"/>
    <n v="1"/>
    <n v="1"/>
    <s v="D"/>
    <x v="8"/>
    <n v="3.3"/>
    <x v="14"/>
    <n v="1"/>
    <n v="1"/>
    <n v="0.27777777777777779"/>
    <n v="0.49751243781094534"/>
    <n v="2.0099999999999998"/>
    <n v="3.6"/>
    <n v="0"/>
    <n v="0"/>
    <n v="-1"/>
    <n v="-1"/>
    <n v="2.2999999999999998"/>
    <n v="0"/>
    <n v="0"/>
    <n v="1"/>
    <n v="1"/>
    <n v="0"/>
    <n v="0"/>
    <n v="0"/>
    <n v="0"/>
    <n v="1"/>
    <s v="FEV"/>
    <x v="16"/>
    <n v="0"/>
    <n v="1"/>
    <n v="0"/>
    <s v="2,01-2,4"/>
    <s v="3,01-4.0"/>
    <n v="0.49751243781094534"/>
    <n v="0.30303030303030304"/>
    <n v="0.27777777777777779"/>
    <n v="-7.8320518619026114E-2"/>
    <n v="0.49751243781094534"/>
    <n v="0.27777777777777779"/>
    <s v="Santos"/>
    <n v="1.5714285714285714"/>
    <n v="0.4"/>
    <n v="1.3972762620115438"/>
    <n v="0.54772255750516607"/>
    <n v="0.88917580309825517"/>
    <n v="1.3693063937629151"/>
    <s v="Santos"/>
    <n v="0"/>
    <n v="0"/>
    <n v="0"/>
    <n v="0.2"/>
    <s v="Santos"/>
    <n v="1.4285714285714286"/>
    <n v="1.2"/>
    <n v="0.53452248382484868"/>
    <n v="0.83666002653407556"/>
    <n v="0.37416573867739406"/>
    <n v="0.69721668877839638"/>
    <s v="Santos"/>
    <n v="1.1428571428571428"/>
    <n v="2.2000000000000002"/>
    <n v="1.0690449676496976"/>
    <n v="1.4832396974191326"/>
    <n v="0.93541434669348544"/>
    <n v="0.67419986246324204"/>
    <s v="Santos"/>
    <n v="0.88895473738795461"/>
    <n v="1.1521316721911075"/>
    <n v="1.0955152345087302"/>
    <n v="1.3835442090289736"/>
    <n v="-0.20656049712077562"/>
    <n v="-0.23141253683786611"/>
    <s v="Santos"/>
    <n v="2.0985714285714283"/>
    <n v="5.5"/>
    <n v="0.28404392685102875"/>
    <n v="3.2451887464367926"/>
    <n v="0.13535108835651474"/>
    <n v="0.59003431753396229"/>
    <s v="Santos"/>
    <n v="1"/>
    <n v="0.8"/>
    <n v="0.8571428571428571"/>
    <n v="0.8"/>
    <n v="0.42857142857142855"/>
    <n v="0.8"/>
    <n v="0.14285714285714285"/>
    <n v="0.6"/>
    <n v="0.14285714285714285"/>
    <n v="0.2"/>
    <n v="0"/>
    <n v="0.2"/>
    <s v="Santos"/>
    <n v="0.7142857142857143"/>
    <n v="0.8"/>
    <s v="Santos"/>
    <n v="0.37784802629523118"/>
    <n v="0.63018415892770452"/>
    <n v="0.12260456377405236"/>
    <n v="0.43657695351605008"/>
    <n v="0.32448115443708953"/>
    <n v="0.69277678172506196"/>
    <s v="Santos"/>
    <n v="0.37135989025742949"/>
    <n v="0.32923444976076555"/>
    <n v="0.10784089341813685"/>
    <n v="0.38074538102041344"/>
    <n v="0.2903945639993073"/>
    <n v="1.156456687011574"/>
    <s v="Santos"/>
    <n v="3.2977551020408158"/>
    <n v="2.2000000000000002"/>
    <s v="Santos"/>
    <n v="-1.28"/>
    <n v="-5"/>
    <n v="-0.89999999999999991"/>
    <n v="2.3000000000000003"/>
  </r>
  <r>
    <x v="4"/>
    <x v="17"/>
    <x v="17"/>
    <n v="1"/>
    <n v="1"/>
    <s v="D"/>
    <x v="4"/>
    <n v="3.9"/>
    <x v="4"/>
    <n v="1"/>
    <n v="1"/>
    <n v="0.16666666666666666"/>
    <n v="0.65359477124183007"/>
    <n v="1.53"/>
    <n v="6"/>
    <n v="0"/>
    <n v="0"/>
    <n v="-1"/>
    <n v="-1"/>
    <n v="2.9"/>
    <n v="0"/>
    <n v="0"/>
    <n v="1"/>
    <n v="1"/>
    <n v="0"/>
    <n v="0"/>
    <n v="0"/>
    <n v="0"/>
    <n v="1"/>
    <s v="FEV"/>
    <x v="17"/>
    <n v="0"/>
    <n v="1"/>
    <n v="0"/>
    <s v="1,41-1,7"/>
    <s v="5,51-9,0"/>
    <n v="0.65359477124183007"/>
    <n v="0.25641025641025644"/>
    <n v="0.16666666666666666"/>
    <n v="-7.6671694318753314E-2"/>
    <n v="0.65359477124183007"/>
    <n v="0.16666666666666666"/>
    <s v="Sao Paulo"/>
    <n v="2.4"/>
    <n v="1.1428571428571428"/>
    <n v="1.3416407864998738"/>
    <n v="1.3451854182690985"/>
    <n v="0.55901699437494745"/>
    <n v="1.1770372409854613"/>
    <s v="Sao Paulo"/>
    <n v="0.2"/>
    <n v="0"/>
    <n v="0"/>
    <n v="0"/>
    <s v="Sao Paulo"/>
    <n v="2"/>
    <n v="0.8571428571428571"/>
    <n v="1.4142135623730951"/>
    <n v="0.69006555934235414"/>
    <n v="0.70710678118654757"/>
    <n v="0.80507648589941316"/>
    <s v="Sao Paulo"/>
    <n v="0.6"/>
    <n v="1.1428571428571428"/>
    <n v="0.54772255750516607"/>
    <n v="0.69006555934235425"/>
    <n v="0.91287092917527679"/>
    <n v="0.60380736442455996"/>
    <s v="Sao Paulo"/>
    <n v="1.2445366323431364"/>
    <n v="0.82295119442221953"/>
    <n v="0.57514549811708338"/>
    <n v="0.71872426443063542"/>
    <n v="0.66939113422605301"/>
    <n v="0.10422692999158412"/>
    <s v="Sao Paulo"/>
    <n v="2.3440000000000003"/>
    <n v="3.2285714285714286"/>
    <n v="0.8697585871953194"/>
    <n v="0.38606685826112658"/>
    <n v="0.37105741774544337"/>
    <n v="0.11957823043486221"/>
    <s v="Sao Paulo"/>
    <n v="1"/>
    <n v="1"/>
    <n v="0.8"/>
    <n v="0.7142857142857143"/>
    <n v="0.4"/>
    <n v="0.2857142857142857"/>
    <n v="0.2"/>
    <n v="0"/>
    <n v="0.2"/>
    <n v="0"/>
    <n v="0"/>
    <n v="0"/>
    <s v="Sao Paulo"/>
    <n v="0.4"/>
    <n v="0.5714285714285714"/>
    <s v="Sao Paulo"/>
    <n v="0.55896103896103888"/>
    <n v="0.38117685731620016"/>
    <n v="0.46589966605346772"/>
    <n v="0.29936110178683312"/>
    <n v="0.8335100902908229"/>
    <n v="0.78536011838332076"/>
    <s v="Sao Paulo"/>
    <n v="0.37458130796608924"/>
    <n v="0.47830988455988449"/>
    <n v="0.36336904698114214"/>
    <n v="0.36060391617078497"/>
    <n v="0.97006721705942112"/>
    <n v="0.75391274111467221"/>
    <s v="Sao Paulo"/>
    <n v="5.6256000000000004"/>
    <n v="3.6897959183673468"/>
    <s v="Sao Paulo"/>
    <n v="4.1500000000000004"/>
    <n v="-0.79999999999999982"/>
    <n v="-5"/>
    <n v="-0.89999999999999991"/>
  </r>
  <r>
    <x v="5"/>
    <x v="18"/>
    <x v="18"/>
    <n v="1"/>
    <n v="2"/>
    <s v="A"/>
    <x v="12"/>
    <n v="4.33"/>
    <x v="15"/>
    <n v="0"/>
    <n v="3"/>
    <n v="0.10526315789473684"/>
    <n v="1.4814814814814814"/>
    <n v="0"/>
    <n v="28.5"/>
    <n v="-1"/>
    <n v="1"/>
    <n v="-1"/>
    <n v="8.5"/>
    <n v="-1"/>
    <n v="0"/>
    <n v="0"/>
    <n v="1"/>
    <n v="1"/>
    <n v="1"/>
    <n v="0"/>
    <n v="0"/>
    <n v="0"/>
    <n v="1"/>
    <s v="FEV"/>
    <x v="18"/>
    <n v="0"/>
    <n v="0"/>
    <n v="1"/>
    <s v="1,21-1,4"/>
    <s v="9,01-16"/>
    <n v="0.7407407407407407"/>
    <n v="0.23094688221709006"/>
    <n v="0.10526315789473684"/>
    <n v="-7.6950780852567569E-2"/>
    <n v="0.7407407407407407"/>
    <n v="5.2631578947368418E-2"/>
    <s v="Vasco"/>
    <n v="1.8571428571428572"/>
    <n v="0.6"/>
    <n v="1.4638501094227998"/>
    <n v="0.54772255750516607"/>
    <n v="0.78822698199689223"/>
    <n v="0.91287092917527679"/>
    <s v="Vasco"/>
    <n v="0"/>
    <n v="0"/>
    <n v="0"/>
    <n v="0"/>
    <s v="Vasco"/>
    <n v="1.5714285714285714"/>
    <n v="1.4"/>
    <n v="0.97590007294853331"/>
    <n v="0.89442719099991574"/>
    <n v="0.62102731914906661"/>
    <n v="0.63887656499993983"/>
    <s v="Vasco"/>
    <n v="1.2857142857142858"/>
    <n v="1.8"/>
    <n v="0.48795003647426666"/>
    <n v="0.83666002653407567"/>
    <n v="0.3795166950355407"/>
    <n v="0.46481112585226425"/>
    <s v="Vasco"/>
    <n v="0.97785021112675008"/>
    <n v="1.3441536175562918"/>
    <n v="1.2324546388223216"/>
    <n v="1.131990716478251"/>
    <n v="-0.25460442769557157"/>
    <n v="0.21216290107804081"/>
    <s v="Vasco"/>
    <n v="2.322857142857143"/>
    <n v="3.54"/>
    <n v="0.78268159310825369"/>
    <n v="0.88133421583415317"/>
    <n v="0.33694779531105629"/>
    <n v="0.24896446774976078"/>
    <s v="Vasco"/>
    <n v="1"/>
    <n v="1"/>
    <n v="0.8571428571428571"/>
    <n v="1"/>
    <n v="0.7142857142857143"/>
    <n v="0.6"/>
    <n v="0.14285714285714285"/>
    <n v="0.2"/>
    <n v="0.14285714285714285"/>
    <n v="0.2"/>
    <n v="0"/>
    <n v="0.2"/>
    <s v="Vasco"/>
    <n v="0.8571428571428571"/>
    <n v="1"/>
    <s v="Vasco"/>
    <n v="0.52800296408016645"/>
    <n v="0.66827316811582238"/>
    <n v="0.48235817659055047"/>
    <n v="0.51211752970423863"/>
    <n v="0.91355202414605052"/>
    <n v="0.76632963006451349"/>
    <s v="Vasco"/>
    <n v="0.42193352945211055"/>
    <n v="0.26637806637806638"/>
    <n v="0.32337459981425082"/>
    <n v="0.12672576366430904"/>
    <n v="0.76641124073301181"/>
    <n v="0.47573648006157188"/>
    <s v="Vasco"/>
    <n v="4.3138775510204086"/>
    <n v="2.1240000000000001"/>
    <s v="Vasco"/>
    <n v="3.62"/>
    <n v="-5"/>
    <n v="-3.1"/>
    <n v="4.5999999999999996"/>
  </r>
  <r>
    <x v="6"/>
    <x v="3"/>
    <x v="7"/>
    <n v="1"/>
    <n v="2"/>
    <s v="A"/>
    <x v="13"/>
    <n v="3.8"/>
    <x v="16"/>
    <n v="0"/>
    <n v="3"/>
    <n v="0.63694267515923564"/>
    <n v="0.34782608695652173"/>
    <n v="0"/>
    <n v="4.71"/>
    <n v="-1"/>
    <n v="1"/>
    <n v="-1"/>
    <n v="0.57000000000000006"/>
    <n v="-1"/>
    <n v="0"/>
    <n v="0"/>
    <n v="1"/>
    <n v="1"/>
    <n v="1"/>
    <n v="0"/>
    <n v="0"/>
    <n v="0"/>
    <n v="1"/>
    <s v="FEV"/>
    <x v="19"/>
    <n v="0"/>
    <n v="0"/>
    <n v="1"/>
    <s v="5,51-9,0"/>
    <s v="1,41-1,7"/>
    <n v="0.17391304347826086"/>
    <n v="0.26315789473684209"/>
    <n v="0.63694267515923564"/>
    <n v="-7.4013613374338538E-2"/>
    <n v="0.17391304347826086"/>
    <n v="0.31847133757961782"/>
    <s v="Vitoria"/>
    <n v="2.1666666666666665"/>
    <n v="0.4"/>
    <n v="1.3291601358251257"/>
    <n v="0.54772255750516607"/>
    <n v="0.61345852422698111"/>
    <n v="1.3693063937629151"/>
    <s v="Vitoria"/>
    <n v="0"/>
    <n v="0"/>
    <n v="0"/>
    <n v="0.2"/>
    <s v="Vitoria"/>
    <n v="1.3333333333333333"/>
    <n v="0.6"/>
    <n v="0.81649658092772603"/>
    <n v="0.54772255750516607"/>
    <n v="0.61237243569579458"/>
    <n v="0.91287092917527679"/>
    <s v="Vitoria"/>
    <n v="0.33333333333333331"/>
    <n v="2.4"/>
    <n v="0.81649658092772603"/>
    <n v="1.6733200530681511"/>
    <n v="2.4494897427831783"/>
    <n v="0.69721668877839638"/>
    <s v="Vitoria"/>
    <n v="0.82969108822875759"/>
    <n v="0.57606583609555373"/>
    <n v="0.31952527673171294"/>
    <n v="1.5093209553043345"/>
    <n v="0.51016581149704465"/>
    <n v="-0.93325511920878079"/>
    <s v="Vitoria"/>
    <n v="3"/>
    <n v="5.75"/>
    <n v="1.4041937188294209"/>
    <n v="2.6634094690828145"/>
    <n v="0.4680645729431403"/>
    <n v="0.4632016467970112"/>
    <s v="Vitoria"/>
    <n v="0.83333333333333337"/>
    <n v="1"/>
    <n v="0.66666666666666663"/>
    <n v="1"/>
    <n v="0.16666666666666666"/>
    <n v="0.4"/>
    <n v="0"/>
    <n v="0.2"/>
    <n v="0"/>
    <n v="0.2"/>
    <n v="0"/>
    <n v="0.2"/>
    <s v="Vitoria"/>
    <n v="0.16666666666666666"/>
    <n v="0.6"/>
    <s v="Vitoria"/>
    <n v="0.47070951918420906"/>
    <n v="0.35432808155699719"/>
    <n v="0.28120796955353294"/>
    <n v="0.34888085432389121"/>
    <n v="0.59741296509341268"/>
    <n v="0.98462660027065974"/>
    <s v="Vitoria"/>
    <n v="0.37075526980475737"/>
    <n v="0.53082251082251086"/>
    <n v="0.31910567595985784"/>
    <n v="0.43864846235836352"/>
    <n v="0.86069087063253713"/>
    <n v="0.82635618010750256"/>
    <s v="Vitoria"/>
    <n v="6.5"/>
    <n v="2.3000000000000003"/>
    <s v="Vitoria"/>
    <n v="3.6799999999999997"/>
    <n v="-5"/>
    <n v="-3"/>
    <n v="1.8000000000000003"/>
  </r>
  <r>
    <x v="6"/>
    <x v="5"/>
    <x v="18"/>
    <n v="3"/>
    <n v="3"/>
    <s v="D"/>
    <x v="1"/>
    <n v="3.2"/>
    <x v="17"/>
    <n v="1"/>
    <n v="1"/>
    <n v="1.1320754716981132"/>
    <n v="1.1111111111111109"/>
    <n v="2.7"/>
    <n v="2.65"/>
    <n v="0"/>
    <n v="0"/>
    <n v="-1"/>
    <n v="-1"/>
    <n v="2.2000000000000002"/>
    <n v="0"/>
    <n v="0"/>
    <n v="1"/>
    <n v="1"/>
    <n v="1"/>
    <n v="1"/>
    <n v="1"/>
    <n v="1"/>
    <n v="1"/>
    <s v="FEV"/>
    <x v="20"/>
    <n v="0"/>
    <n v="1"/>
    <n v="0"/>
    <s v="2,41-3,0"/>
    <s v="2,41-3,0"/>
    <n v="0.37037037037037035"/>
    <n v="0.3125"/>
    <n v="0.37735849056603776"/>
    <n v="-6.0228860936408113E-2"/>
    <n v="0.12345679012345678"/>
    <n v="0.12578616352201258"/>
    <m/>
    <n v="1.7820238095238092"/>
    <n v="0.96726190476190455"/>
    <n v="1.1789989888551917"/>
    <n v="1.0519970140616099"/>
    <n v="0.79004185418905093"/>
    <n v="1.3457576966448981"/>
    <m/>
    <n v="7.4642857142857136E-2"/>
    <n v="1.4285714285714285E-2"/>
    <n v="1.4285714285714285E-2"/>
    <n v="6.9761904761904761E-2"/>
    <n v="0"/>
    <n v="1.6070238095238096"/>
    <n v="1.0415476190476192"/>
    <n v="1.1358431590071016"/>
    <n v="0.82577659514127788"/>
    <n v="0.75832865716859721"/>
    <n v="0.9063826423545821"/>
    <n v="0"/>
    <n v="1.0432142857142854"/>
    <n v="1.5901190476190479"/>
    <n v="0.86833097381901303"/>
    <n v="1.0396582840190534"/>
    <n v="0.93595300508632095"/>
    <n v="0.67762513548314263"/>
    <n v="0"/>
    <n v="1"/>
    <n v="1"/>
    <n v="1.0000000000000004"/>
    <n v="0.99999999999999978"/>
    <n v="-3.497202527569243E-16"/>
    <n v="4.9960036108132046E-17"/>
    <n v="0"/>
    <n v="2.2111214285714285"/>
    <n v="4.2646964285714288"/>
    <n v="0.53491721599110087"/>
    <n v="1.4895666017063567"/>
    <n v="0.23235995152075262"/>
    <n v="0.32657381137010943"/>
    <n v="0"/>
    <n v="0.95190476190476192"/>
    <n v="0.95071428571428584"/>
    <n v="0.78499999999999992"/>
    <n v="0.7857142857142857"/>
    <n v="0.48357142857142865"/>
    <n v="0.47595238095238102"/>
    <n v="0.22297619047619052"/>
    <n v="0.21785714285714289"/>
    <n v="0.12869047619047619"/>
    <n v="0.1273809523809524"/>
    <n v="5.8095238095238103E-2"/>
    <n v="5.9761904761904759E-2"/>
    <n v="0"/>
    <n v="0.55928571428571439"/>
    <n v="0.56892857142857145"/>
    <n v="0"/>
    <n v="0.42363898011541468"/>
    <n v="0.47439728825058314"/>
    <n v="0.32186986052006639"/>
    <n v="0.40187668163733248"/>
    <n v="0.74453312679421657"/>
    <n v="0.94657334280186201"/>
    <n v="0"/>
    <n v="0.43642939474508652"/>
    <n v="0.4710589693099223"/>
    <n v="0.28559056930120874"/>
    <n v="0.35529158577470016"/>
    <n v="0.66256198564963675"/>
    <n v="0.79173021502228336"/>
    <n v="0"/>
    <n v="3.8138645975056691"/>
    <n v="3.7128514597505662"/>
    <n v="0"/>
    <n v="-9.200000000000004E-2"/>
    <n v="-0.99249999999999994"/>
    <n v="-0.63500000000000001"/>
    <n v="-0.63499999999999968"/>
  </r>
  <r>
    <x v="6"/>
    <x v="8"/>
    <x v="9"/>
    <n v="2"/>
    <n v="2"/>
    <s v="D"/>
    <x v="14"/>
    <n v="3"/>
    <x v="5"/>
    <n v="1"/>
    <n v="1"/>
    <n v="0.625"/>
    <n v="0.83333333333333337"/>
    <n v="2.4"/>
    <n v="3.2"/>
    <n v="0"/>
    <n v="0"/>
    <n v="-1"/>
    <n v="-1"/>
    <n v="2"/>
    <n v="0"/>
    <n v="0"/>
    <n v="1"/>
    <n v="1"/>
    <n v="1"/>
    <n v="1"/>
    <n v="0"/>
    <n v="0"/>
    <n v="1"/>
    <s v="FEV"/>
    <x v="21"/>
    <n v="0"/>
    <n v="1"/>
    <n v="0"/>
    <s v="2,01-2,4"/>
    <s v="3,01-4.0"/>
    <n v="0.41666666666666669"/>
    <n v="0.33333333333333331"/>
    <n v="0.3125"/>
    <n v="-6.25E-2"/>
    <n v="0.20833333333333334"/>
    <n v="0.15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x v="0"/>
    <x v="3"/>
    <n v="3"/>
    <n v="3"/>
    <s v="D"/>
    <x v="9"/>
    <n v="4.5"/>
    <x v="10"/>
    <n v="1"/>
    <n v="1"/>
    <n v="0.4"/>
    <n v="2.1276595744680851"/>
    <n v="1.41"/>
    <n v="7.5"/>
    <n v="0"/>
    <n v="0"/>
    <n v="-1"/>
    <n v="-1"/>
    <n v="3.5"/>
    <n v="0"/>
    <n v="0"/>
    <n v="1"/>
    <n v="1"/>
    <n v="1"/>
    <n v="1"/>
    <n v="1"/>
    <n v="1"/>
    <n v="1"/>
    <s v="FEV"/>
    <x v="22"/>
    <n v="0"/>
    <n v="1"/>
    <n v="0"/>
    <s v="1,41-1,7"/>
    <s v="5,51-9,0"/>
    <n v="0.70921985815602839"/>
    <n v="0.22222222222222221"/>
    <n v="0.13333333333333333"/>
    <n v="-6.4775413711583907E-2"/>
    <n v="0.2364066193853428"/>
    <n v="4.444444444444444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7"/>
    <x v="4"/>
    <n v="2"/>
    <n v="0"/>
    <s v="H"/>
    <x v="15"/>
    <n v="3.2"/>
    <x v="18"/>
    <n v="3"/>
    <n v="0"/>
    <n v="0.47619047619047616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FEV"/>
    <x v="23"/>
    <n v="1"/>
    <n v="0"/>
    <n v="0"/>
    <s v="1,71-2,0"/>
    <s v="4,01-5,5"/>
    <n v="0.52356020942408377"/>
    <n v="0.3125"/>
    <n v="0.23809523809523808"/>
    <n v="-7.4155447519321793E-2"/>
    <n v="0.2617801047120418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7"/>
    <x v="6"/>
    <n v="0"/>
    <n v="1"/>
    <s v="A"/>
    <x v="5"/>
    <n v="3.3"/>
    <x v="19"/>
    <n v="0"/>
    <n v="3"/>
    <n v="0"/>
    <n v="0.45454545454545453"/>
    <n v="0"/>
    <n v="9.3000000000000007"/>
    <n v="-1"/>
    <n v="1"/>
    <n v="-1"/>
    <n v="2.1"/>
    <n v="-1"/>
    <n v="0"/>
    <n v="0"/>
    <n v="1"/>
    <n v="0"/>
    <n v="0"/>
    <n v="0"/>
    <n v="0"/>
    <n v="0"/>
    <n v="0"/>
    <s v="FEV"/>
    <x v="24"/>
    <n v="0"/>
    <n v="0"/>
    <n v="1"/>
    <s v="2,01-2,4"/>
    <s v="3,01-4.0"/>
    <n v="0.45454545454545453"/>
    <n v="0.30303030303030304"/>
    <n v="0.32258064516129031"/>
    <n v="-8.0156402737047827E-2"/>
    <n v="1"/>
    <n v="0.32258064516129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19"/>
    <x v="5"/>
    <n v="2"/>
    <n v="1"/>
    <s v="H"/>
    <x v="2"/>
    <n v="3.25"/>
    <x v="9"/>
    <n v="3"/>
    <n v="0"/>
    <n v="0.5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FEV"/>
    <x v="25"/>
    <n v="1"/>
    <n v="0"/>
    <n v="0"/>
    <s v="1,71-2,0"/>
    <s v="3,01-4.0"/>
    <n v="0.51020408163265307"/>
    <n v="0.30769230769230771"/>
    <n v="0.25"/>
    <n v="-6.7896389324960893E-2"/>
    <n v="0.25510204081632654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4"/>
    <x v="14"/>
    <n v="1"/>
    <n v="0"/>
    <s v="H"/>
    <x v="16"/>
    <n v="3.3"/>
    <x v="20"/>
    <n v="3"/>
    <n v="0"/>
    <n v="0.18181818181818182"/>
    <n v="0"/>
    <n v="5.28"/>
    <n v="0"/>
    <n v="1"/>
    <n v="-1"/>
    <n v="0.76"/>
    <n v="-1"/>
    <n v="-1"/>
    <n v="0"/>
    <n v="0"/>
    <n v="1"/>
    <n v="0"/>
    <n v="0"/>
    <n v="0"/>
    <n v="0"/>
    <n v="0"/>
    <n v="0"/>
    <s v="FEV"/>
    <x v="26"/>
    <n v="1"/>
    <n v="0"/>
    <n v="0"/>
    <s v="1,71-2,0"/>
    <s v="4,01-5,5"/>
    <n v="0.56818181818181823"/>
    <n v="0.30303030303030304"/>
    <n v="0.18181818181818182"/>
    <n v="-5.3030303030303205E-2"/>
    <n v="0.5681818181818182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x v="6"/>
    <x v="1"/>
    <n v="2"/>
    <n v="0"/>
    <s v="H"/>
    <x v="17"/>
    <n v="3.2"/>
    <x v="3"/>
    <n v="3"/>
    <n v="0"/>
    <n v="0.42105263157894735"/>
    <n v="0"/>
    <n v="5.58"/>
    <n v="0"/>
    <n v="2"/>
    <n v="-2"/>
    <n v="0.8600000000000001"/>
    <n v="-1"/>
    <n v="-1"/>
    <n v="0"/>
    <n v="0"/>
    <n v="1"/>
    <n v="1"/>
    <n v="0"/>
    <n v="0"/>
    <n v="0"/>
    <n v="0"/>
    <n v="0"/>
    <s v="FEV"/>
    <x v="27"/>
    <n v="1"/>
    <n v="0"/>
    <n v="0"/>
    <s v="1,71-2,0"/>
    <s v="4,01-5,5"/>
    <n v="0.5376344086021505"/>
    <n v="0.3125"/>
    <n v="0.21052631578947367"/>
    <n v="-6.0660724391624177E-2"/>
    <n v="0.2688172043010752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x v="2"/>
    <x v="0"/>
    <n v="1"/>
    <n v="3"/>
    <s v="A"/>
    <x v="10"/>
    <n v="3.4"/>
    <x v="21"/>
    <n v="0"/>
    <n v="3"/>
    <n v="0.44444444444444442"/>
    <n v="0.96774193548387089"/>
    <n v="0"/>
    <n v="6.75"/>
    <n v="-2"/>
    <n v="2"/>
    <n v="-1"/>
    <n v="1.25"/>
    <n v="-1"/>
    <n v="0"/>
    <n v="0"/>
    <n v="1"/>
    <n v="1"/>
    <n v="1"/>
    <n v="1"/>
    <n v="0"/>
    <n v="0"/>
    <n v="1"/>
    <s v="FEV"/>
    <x v="28"/>
    <n v="0"/>
    <n v="0"/>
    <n v="1"/>
    <s v="3,01-4.0"/>
    <s v="2,01-2,4"/>
    <n v="0.32258064516129031"/>
    <n v="0.29411764705882354"/>
    <n v="0.44444444444444442"/>
    <n v="-6.1142736664558273E-2"/>
    <n v="0.32258064516129031"/>
    <n v="0.148148148148148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x v="19"/>
    <x v="19"/>
    <n v="0"/>
    <n v="1"/>
    <s v="A"/>
    <x v="18"/>
    <n v="3"/>
    <x v="22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FEV"/>
    <x v="29"/>
    <n v="0"/>
    <n v="0"/>
    <n v="1"/>
    <s v="2,41-3,0"/>
    <s v="2,41-3,0"/>
    <n v="0.38910505836575876"/>
    <n v="0.33333333333333331"/>
    <n v="0.35087719298245612"/>
    <n v="-7.3315584681548085E-2"/>
    <n v="1"/>
    <n v="0.35087719298245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0"/>
    <x v="2"/>
    <n v="1"/>
    <n v="1"/>
    <s v="D"/>
    <x v="8"/>
    <n v="3.3"/>
    <x v="2"/>
    <n v="1"/>
    <n v="1"/>
    <n v="0.25641025641025644"/>
    <n v="0.49751243781094534"/>
    <n v="2.0099999999999998"/>
    <n v="3.9"/>
    <n v="0"/>
    <n v="0"/>
    <n v="-1"/>
    <n v="-1"/>
    <n v="2.2999999999999998"/>
    <n v="0"/>
    <n v="0"/>
    <n v="1"/>
    <n v="1"/>
    <n v="0"/>
    <n v="0"/>
    <n v="0"/>
    <n v="0"/>
    <n v="1"/>
    <s v="FEV"/>
    <x v="30"/>
    <n v="0"/>
    <n v="1"/>
    <n v="0"/>
    <s v="2,01-2,4"/>
    <s v="3,01-4.0"/>
    <n v="0.49751243781094534"/>
    <n v="0.30303030303030304"/>
    <n v="0.25641025641025644"/>
    <n v="-5.6952997251504822E-2"/>
    <n v="0.4975124378109453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2"/>
    <x v="11"/>
    <n v="1"/>
    <n v="1"/>
    <s v="D"/>
    <x v="19"/>
    <n v="3.4"/>
    <x v="23"/>
    <n v="1"/>
    <n v="1"/>
    <n v="0.46511627906976744"/>
    <n v="0.30769230769230771"/>
    <n v="3.25"/>
    <n v="2.15"/>
    <n v="0"/>
    <n v="0"/>
    <n v="-1"/>
    <n v="-1"/>
    <n v="2.4"/>
    <n v="0"/>
    <n v="0"/>
    <n v="1"/>
    <n v="1"/>
    <n v="0"/>
    <n v="0"/>
    <n v="0"/>
    <n v="0"/>
    <n v="1"/>
    <s v="FEV"/>
    <x v="31"/>
    <n v="0"/>
    <n v="1"/>
    <n v="0"/>
    <s v="3,01-4.0"/>
    <s v="2,01-2,4"/>
    <n v="0.30769230769230771"/>
    <n v="0.29411764705882354"/>
    <n v="0.46511627906976744"/>
    <n v="-6.6926233820898684E-2"/>
    <n v="0.30769230769230771"/>
    <n v="0.46511627906976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"/>
    <x v="13"/>
    <n v="0"/>
    <n v="1"/>
    <s v="A"/>
    <x v="20"/>
    <n v="3.1"/>
    <x v="24"/>
    <n v="0"/>
    <n v="3"/>
    <n v="0"/>
    <n v="0.4"/>
    <n v="0"/>
    <n v="9"/>
    <n v="-1"/>
    <n v="1"/>
    <n v="-1"/>
    <n v="2"/>
    <n v="-1"/>
    <n v="0"/>
    <n v="0"/>
    <n v="1"/>
    <n v="0"/>
    <n v="0"/>
    <n v="0"/>
    <n v="0"/>
    <n v="0"/>
    <n v="0"/>
    <s v="FEV"/>
    <x v="32"/>
    <n v="0"/>
    <n v="0"/>
    <n v="1"/>
    <s v="2,41-3,0"/>
    <s v="2,41-3,0"/>
    <n v="0.4"/>
    <n v="0.32258064516129031"/>
    <n v="0.33333333333333331"/>
    <n v="-5.5913978494623651E-2"/>
    <n v="1"/>
    <n v="0.33333333333333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x v="18"/>
    <x v="19"/>
    <n v="1"/>
    <n v="1"/>
    <s v="D"/>
    <x v="21"/>
    <n v="3.5"/>
    <x v="20"/>
    <n v="1"/>
    <n v="1"/>
    <n v="0.18181818181818182"/>
    <n v="0.60240963855421692"/>
    <n v="1.66"/>
    <n v="5.5"/>
    <n v="0"/>
    <n v="0"/>
    <n v="-1"/>
    <n v="-1"/>
    <n v="2.5"/>
    <n v="0"/>
    <n v="0"/>
    <n v="1"/>
    <n v="1"/>
    <n v="0"/>
    <n v="0"/>
    <n v="0"/>
    <n v="0"/>
    <n v="1"/>
    <s v="FEV"/>
    <x v="33"/>
    <n v="0"/>
    <n v="1"/>
    <n v="0"/>
    <s v="1,41-1,7"/>
    <s v="4,01-5,5"/>
    <n v="0.60240963855421692"/>
    <n v="0.2857142857142857"/>
    <n v="0.18181818181818182"/>
    <n v="-6.9942106086684497E-2"/>
    <n v="0.60240963855421692"/>
    <n v="0.18181818181818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4"/>
    <x v="10"/>
    <n v="2"/>
    <n v="1"/>
    <s v="H"/>
    <x v="22"/>
    <n v="3.3"/>
    <x v="8"/>
    <n v="3"/>
    <n v="0"/>
    <n v="0.588235294117647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FEV"/>
    <x v="34"/>
    <n v="1"/>
    <n v="0"/>
    <n v="0"/>
    <s v="2,01-2,4"/>
    <s v="3,01-4.0"/>
    <n v="0.47619047619047616"/>
    <n v="0.30303030303030304"/>
    <n v="0.29411764705882354"/>
    <n v="-7.3338426279602853E-2"/>
    <n v="0.23809523809523808"/>
    <n v="0.2941176470588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5"/>
    <x v="16"/>
    <n v="2"/>
    <n v="1"/>
    <s v="H"/>
    <x v="23"/>
    <n v="3.9"/>
    <x v="25"/>
    <n v="3"/>
    <n v="0"/>
    <n v="0.4"/>
    <n v="0.61728395061728392"/>
    <n v="4.8600000000000003"/>
    <n v="0"/>
    <n v="1"/>
    <n v="-1"/>
    <n v="0.62000000000000011"/>
    <n v="-1"/>
    <n v="-1"/>
    <n v="0"/>
    <n v="0"/>
    <n v="1"/>
    <n v="1"/>
    <n v="1"/>
    <n v="0"/>
    <n v="0"/>
    <n v="0"/>
    <n v="1"/>
    <s v="FEV"/>
    <x v="35"/>
    <n v="1"/>
    <n v="0"/>
    <n v="0"/>
    <s v="1,41-1,7"/>
    <s v="4,01-5,5"/>
    <n v="0.61728395061728392"/>
    <n v="0.25641025641025644"/>
    <n v="0.2"/>
    <n v="-7.369420702754037E-2"/>
    <n v="0.30864197530864196"/>
    <n v="0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x v="13"/>
    <x v="8"/>
    <n v="2"/>
    <n v="1"/>
    <s v="H"/>
    <x v="8"/>
    <n v="3.4"/>
    <x v="26"/>
    <n v="3"/>
    <n v="0"/>
    <n v="0.53333333333333333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FEV"/>
    <x v="36"/>
    <n v="1"/>
    <n v="0"/>
    <n v="0"/>
    <s v="2,01-2,4"/>
    <s v="3,01-4.0"/>
    <n v="0.49751243781094534"/>
    <n v="0.29411764705882354"/>
    <n v="0.26666666666666666"/>
    <n v="-5.8296751536435432E-2"/>
    <n v="0.24875621890547267"/>
    <n v="0.2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8"/>
    <x v="5"/>
    <n v="2"/>
    <n v="2"/>
    <s v="D"/>
    <x v="21"/>
    <n v="3.7"/>
    <x v="3"/>
    <n v="1"/>
    <n v="1"/>
    <n v="0.42105263157894735"/>
    <n v="1.2048192771084338"/>
    <n v="1.66"/>
    <n v="4.75"/>
    <n v="0"/>
    <n v="0"/>
    <n v="-1"/>
    <n v="-1"/>
    <n v="2.7"/>
    <n v="0"/>
    <n v="0"/>
    <n v="1"/>
    <n v="1"/>
    <n v="1"/>
    <n v="1"/>
    <n v="0"/>
    <n v="0"/>
    <n v="1"/>
    <s v="MAR"/>
    <x v="37"/>
    <n v="0"/>
    <n v="1"/>
    <n v="0"/>
    <s v="1,41-1,7"/>
    <s v="4,01-5,5"/>
    <n v="0.60240963855421692"/>
    <n v="0.27027027027027023"/>
    <n v="0.21052631578947367"/>
    <n v="-8.3206224613960877E-2"/>
    <n v="0.30120481927710846"/>
    <n v="0.10526315789473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0"/>
    <x v="11"/>
    <n v="1"/>
    <n v="0"/>
    <s v="H"/>
    <x v="8"/>
    <n v="3.4"/>
    <x v="27"/>
    <n v="3"/>
    <n v="0"/>
    <n v="0.27027027027027023"/>
    <n v="0"/>
    <n v="6.0299999999999994"/>
    <n v="0"/>
    <n v="1"/>
    <n v="-1"/>
    <n v="1.0099999999999998"/>
    <n v="-1"/>
    <n v="-1"/>
    <n v="0"/>
    <n v="0"/>
    <n v="1"/>
    <n v="0"/>
    <n v="0"/>
    <n v="0"/>
    <n v="0"/>
    <n v="0"/>
    <n v="0"/>
    <s v="MAR"/>
    <x v="38"/>
    <n v="1"/>
    <n v="0"/>
    <n v="0"/>
    <s v="2,01-2,4"/>
    <s v="3,01-4.0"/>
    <n v="0.49751243781094534"/>
    <n v="0.29411764705882354"/>
    <n v="0.27027027027027023"/>
    <n v="-6.1900355140038998E-2"/>
    <n v="0.4975124378109453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x v="16"/>
    <x v="15"/>
    <n v="1"/>
    <n v="1"/>
    <s v="D"/>
    <x v="21"/>
    <n v="3.6"/>
    <x v="28"/>
    <n v="1"/>
    <n v="1"/>
    <n v="0.19047619047619047"/>
    <n v="0.60240963855421692"/>
    <n v="1.66"/>
    <n v="5.25"/>
    <n v="0"/>
    <n v="0"/>
    <n v="-1"/>
    <n v="-1"/>
    <n v="2.6"/>
    <n v="0"/>
    <n v="0"/>
    <n v="1"/>
    <n v="1"/>
    <n v="0"/>
    <n v="0"/>
    <n v="0"/>
    <n v="0"/>
    <n v="1"/>
    <s v="MAR"/>
    <x v="39"/>
    <n v="0"/>
    <n v="1"/>
    <n v="0"/>
    <s v="1,41-1,7"/>
    <s v="4,01-5,5"/>
    <n v="0.60240963855421692"/>
    <n v="0.27777777777777779"/>
    <n v="0.19047619047619047"/>
    <n v="-7.0663606808185175E-2"/>
    <n v="0.60240963855421692"/>
    <n v="0.19047619047619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6"/>
    <x v="18"/>
    <n v="0"/>
    <n v="2"/>
    <s v="A"/>
    <x v="23"/>
    <n v="3.75"/>
    <x v="25"/>
    <n v="0"/>
    <n v="3"/>
    <n v="0"/>
    <n v="1.2345679012345678"/>
    <n v="0"/>
    <n v="15"/>
    <n v="-2"/>
    <n v="2"/>
    <n v="-1"/>
    <n v="4"/>
    <n v="-1"/>
    <n v="0"/>
    <n v="0"/>
    <n v="1"/>
    <n v="1"/>
    <n v="0"/>
    <n v="0"/>
    <n v="0"/>
    <n v="0"/>
    <n v="0"/>
    <s v="MAR"/>
    <x v="40"/>
    <n v="0"/>
    <n v="0"/>
    <n v="1"/>
    <s v="1,41-1,7"/>
    <s v="4,01-5,5"/>
    <n v="0.61728395061728392"/>
    <n v="0.26666666666666666"/>
    <n v="0.2"/>
    <n v="-8.395061728395059E-2"/>
    <n v="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1"/>
    <x v="9"/>
    <n v="2"/>
    <n v="0"/>
    <s v="H"/>
    <x v="24"/>
    <n v="4.2"/>
    <x v="29"/>
    <n v="3"/>
    <n v="0"/>
    <n v="0.30769230769230771"/>
    <n v="0"/>
    <n v="4.3499999999999996"/>
    <n v="0"/>
    <n v="2"/>
    <n v="-2"/>
    <n v="0.44999999999999996"/>
    <n v="-1"/>
    <n v="-1"/>
    <n v="0"/>
    <n v="0"/>
    <n v="1"/>
    <n v="1"/>
    <n v="0"/>
    <n v="0"/>
    <n v="0"/>
    <n v="0"/>
    <n v="0"/>
    <s v="MAR"/>
    <x v="41"/>
    <n v="1"/>
    <n v="0"/>
    <n v="0"/>
    <s v="1,41-1,7"/>
    <s v="5,51-9,0"/>
    <n v="0.68965517241379315"/>
    <n v="0.23809523809523808"/>
    <n v="0.15384615384615385"/>
    <n v="-8.1596564355185031E-2"/>
    <n v="0.3448275862068965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2"/>
    <x v="16"/>
    <n v="0"/>
    <n v="2"/>
    <s v="A"/>
    <x v="25"/>
    <n v="3.5"/>
    <x v="30"/>
    <n v="0"/>
    <n v="3"/>
    <n v="0"/>
    <n v="0.5"/>
    <n v="0"/>
    <n v="5.58"/>
    <n v="-2"/>
    <n v="2"/>
    <n v="-1"/>
    <n v="0.8600000000000001"/>
    <n v="-1"/>
    <n v="0"/>
    <n v="0"/>
    <n v="1"/>
    <n v="1"/>
    <n v="0"/>
    <n v="0"/>
    <n v="0"/>
    <n v="0"/>
    <n v="0"/>
    <s v="MAR"/>
    <x v="42"/>
    <n v="0"/>
    <n v="0"/>
    <n v="1"/>
    <s v="3,01-4.0"/>
    <s v="1,71-2,0"/>
    <n v="0.25"/>
    <n v="0.2857142857142857"/>
    <n v="0.5376344086021505"/>
    <n v="-7.3348694316436092E-2"/>
    <n v="1"/>
    <n v="0.268817204301075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17"/>
    <x v="0"/>
    <n v="2"/>
    <n v="1"/>
    <s v="H"/>
    <x v="10"/>
    <n v="3.25"/>
    <x v="11"/>
    <n v="3"/>
    <n v="0"/>
    <n v="0.83333333333333337"/>
    <n v="0.32258064516129031"/>
    <n v="9.3000000000000007"/>
    <n v="0"/>
    <n v="1"/>
    <n v="-1"/>
    <n v="2.1"/>
    <n v="-1"/>
    <n v="-1"/>
    <n v="0"/>
    <n v="0"/>
    <n v="1"/>
    <n v="1"/>
    <n v="1"/>
    <n v="0"/>
    <n v="0"/>
    <n v="0"/>
    <n v="1"/>
    <s v="MAR"/>
    <x v="43"/>
    <n v="1"/>
    <n v="0"/>
    <n v="0"/>
    <s v="3,01-4.0"/>
    <s v="2,01-2,4"/>
    <n v="0.32258064516129031"/>
    <n v="0.30769230769230771"/>
    <n v="0.41666666666666669"/>
    <n v="-4.6939619520264708E-2"/>
    <n v="0.16129032258064516"/>
    <n v="0.416666666666666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x v="7"/>
    <x v="17"/>
    <n v="2"/>
    <n v="0"/>
    <s v="H"/>
    <x v="26"/>
    <n v="4.5"/>
    <x v="10"/>
    <n v="3"/>
    <n v="0"/>
    <n v="0.26666666666666666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MAR"/>
    <x v="44"/>
    <n v="1"/>
    <n v="0"/>
    <n v="0"/>
    <s v="1,21-1,4"/>
    <s v="5,51-9,0"/>
    <n v="0.71942446043165476"/>
    <n v="0.22222222222222221"/>
    <n v="0.13333333333333333"/>
    <n v="-7.4980015987210269E-2"/>
    <n v="0.3597122302158273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x v="14"/>
    <x v="1"/>
    <n v="1"/>
    <n v="1"/>
    <s v="D"/>
    <x v="27"/>
    <n v="3.4"/>
    <x v="5"/>
    <n v="1"/>
    <n v="1"/>
    <n v="0.3125"/>
    <n v="0.46511627906976744"/>
    <n v="2.15"/>
    <n v="3.2"/>
    <n v="0"/>
    <n v="0"/>
    <n v="-1"/>
    <n v="-1"/>
    <n v="2.4"/>
    <n v="0"/>
    <n v="0"/>
    <n v="1"/>
    <n v="1"/>
    <n v="0"/>
    <n v="0"/>
    <n v="0"/>
    <n v="0"/>
    <n v="1"/>
    <s v="MAR"/>
    <x v="45"/>
    <n v="0"/>
    <n v="1"/>
    <n v="0"/>
    <s v="2,01-2,4"/>
    <s v="3,01-4.0"/>
    <n v="0.46511627906976744"/>
    <n v="0.29411764705882354"/>
    <n v="0.3125"/>
    <n v="-7.1733926128590975E-2"/>
    <n v="0.46511627906976744"/>
    <n v="0.3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x v="3"/>
    <x v="10"/>
    <n v="2"/>
    <n v="0"/>
    <s v="H"/>
    <x v="28"/>
    <n v="3.1"/>
    <x v="31"/>
    <n v="3"/>
    <n v="0"/>
    <n v="0.61538461538461542"/>
    <n v="0"/>
    <n v="6.9599999999999991"/>
    <n v="0"/>
    <n v="2"/>
    <n v="-2"/>
    <n v="1.3199999999999998"/>
    <n v="-1"/>
    <n v="-1"/>
    <n v="0"/>
    <n v="0"/>
    <n v="1"/>
    <n v="1"/>
    <n v="0"/>
    <n v="0"/>
    <n v="0"/>
    <n v="0"/>
    <n v="0"/>
    <s v="MAR"/>
    <x v="46"/>
    <n v="1"/>
    <n v="0"/>
    <n v="0"/>
    <s v="2,01-2,4"/>
    <s v="3,01-4.0"/>
    <n v="0.43103448275862072"/>
    <n v="0.32258064516129031"/>
    <n v="0.30769230769230771"/>
    <n v="-6.1307435612218741E-2"/>
    <n v="0.2155172413793103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x v="9"/>
    <x v="7"/>
    <n v="0"/>
    <n v="3"/>
    <s v="A"/>
    <x v="29"/>
    <n v="3.3"/>
    <x v="32"/>
    <n v="0"/>
    <n v="3"/>
    <n v="0"/>
    <n v="0.73170731707317083"/>
    <n v="0"/>
    <n v="5.7299999999999995"/>
    <n v="-3"/>
    <n v="3"/>
    <n v="-1"/>
    <n v="0.90999999999999992"/>
    <n v="-1"/>
    <n v="0"/>
    <n v="0"/>
    <n v="1"/>
    <n v="1"/>
    <n v="1"/>
    <n v="0"/>
    <n v="0"/>
    <n v="0"/>
    <n v="0"/>
    <s v="MAR"/>
    <x v="47"/>
    <n v="0"/>
    <n v="0"/>
    <n v="1"/>
    <s v="4,01-5,5"/>
    <s v="1,71-2,0"/>
    <n v="0.24390243902439027"/>
    <n v="0.30303030303030304"/>
    <n v="0.52356020942408377"/>
    <n v="-7.0492951478777099E-2"/>
    <n v="1"/>
    <n v="0.17452006980802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4"/>
    <x v="2"/>
    <n v="3"/>
    <n v="2"/>
    <s v="H"/>
    <x v="3"/>
    <n v="3.4"/>
    <x v="3"/>
    <n v="3"/>
    <n v="0"/>
    <n v="0.63157894736842102"/>
    <n v="1.1173184357541899"/>
    <n v="5.37"/>
    <n v="0"/>
    <n v="1"/>
    <n v="-1"/>
    <n v="0.79"/>
    <n v="-1"/>
    <n v="-1"/>
    <n v="0"/>
    <n v="0"/>
    <n v="1"/>
    <n v="1"/>
    <n v="1"/>
    <n v="1"/>
    <n v="1"/>
    <n v="0"/>
    <n v="1"/>
    <s v="MAR"/>
    <x v="48"/>
    <n v="1"/>
    <n v="0"/>
    <n v="0"/>
    <s v="1,71-2,0"/>
    <s v="4,01-5,5"/>
    <n v="0.55865921787709494"/>
    <n v="0.29411764705882354"/>
    <n v="0.21052631578947367"/>
    <n v="-6.3303180725392094E-2"/>
    <n v="0.18621973929236499"/>
    <n v="0.10526315789473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2"/>
    <x v="6"/>
    <n v="0"/>
    <n v="1"/>
    <s v="A"/>
    <x v="16"/>
    <n v="3.75"/>
    <x v="33"/>
    <n v="0"/>
    <n v="3"/>
    <n v="0"/>
    <n v="0.56818181818181823"/>
    <n v="0"/>
    <n v="12.99"/>
    <n v="-1"/>
    <n v="1"/>
    <n v="-1"/>
    <n v="3.33"/>
    <n v="-1"/>
    <n v="0"/>
    <n v="0"/>
    <n v="1"/>
    <n v="0"/>
    <n v="0"/>
    <n v="0"/>
    <n v="0"/>
    <n v="0"/>
    <n v="0"/>
    <s v="MAR"/>
    <x v="49"/>
    <n v="0"/>
    <n v="0"/>
    <n v="1"/>
    <s v="1,71-2,0"/>
    <s v="4,01-5,5"/>
    <n v="0.56818181818181823"/>
    <n v="0.26666666666666666"/>
    <n v="0.23094688221709006"/>
    <n v="-6.5795367065575094E-2"/>
    <n v="1"/>
    <n v="0.2309468822170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3"/>
    <x v="19"/>
    <n v="1"/>
    <n v="1"/>
    <s v="D"/>
    <x v="18"/>
    <n v="3"/>
    <x v="24"/>
    <n v="1"/>
    <n v="1"/>
    <n v="0.33333333333333331"/>
    <n v="0.38910505836575876"/>
    <n v="2.57"/>
    <n v="3"/>
    <n v="0"/>
    <n v="0"/>
    <n v="-1"/>
    <n v="-1"/>
    <n v="2"/>
    <n v="0"/>
    <n v="0"/>
    <n v="1"/>
    <n v="1"/>
    <n v="0"/>
    <n v="0"/>
    <n v="0"/>
    <n v="0"/>
    <n v="1"/>
    <s v="MAR"/>
    <x v="50"/>
    <n v="0"/>
    <n v="1"/>
    <n v="0"/>
    <s v="2,41-3,0"/>
    <s v="2,41-3,0"/>
    <n v="0.38910505836575876"/>
    <n v="0.33333333333333331"/>
    <n v="0.33333333333333331"/>
    <n v="-5.5771725032425445E-2"/>
    <n v="0.38910505836575876"/>
    <n v="0.33333333333333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"/>
    <x v="3"/>
    <n v="1"/>
    <n v="0"/>
    <s v="H"/>
    <x v="21"/>
    <n v="3.5"/>
    <x v="25"/>
    <n v="3"/>
    <n v="0"/>
    <n v="0.2"/>
    <n v="0"/>
    <n v="4.9799999999999995"/>
    <n v="0"/>
    <n v="1"/>
    <n v="-1"/>
    <n v="0.65999999999999992"/>
    <n v="-1"/>
    <n v="-1"/>
    <n v="0"/>
    <n v="0"/>
    <n v="1"/>
    <n v="0"/>
    <n v="0"/>
    <n v="0"/>
    <n v="0"/>
    <n v="0"/>
    <n v="0"/>
    <s v="MAR"/>
    <x v="51"/>
    <n v="1"/>
    <n v="0"/>
    <n v="0"/>
    <s v="1,41-1,7"/>
    <s v="4,01-5,5"/>
    <n v="0.60240963855421692"/>
    <n v="0.2857142857142857"/>
    <n v="0.2"/>
    <n v="-8.8123924268502574E-2"/>
    <n v="0.6024096385542169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5"/>
    <x v="12"/>
    <n v="1"/>
    <n v="0"/>
    <s v="H"/>
    <x v="30"/>
    <n v="3.75"/>
    <x v="20"/>
    <n v="3"/>
    <n v="0"/>
    <n v="0.18181818181818182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x v="52"/>
    <n v="1"/>
    <n v="0"/>
    <n v="0"/>
    <s v="1,41-1,7"/>
    <s v="4,01-5,5"/>
    <n v="0.6211180124223602"/>
    <n v="0.26666666666666666"/>
    <n v="0.18181818181818182"/>
    <n v="-6.9602860907208797E-2"/>
    <n v="0.621118012422360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0"/>
    <x v="13"/>
    <n v="1"/>
    <n v="2"/>
    <s v="A"/>
    <x v="31"/>
    <n v="3.1"/>
    <x v="5"/>
    <n v="0"/>
    <n v="3"/>
    <n v="0.3125"/>
    <n v="0.85106382978723405"/>
    <n v="0"/>
    <n v="9.6000000000000014"/>
    <n v="-1"/>
    <n v="1"/>
    <n v="-1"/>
    <n v="2.2000000000000002"/>
    <n v="-1"/>
    <n v="0"/>
    <n v="0"/>
    <n v="1"/>
    <n v="1"/>
    <n v="1"/>
    <n v="0"/>
    <n v="0"/>
    <n v="0"/>
    <n v="1"/>
    <s v="MAR"/>
    <x v="53"/>
    <n v="0"/>
    <n v="0"/>
    <n v="1"/>
    <s v="2,01-2,4"/>
    <s v="3,01-4.0"/>
    <n v="0.42553191489361702"/>
    <n v="0.32258064516129031"/>
    <n v="0.3125"/>
    <n v="-6.0612560054907227E-2"/>
    <n v="0.42553191489361702"/>
    <n v="0.15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x v="18"/>
    <x v="8"/>
    <n v="3"/>
    <n v="3"/>
    <s v="D"/>
    <x v="15"/>
    <n v="3.4"/>
    <x v="18"/>
    <n v="1"/>
    <n v="1"/>
    <n v="0.7142857142857143"/>
    <n v="1.5706806282722514"/>
    <n v="1.91"/>
    <n v="4.2"/>
    <n v="0"/>
    <n v="0"/>
    <n v="-1"/>
    <n v="-1"/>
    <n v="2.4"/>
    <n v="0"/>
    <n v="0"/>
    <n v="1"/>
    <n v="1"/>
    <n v="1"/>
    <n v="1"/>
    <n v="1"/>
    <n v="1"/>
    <n v="1"/>
    <s v="MAR"/>
    <x v="54"/>
    <n v="0"/>
    <n v="1"/>
    <n v="0"/>
    <s v="1,71-2,0"/>
    <s v="4,01-5,5"/>
    <n v="0.52356020942408377"/>
    <n v="0.29411764705882354"/>
    <n v="0.23809523809523808"/>
    <n v="-5.5773094578145388E-2"/>
    <n v="0.17452006980802792"/>
    <n v="7.9365079365079361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x v="5"/>
    <x v="4"/>
    <n v="1"/>
    <n v="1"/>
    <s v="D"/>
    <x v="32"/>
    <n v="3.4"/>
    <x v="34"/>
    <n v="1"/>
    <n v="1"/>
    <n v="0.43478260869565222"/>
    <n v="0.35087719298245612"/>
    <n v="2.85"/>
    <n v="2.2999999999999998"/>
    <n v="0"/>
    <n v="0"/>
    <n v="-1"/>
    <n v="-1"/>
    <n v="2.4"/>
    <n v="0"/>
    <n v="0"/>
    <n v="1"/>
    <n v="1"/>
    <n v="0"/>
    <n v="0"/>
    <n v="0"/>
    <n v="0"/>
    <n v="1"/>
    <s v="MAR"/>
    <x v="55"/>
    <n v="0"/>
    <n v="1"/>
    <n v="0"/>
    <s v="2,41-3,0"/>
    <s v="2,01-2,4"/>
    <n v="0.35087719298245612"/>
    <n v="0.29411764705882354"/>
    <n v="0.43478260869565222"/>
    <n v="-7.9777448736932044E-2"/>
    <n v="0.35087719298245612"/>
    <n v="0.43478260869565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6"/>
    <x v="1"/>
    <n v="2"/>
    <n v="0"/>
    <s v="H"/>
    <x v="21"/>
    <n v="3.7"/>
    <x v="28"/>
    <n v="3"/>
    <n v="0"/>
    <n v="0.38095238095238093"/>
    <n v="0"/>
    <n v="4.9799999999999995"/>
    <n v="0"/>
    <n v="2"/>
    <n v="-2"/>
    <n v="0.65999999999999992"/>
    <n v="-1"/>
    <n v="-1"/>
    <n v="0"/>
    <n v="0"/>
    <n v="1"/>
    <n v="1"/>
    <n v="0"/>
    <n v="0"/>
    <n v="0"/>
    <n v="0"/>
    <n v="0"/>
    <s v="MAR"/>
    <x v="56"/>
    <n v="1"/>
    <n v="0"/>
    <n v="0"/>
    <s v="1,41-1,7"/>
    <s v="4,01-5,5"/>
    <n v="0.60240963855421692"/>
    <n v="0.27027027027027023"/>
    <n v="0.19047619047619047"/>
    <n v="-6.3156099300677671E-2"/>
    <n v="0.3012048192771084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5"/>
    <x v="14"/>
    <n v="2"/>
    <n v="1"/>
    <s v="H"/>
    <x v="33"/>
    <n v="4"/>
    <x v="35"/>
    <n v="3"/>
    <n v="0"/>
    <n v="0.32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MAR"/>
    <x v="57"/>
    <n v="1"/>
    <n v="0"/>
    <n v="0"/>
    <s v="1,41-1,7"/>
    <s v="5,51-9,0"/>
    <n v="0.66225165562913912"/>
    <n v="0.25"/>
    <n v="0.16"/>
    <n v="-7.2251655629139044E-2"/>
    <n v="0.33112582781456956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19"/>
    <x v="9"/>
    <n v="2"/>
    <n v="1"/>
    <s v="H"/>
    <x v="22"/>
    <n v="3.2"/>
    <x v="14"/>
    <n v="3"/>
    <n v="0"/>
    <n v="0.5555555555555555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MAR"/>
    <x v="58"/>
    <n v="1"/>
    <n v="0"/>
    <n v="0"/>
    <s v="2,01-2,4"/>
    <s v="3,01-4.0"/>
    <n v="0.47619047619047616"/>
    <n v="0.3125"/>
    <n v="0.27777777777777779"/>
    <n v="-6.6468253968253954E-2"/>
    <n v="0.23809523809523808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0"/>
    <x v="13"/>
    <n v="1"/>
    <n v="0"/>
    <s v="H"/>
    <x v="7"/>
    <n v="3"/>
    <x v="8"/>
    <n v="3"/>
    <n v="0"/>
    <n v="0.29411764705882354"/>
    <n v="0"/>
    <n v="6.8999999999999995"/>
    <n v="0"/>
    <n v="1"/>
    <n v="-1"/>
    <n v="1.2999999999999998"/>
    <n v="-1"/>
    <n v="-1"/>
    <n v="0"/>
    <n v="0"/>
    <n v="1"/>
    <n v="0"/>
    <n v="0"/>
    <n v="0"/>
    <n v="0"/>
    <n v="0"/>
    <n v="0"/>
    <s v="MAR"/>
    <x v="59"/>
    <n v="1"/>
    <n v="0"/>
    <n v="0"/>
    <s v="2,01-2,4"/>
    <s v="3,01-4.0"/>
    <n v="0.43478260869565222"/>
    <n v="0.33333333333333331"/>
    <n v="0.29411764705882354"/>
    <n v="-6.2233589087809182E-2"/>
    <n v="0.4347826086956522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x v="8"/>
    <x v="18"/>
    <n v="0"/>
    <n v="1"/>
    <s v="A"/>
    <x v="34"/>
    <n v="3.6"/>
    <x v="35"/>
    <n v="0"/>
    <n v="3"/>
    <n v="0"/>
    <n v="0.63694267515923564"/>
    <n v="0"/>
    <n v="18.75"/>
    <n v="-1"/>
    <n v="1"/>
    <n v="-1"/>
    <n v="5.25"/>
    <n v="-1"/>
    <n v="0"/>
    <n v="0"/>
    <n v="1"/>
    <n v="0"/>
    <n v="0"/>
    <n v="0"/>
    <n v="0"/>
    <n v="0"/>
    <n v="0"/>
    <s v="MAR"/>
    <x v="60"/>
    <n v="0"/>
    <n v="0"/>
    <n v="1"/>
    <s v="1,41-1,7"/>
    <s v="5,51-9,0"/>
    <n v="0.63694267515923564"/>
    <n v="0.27777777777777779"/>
    <n v="0.16"/>
    <n v="-7.4720452937013349E-2"/>
    <n v="1"/>
    <n v="0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3"/>
    <x v="11"/>
    <n v="1"/>
    <n v="2"/>
    <s v="A"/>
    <x v="35"/>
    <n v="3.3"/>
    <x v="27"/>
    <n v="0"/>
    <n v="3"/>
    <n v="0.27027027027027023"/>
    <n v="0.97560975609756106"/>
    <n v="0"/>
    <n v="11.100000000000001"/>
    <n v="-1"/>
    <n v="1"/>
    <n v="-1"/>
    <n v="2.7"/>
    <n v="-1"/>
    <n v="0"/>
    <n v="0"/>
    <n v="1"/>
    <n v="1"/>
    <n v="1"/>
    <n v="0"/>
    <n v="0"/>
    <n v="0"/>
    <n v="1"/>
    <s v="MAR"/>
    <x v="61"/>
    <n v="0"/>
    <n v="0"/>
    <n v="1"/>
    <s v="2,01-2,4"/>
    <s v="3,01-4.0"/>
    <n v="0.48780487804878053"/>
    <n v="0.30303030303030304"/>
    <n v="0.27027027027027023"/>
    <n v="-6.1105451349353856E-2"/>
    <n v="0.48780487804878053"/>
    <n v="0.135135135135135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7"/>
    <x v="16"/>
    <n v="3"/>
    <n v="2"/>
    <s v="H"/>
    <x v="6"/>
    <n v="3.1"/>
    <x v="36"/>
    <n v="3"/>
    <n v="0"/>
    <n v="1.4285714285714286"/>
    <n v="0.54054054054054046"/>
    <n v="11.100000000000001"/>
    <n v="0"/>
    <n v="1"/>
    <n v="-1"/>
    <n v="2.7"/>
    <n v="-1"/>
    <n v="-1"/>
    <n v="0"/>
    <n v="0"/>
    <n v="1"/>
    <n v="1"/>
    <n v="1"/>
    <n v="1"/>
    <n v="1"/>
    <n v="0"/>
    <n v="1"/>
    <s v="MAR"/>
    <x v="62"/>
    <n v="1"/>
    <n v="0"/>
    <n v="0"/>
    <s v="3,01-4.0"/>
    <s v="2,01-2,4"/>
    <n v="0.27027027027027023"/>
    <n v="0.32258064516129031"/>
    <n v="0.47619047619047616"/>
    <n v="-6.9041391622036707E-2"/>
    <n v="9.0090090090090072E-2"/>
    <n v="0.23809523809523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4"/>
    <x v="15"/>
    <n v="2"/>
    <n v="0"/>
    <s v="H"/>
    <x v="16"/>
    <n v="3.4"/>
    <x v="3"/>
    <n v="3"/>
    <n v="0"/>
    <n v="0.42105263157894735"/>
    <n v="0"/>
    <n v="5.28"/>
    <n v="0"/>
    <n v="2"/>
    <n v="-2"/>
    <n v="0.76"/>
    <n v="-1"/>
    <n v="-1"/>
    <n v="0"/>
    <n v="0"/>
    <n v="1"/>
    <n v="1"/>
    <n v="0"/>
    <n v="0"/>
    <n v="0"/>
    <n v="0"/>
    <n v="0"/>
    <s v="MAR"/>
    <x v="63"/>
    <n v="1"/>
    <n v="0"/>
    <n v="0"/>
    <s v="1,71-2,0"/>
    <s v="4,01-5,5"/>
    <n v="0.56818181818181823"/>
    <n v="0.29411764705882354"/>
    <n v="0.21052631578947367"/>
    <n v="-7.2825781030115389E-2"/>
    <n v="0.2840909090909091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9"/>
    <x v="11"/>
    <x v="3"/>
    <n v="3"/>
    <n v="0"/>
    <s v="H"/>
    <x v="36"/>
    <n v="7.5"/>
    <x v="37"/>
    <n v="3"/>
    <n v="0"/>
    <n v="0.17647058823529413"/>
    <n v="0"/>
    <n v="3.3899999999999997"/>
    <n v="0"/>
    <n v="3"/>
    <n v="-3"/>
    <n v="0.12999999999999989"/>
    <n v="-1"/>
    <n v="-1"/>
    <n v="0"/>
    <n v="0"/>
    <n v="1"/>
    <n v="1"/>
    <n v="1"/>
    <n v="0"/>
    <n v="0"/>
    <n v="0"/>
    <n v="0"/>
    <s v="MAR"/>
    <x v="64"/>
    <n v="1"/>
    <n v="0"/>
    <n v="0"/>
    <s v="1,01-1,2"/>
    <s v="Z16-99"/>
    <n v="0.88495575221238942"/>
    <n v="0.13333333333333333"/>
    <n v="5.8823529411764705E-2"/>
    <n v="-7.7112614957487446E-2"/>
    <n v="0.2949852507374631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0"/>
    <x v="5"/>
    <x v="19"/>
    <n v="0"/>
    <n v="0"/>
    <s v="D"/>
    <x v="37"/>
    <n v="3.1"/>
    <x v="21"/>
    <n v="1"/>
    <n v="1"/>
    <n v="0"/>
    <n v="0"/>
    <n v="3.4"/>
    <n v="2.25"/>
    <n v="0"/>
    <n v="0"/>
    <n v="-1"/>
    <n v="-1"/>
    <n v="2.1"/>
    <n v="0"/>
    <n v="0"/>
    <n v="0"/>
    <n v="0"/>
    <n v="0"/>
    <n v="0"/>
    <n v="0"/>
    <n v="0"/>
    <n v="0"/>
    <s v="MAR"/>
    <x v="65"/>
    <n v="0"/>
    <n v="1"/>
    <n v="0"/>
    <s v="3,01-4.0"/>
    <s v="2,01-2,4"/>
    <n v="0.29411764705882354"/>
    <n v="0.32258064516129031"/>
    <n v="0.44444444444444442"/>
    <n v="-6.1142736664558273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10"/>
    <x v="14"/>
    <n v="1"/>
    <n v="2"/>
    <s v="A"/>
    <x v="17"/>
    <n v="3.4"/>
    <x v="18"/>
    <n v="0"/>
    <n v="3"/>
    <n v="0.23809523809523808"/>
    <n v="1.075268817204301"/>
    <n v="0"/>
    <n v="12.600000000000001"/>
    <n v="-1"/>
    <n v="1"/>
    <n v="-1"/>
    <n v="3.2"/>
    <n v="-1"/>
    <n v="0"/>
    <n v="0"/>
    <n v="1"/>
    <n v="1"/>
    <n v="1"/>
    <n v="0"/>
    <n v="0"/>
    <n v="0"/>
    <n v="1"/>
    <s v="MAR"/>
    <x v="66"/>
    <n v="0"/>
    <n v="0"/>
    <n v="1"/>
    <s v="1,71-2,0"/>
    <s v="4,01-5,5"/>
    <n v="0.5376344086021505"/>
    <n v="0.29411764705882354"/>
    <n v="0.23809523809523808"/>
    <n v="-6.9847293756212236E-2"/>
    <n v="0.5376344086021505"/>
    <n v="0.11904761904761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1"/>
    <x v="4"/>
    <x v="10"/>
    <n v="1"/>
    <n v="0"/>
    <s v="H"/>
    <x v="30"/>
    <n v="3.6"/>
    <x v="4"/>
    <n v="3"/>
    <n v="0"/>
    <n v="0.16666666666666666"/>
    <n v="0"/>
    <n v="4.83"/>
    <n v="0"/>
    <n v="1"/>
    <n v="-1"/>
    <n v="0.6100000000000001"/>
    <n v="-1"/>
    <n v="-1"/>
    <n v="0"/>
    <n v="0"/>
    <n v="1"/>
    <n v="0"/>
    <n v="0"/>
    <n v="0"/>
    <n v="0"/>
    <n v="0"/>
    <n v="0"/>
    <s v="MAR"/>
    <x v="67"/>
    <n v="1"/>
    <n v="0"/>
    <n v="0"/>
    <s v="1,41-1,7"/>
    <s v="5,51-9,0"/>
    <n v="0.6211180124223602"/>
    <n v="0.27777777777777779"/>
    <n v="0.16666666666666666"/>
    <n v="-6.556245686680473E-2"/>
    <n v="0.621118012422360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7"/>
    <x v="0"/>
    <n v="0"/>
    <n v="1"/>
    <s v="A"/>
    <x v="18"/>
    <n v="3"/>
    <x v="22"/>
    <n v="0"/>
    <n v="3"/>
    <n v="0"/>
    <n v="0.38910505836575876"/>
    <n v="0"/>
    <n v="8.5500000000000007"/>
    <n v="-1"/>
    <n v="1"/>
    <n v="-1"/>
    <n v="1.85"/>
    <n v="-1"/>
    <n v="0"/>
    <n v="0"/>
    <n v="1"/>
    <n v="0"/>
    <n v="0"/>
    <n v="0"/>
    <n v="0"/>
    <n v="0"/>
    <n v="0"/>
    <s v="MAR"/>
    <x v="68"/>
    <n v="0"/>
    <n v="0"/>
    <n v="1"/>
    <s v="2,41-3,0"/>
    <s v="2,41-3,0"/>
    <n v="0.38910505836575876"/>
    <n v="0.33333333333333331"/>
    <n v="0.35087719298245612"/>
    <n v="-7.3315584681548085E-2"/>
    <n v="1"/>
    <n v="0.35087719298245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9"/>
    <x v="18"/>
    <n v="2"/>
    <n v="0"/>
    <s v="H"/>
    <x v="15"/>
    <n v="3.1"/>
    <x v="3"/>
    <n v="3"/>
    <n v="0"/>
    <n v="0.42105263157894735"/>
    <n v="0"/>
    <n v="5.7299999999999995"/>
    <n v="0"/>
    <n v="2"/>
    <n v="-2"/>
    <n v="0.90999999999999992"/>
    <n v="-1"/>
    <n v="-1"/>
    <n v="0"/>
    <n v="0"/>
    <n v="1"/>
    <n v="1"/>
    <n v="0"/>
    <n v="0"/>
    <n v="0"/>
    <n v="0"/>
    <n v="0"/>
    <s v="MAR"/>
    <x v="69"/>
    <n v="1"/>
    <n v="0"/>
    <n v="0"/>
    <s v="1,71-2,0"/>
    <s v="4,01-5,5"/>
    <n v="0.52356020942408377"/>
    <n v="0.32258064516129031"/>
    <n v="0.21052631578947367"/>
    <n v="-5.6667170374847808E-2"/>
    <n v="0.2617801047120418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8"/>
    <x v="5"/>
    <n v="0"/>
    <n v="0"/>
    <s v="D"/>
    <x v="21"/>
    <n v="3.6"/>
    <x v="28"/>
    <n v="1"/>
    <n v="1"/>
    <n v="0"/>
    <n v="0"/>
    <n v="1.66"/>
    <n v="5.25"/>
    <n v="0"/>
    <n v="0"/>
    <n v="-1"/>
    <n v="-1"/>
    <n v="2.6"/>
    <n v="0"/>
    <n v="0"/>
    <n v="0"/>
    <n v="0"/>
    <n v="0"/>
    <n v="0"/>
    <n v="0"/>
    <n v="0"/>
    <n v="0"/>
    <s v="MAR"/>
    <x v="70"/>
    <n v="0"/>
    <n v="1"/>
    <n v="0"/>
    <s v="1,41-1,7"/>
    <s v="4,01-5,5"/>
    <n v="0.60240963855421692"/>
    <n v="0.27777777777777779"/>
    <n v="0.19047619047619047"/>
    <n v="-7.0663606808185175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2"/>
    <x v="6"/>
    <n v="4"/>
    <n v="1"/>
    <s v="H"/>
    <x v="0"/>
    <n v="3.2"/>
    <x v="38"/>
    <n v="3"/>
    <n v="0"/>
    <n v="1.7021276595744681"/>
    <n v="0.33333333333333331"/>
    <n v="9"/>
    <n v="0"/>
    <n v="3"/>
    <n v="-3"/>
    <n v="2"/>
    <n v="-1"/>
    <n v="-1"/>
    <n v="1"/>
    <n v="0"/>
    <n v="1"/>
    <n v="1"/>
    <n v="1"/>
    <n v="1"/>
    <n v="1"/>
    <n v="0"/>
    <n v="1"/>
    <s v="MAR"/>
    <x v="71"/>
    <n v="1"/>
    <n v="0"/>
    <n v="0"/>
    <s v="2,41-3,0"/>
    <s v="2,01-2,4"/>
    <n v="0.33333333333333331"/>
    <n v="0.3125"/>
    <n v="0.42553191489361702"/>
    <n v="-7.1365248226950229E-2"/>
    <n v="8.3333333333333329E-2"/>
    <n v="0.425531914893617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17"/>
    <x v="4"/>
    <n v="2"/>
    <n v="1"/>
    <s v="H"/>
    <x v="38"/>
    <n v="3.5"/>
    <x v="33"/>
    <n v="3"/>
    <n v="0"/>
    <n v="0.46189376443418012"/>
    <n v="0.5524861878453039"/>
    <n v="5.43"/>
    <n v="0"/>
    <n v="1"/>
    <n v="-1"/>
    <n v="0.81"/>
    <n v="-1"/>
    <n v="-1"/>
    <n v="0"/>
    <n v="0"/>
    <n v="1"/>
    <n v="1"/>
    <n v="1"/>
    <n v="0"/>
    <n v="0"/>
    <n v="0"/>
    <n v="1"/>
    <s v="MAR"/>
    <x v="72"/>
    <n v="1"/>
    <n v="0"/>
    <n v="0"/>
    <s v="1,71-2,0"/>
    <s v="4,01-5,5"/>
    <n v="0.5524861878453039"/>
    <n v="0.2857142857142857"/>
    <n v="0.23094688221709006"/>
    <n v="-6.9147355776679742E-2"/>
    <n v="0.27624309392265195"/>
    <n v="0.2309468822170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2"/>
    <x v="17"/>
    <n v="2"/>
    <n v="0"/>
    <s v="H"/>
    <x v="39"/>
    <n v="5"/>
    <x v="10"/>
    <n v="3"/>
    <n v="0"/>
    <n v="0.26666666666666666"/>
    <n v="0"/>
    <n v="4.1100000000000003"/>
    <n v="0"/>
    <n v="2"/>
    <n v="-2"/>
    <n v="0.37000000000000011"/>
    <n v="-1"/>
    <n v="-1"/>
    <n v="0"/>
    <n v="0"/>
    <n v="1"/>
    <n v="1"/>
    <n v="0"/>
    <n v="0"/>
    <n v="0"/>
    <n v="0"/>
    <n v="0"/>
    <s v="MAR"/>
    <x v="73"/>
    <n v="1"/>
    <n v="0"/>
    <n v="0"/>
    <s v="1,21-1,4"/>
    <s v="5,51-9,0"/>
    <n v="0.72992700729927007"/>
    <n v="0.2"/>
    <n v="0.13333333333333333"/>
    <n v="-6.3260340632603329E-2"/>
    <n v="0.3649635036496350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3"/>
    <x v="12"/>
    <n v="1"/>
    <n v="0"/>
    <s v="H"/>
    <x v="18"/>
    <n v="3"/>
    <x v="22"/>
    <n v="3"/>
    <n v="0"/>
    <n v="0.35087719298245612"/>
    <n v="0"/>
    <n v="7.7099999999999991"/>
    <n v="0"/>
    <n v="1"/>
    <n v="-1"/>
    <n v="1.5699999999999998"/>
    <n v="-1"/>
    <n v="-1"/>
    <n v="0"/>
    <n v="0"/>
    <n v="1"/>
    <n v="0"/>
    <n v="0"/>
    <n v="0"/>
    <n v="0"/>
    <n v="0"/>
    <n v="0"/>
    <s v="MAR"/>
    <x v="74"/>
    <n v="1"/>
    <n v="0"/>
    <n v="0"/>
    <s v="2,41-3,0"/>
    <s v="2,41-3,0"/>
    <n v="0.38910505836575876"/>
    <n v="0.33333333333333331"/>
    <n v="0.35087719298245612"/>
    <n v="-7.3315584681548085E-2"/>
    <n v="0.3891050583657587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2"/>
    <x v="6"/>
    <x v="7"/>
    <n v="1"/>
    <n v="1"/>
    <s v="D"/>
    <x v="37"/>
    <n v="3.1"/>
    <x v="21"/>
    <n v="1"/>
    <n v="1"/>
    <n v="0.44444444444444442"/>
    <n v="0.29411764705882354"/>
    <n v="3.4"/>
    <n v="2.25"/>
    <n v="0"/>
    <n v="0"/>
    <n v="-1"/>
    <n v="-1"/>
    <n v="2.1"/>
    <n v="0"/>
    <n v="0"/>
    <n v="1"/>
    <n v="1"/>
    <n v="0"/>
    <n v="0"/>
    <n v="0"/>
    <n v="0"/>
    <n v="1"/>
    <s v="MAR"/>
    <x v="75"/>
    <n v="0"/>
    <n v="1"/>
    <n v="0"/>
    <s v="3,01-4.0"/>
    <s v="2,01-2,4"/>
    <n v="0.29411764705882354"/>
    <n v="0.32258064516129031"/>
    <n v="0.44444444444444442"/>
    <n v="-6.1142736664558273E-2"/>
    <n v="0.29411764705882354"/>
    <n v="0.444444444444444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3"/>
    <x v="19"/>
    <x v="14"/>
    <n v="4"/>
    <n v="1"/>
    <s v="H"/>
    <x v="15"/>
    <n v="3.3"/>
    <x v="2"/>
    <n v="3"/>
    <n v="0"/>
    <n v="1.0256410256410258"/>
    <n v="0.52356020942408377"/>
    <n v="5.7299999999999995"/>
    <n v="0"/>
    <n v="3"/>
    <n v="-3"/>
    <n v="0.90999999999999992"/>
    <n v="-1"/>
    <n v="-1"/>
    <n v="1"/>
    <n v="0"/>
    <n v="1"/>
    <n v="1"/>
    <n v="1"/>
    <n v="1"/>
    <n v="1"/>
    <n v="0"/>
    <n v="1"/>
    <s v="MAR"/>
    <x v="76"/>
    <n v="1"/>
    <n v="0"/>
    <n v="0"/>
    <s v="1,71-2,0"/>
    <s v="3,01-4.0"/>
    <n v="0.52356020942408377"/>
    <n v="0.30303030303030304"/>
    <n v="0.25641025641025644"/>
    <n v="-8.3000768864643248E-2"/>
    <n v="0.1308900523560209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9"/>
    <x v="12"/>
    <n v="3"/>
    <n v="2"/>
    <s v="H"/>
    <x v="28"/>
    <n v="3.3"/>
    <x v="24"/>
    <n v="3"/>
    <n v="0"/>
    <n v="1"/>
    <n v="0.86206896551724144"/>
    <n v="6.9599999999999991"/>
    <n v="0"/>
    <n v="1"/>
    <n v="-1"/>
    <n v="1.3199999999999998"/>
    <n v="-1"/>
    <n v="-1"/>
    <n v="0"/>
    <n v="0"/>
    <n v="1"/>
    <n v="1"/>
    <n v="1"/>
    <n v="1"/>
    <n v="1"/>
    <n v="0"/>
    <n v="1"/>
    <s v="ABR"/>
    <x v="77"/>
    <n v="1"/>
    <n v="0"/>
    <n v="0"/>
    <s v="2,01-2,4"/>
    <s v="2,41-3,0"/>
    <n v="0.43103448275862072"/>
    <n v="0.30303030303030304"/>
    <n v="0.33333333333333331"/>
    <n v="-6.7398119122257016E-2"/>
    <n v="0.14367816091954025"/>
    <n v="0.1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4"/>
    <x v="2"/>
    <x v="13"/>
    <n v="1"/>
    <n v="1"/>
    <s v="D"/>
    <x v="27"/>
    <n v="3"/>
    <x v="14"/>
    <n v="1"/>
    <n v="1"/>
    <n v="0.27777777777777779"/>
    <n v="0.46511627906976744"/>
    <n v="2.15"/>
    <n v="3.6"/>
    <n v="0"/>
    <n v="0"/>
    <n v="-1"/>
    <n v="-1"/>
    <n v="2"/>
    <n v="0"/>
    <n v="0"/>
    <n v="1"/>
    <n v="1"/>
    <n v="0"/>
    <n v="0"/>
    <n v="0"/>
    <n v="0"/>
    <n v="1"/>
    <s v="ABR"/>
    <x v="78"/>
    <n v="0"/>
    <n v="1"/>
    <n v="0"/>
    <s v="2,01-2,4"/>
    <s v="3,01-4.0"/>
    <n v="0.46511627906976744"/>
    <n v="0.33333333333333331"/>
    <n v="0.27777777777777779"/>
    <n v="-7.622739018087854E-2"/>
    <n v="0.46511627906976744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6"/>
    <x v="2"/>
    <n v="3"/>
    <n v="0"/>
    <s v="H"/>
    <x v="40"/>
    <n v="3.6"/>
    <x v="3"/>
    <n v="3"/>
    <n v="0"/>
    <n v="0.63157894736842102"/>
    <n v="0"/>
    <n v="5.13"/>
    <n v="0"/>
    <n v="3"/>
    <n v="-3"/>
    <n v="0.71"/>
    <n v="-1"/>
    <n v="-1"/>
    <n v="0"/>
    <n v="0"/>
    <n v="1"/>
    <n v="1"/>
    <n v="1"/>
    <n v="0"/>
    <n v="0"/>
    <n v="0"/>
    <n v="0"/>
    <s v="ABR"/>
    <x v="79"/>
    <n v="1"/>
    <n v="0"/>
    <n v="0"/>
    <s v="1,71-2,0"/>
    <s v="4,01-5,5"/>
    <n v="0.58479532163742687"/>
    <n v="0.27777777777777779"/>
    <n v="0.21052631578947367"/>
    <n v="-7.309941520467822E-2"/>
    <n v="0.19493177387914229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8"/>
    <x v="15"/>
    <n v="3"/>
    <n v="0"/>
    <s v="H"/>
    <x v="41"/>
    <n v="4.0999999999999996"/>
    <x v="4"/>
    <n v="3"/>
    <n v="0"/>
    <n v="0.5"/>
    <n v="0"/>
    <n v="4.47"/>
    <n v="0"/>
    <n v="3"/>
    <n v="-3"/>
    <n v="0.49"/>
    <n v="-1"/>
    <n v="-1"/>
    <n v="0"/>
    <n v="0"/>
    <n v="1"/>
    <n v="1"/>
    <n v="1"/>
    <n v="0"/>
    <n v="0"/>
    <n v="0"/>
    <n v="0"/>
    <s v="ABR"/>
    <x v="80"/>
    <n v="1"/>
    <n v="0"/>
    <n v="0"/>
    <s v="1,41-1,7"/>
    <s v="5,51-9,0"/>
    <n v="0.67114093959731547"/>
    <n v="0.24390243902439027"/>
    <n v="0.16666666666666666"/>
    <n v="-8.1710045288372335E-2"/>
    <n v="0.223713646532438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"/>
    <x v="8"/>
    <n v="1"/>
    <n v="1"/>
    <s v="D"/>
    <x v="42"/>
    <n v="3"/>
    <x v="39"/>
    <n v="1"/>
    <n v="1"/>
    <n v="0.36363636363636365"/>
    <n v="0.36363636363636365"/>
    <n v="2.75"/>
    <n v="2.75"/>
    <n v="0"/>
    <n v="0"/>
    <n v="-1"/>
    <n v="-1"/>
    <n v="2"/>
    <n v="0"/>
    <n v="0"/>
    <n v="1"/>
    <n v="1"/>
    <n v="0"/>
    <n v="0"/>
    <n v="0"/>
    <n v="0"/>
    <n v="1"/>
    <s v="ABR"/>
    <x v="81"/>
    <n v="0"/>
    <n v="1"/>
    <n v="0"/>
    <s v="2,41-3,0"/>
    <s v="2,41-3,0"/>
    <n v="0.36363636363636365"/>
    <n v="0.33333333333333331"/>
    <n v="0.36363636363636365"/>
    <n v="-6.0606060606060552E-2"/>
    <n v="0.36363636363636365"/>
    <n v="0.36363636363636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4"/>
    <x v="19"/>
    <n v="3"/>
    <n v="1"/>
    <s v="H"/>
    <x v="38"/>
    <n v="3.3"/>
    <x v="3"/>
    <n v="3"/>
    <n v="0"/>
    <n v="0.63157894736842102"/>
    <n v="0.5524861878453039"/>
    <n v="5.43"/>
    <n v="0"/>
    <n v="2"/>
    <n v="-2"/>
    <n v="0.81"/>
    <n v="-1"/>
    <n v="-1"/>
    <n v="0"/>
    <n v="0"/>
    <n v="1"/>
    <n v="1"/>
    <n v="1"/>
    <n v="1"/>
    <n v="0"/>
    <n v="0"/>
    <n v="1"/>
    <s v="ABR"/>
    <x v="82"/>
    <n v="1"/>
    <n v="0"/>
    <n v="0"/>
    <s v="1,71-2,0"/>
    <s v="4,01-5,5"/>
    <n v="0.5524861878453039"/>
    <n v="0.30303030303030304"/>
    <n v="0.21052631578947367"/>
    <n v="-6.6042806665080667E-2"/>
    <n v="0.18416206261510129"/>
    <n v="0.210526315789473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5"/>
    <x v="10"/>
    <n v="0"/>
    <n v="4"/>
    <s v="A"/>
    <x v="37"/>
    <n v="3.2"/>
    <x v="6"/>
    <n v="0"/>
    <n v="3"/>
    <n v="0"/>
    <n v="1.1764705882352942"/>
    <n v="0"/>
    <n v="6.6000000000000005"/>
    <n v="-4"/>
    <n v="4"/>
    <n v="-1"/>
    <n v="1.2000000000000002"/>
    <n v="-1"/>
    <n v="0"/>
    <n v="1"/>
    <n v="1"/>
    <n v="1"/>
    <n v="1"/>
    <n v="1"/>
    <n v="0"/>
    <n v="0"/>
    <n v="0"/>
    <s v="ABR"/>
    <x v="83"/>
    <n v="0"/>
    <n v="0"/>
    <n v="1"/>
    <s v="3,01-4.0"/>
    <s v="2,01-2,4"/>
    <n v="0.29411764705882354"/>
    <n v="0.3125"/>
    <n v="0.45454545454545453"/>
    <n v="-6.1163101604278181E-2"/>
    <n v="1"/>
    <n v="0.113636363636363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5"/>
    <x v="13"/>
    <x v="3"/>
    <n v="2"/>
    <n v="0"/>
    <s v="H"/>
    <x v="30"/>
    <n v="3.7"/>
    <x v="40"/>
    <n v="3"/>
    <n v="0"/>
    <n v="0.34782608695652173"/>
    <n v="0"/>
    <n v="4.83"/>
    <n v="0"/>
    <n v="2"/>
    <n v="-2"/>
    <n v="0.6100000000000001"/>
    <n v="-1"/>
    <n v="-1"/>
    <n v="0"/>
    <n v="0"/>
    <n v="1"/>
    <n v="1"/>
    <n v="0"/>
    <n v="0"/>
    <n v="0"/>
    <n v="0"/>
    <n v="0"/>
    <s v="ABR"/>
    <x v="84"/>
    <n v="1"/>
    <n v="0"/>
    <n v="0"/>
    <s v="1,41-1,7"/>
    <s v="5,51-9,0"/>
    <n v="0.6211180124223602"/>
    <n v="0.27027027027027023"/>
    <n v="0.17391304347826086"/>
    <n v="-6.5301326170891461E-2"/>
    <n v="0.310559006211180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x v="10"/>
    <x v="7"/>
    <n v="3"/>
    <n v="0"/>
    <s v="H"/>
    <x v="43"/>
    <n v="3.2"/>
    <x v="41"/>
    <n v="3"/>
    <n v="0"/>
    <n v="1.4634146341463417"/>
    <n v="0"/>
    <n v="11.399999999999999"/>
    <n v="0"/>
    <n v="3"/>
    <n v="-3"/>
    <n v="2.8"/>
    <n v="-1"/>
    <n v="-1"/>
    <n v="0"/>
    <n v="0"/>
    <n v="1"/>
    <n v="1"/>
    <n v="1"/>
    <n v="0"/>
    <n v="0"/>
    <n v="0"/>
    <n v="0"/>
    <s v="ABR"/>
    <x v="85"/>
    <n v="1"/>
    <n v="0"/>
    <n v="0"/>
    <s v="3,01-4.0"/>
    <s v="2,01-2,4"/>
    <n v="0.26315789473684209"/>
    <n v="0.3125"/>
    <n v="0.48780487804878053"/>
    <n v="-6.3462772785622512E-2"/>
    <n v="8.771929824561403E-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6"/>
    <x v="15"/>
    <x v="4"/>
    <n v="2"/>
    <n v="1"/>
    <s v="H"/>
    <x v="33"/>
    <n v="4.33"/>
    <x v="4"/>
    <n v="3"/>
    <n v="0"/>
    <n v="0.33333333333333331"/>
    <n v="0.66225165562913912"/>
    <n v="4.53"/>
    <n v="0"/>
    <n v="1"/>
    <n v="-1"/>
    <n v="0.51"/>
    <n v="-1"/>
    <n v="-1"/>
    <n v="0"/>
    <n v="0"/>
    <n v="1"/>
    <n v="1"/>
    <n v="1"/>
    <n v="0"/>
    <n v="0"/>
    <n v="0"/>
    <n v="1"/>
    <s v="ABR"/>
    <x v="86"/>
    <n v="1"/>
    <n v="0"/>
    <n v="0"/>
    <s v="1,41-1,7"/>
    <s v="5,51-9,0"/>
    <n v="0.66225165562913912"/>
    <n v="0.23094688221709006"/>
    <n v="0.16666666666666666"/>
    <n v="-5.9865204512895787E-2"/>
    <n v="0.33112582781456956"/>
    <n v="0.1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7"/>
    <x v="7"/>
    <x v="9"/>
    <n v="4"/>
    <n v="1"/>
    <s v="H"/>
    <x v="27"/>
    <n v="3.2"/>
    <x v="42"/>
    <n v="3"/>
    <n v="0"/>
    <n v="1.1428571428571428"/>
    <n v="0.46511627906976744"/>
    <n v="6.4499999999999993"/>
    <n v="0"/>
    <n v="3"/>
    <n v="-3"/>
    <n v="1.1499999999999999"/>
    <n v="-1"/>
    <n v="-1"/>
    <n v="1"/>
    <n v="0"/>
    <n v="1"/>
    <n v="1"/>
    <n v="1"/>
    <n v="1"/>
    <n v="1"/>
    <n v="0"/>
    <n v="1"/>
    <s v="ABR"/>
    <x v="87"/>
    <n v="1"/>
    <n v="0"/>
    <n v="0"/>
    <s v="2,01-2,4"/>
    <s v="3,01-4.0"/>
    <n v="0.46511627906976744"/>
    <n v="0.3125"/>
    <n v="0.2857142857142857"/>
    <n v="-6.3330564784052967E-2"/>
    <n v="0.11627906976744186"/>
    <n v="0.28571428571428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"/>
    <x v="16"/>
    <n v="1"/>
    <n v="1"/>
    <s v="D"/>
    <x v="10"/>
    <n v="3"/>
    <x v="0"/>
    <n v="1"/>
    <n v="1"/>
    <n v="0.4"/>
    <n v="0.32258064516129031"/>
    <n v="3.1"/>
    <n v="2.5"/>
    <n v="0"/>
    <n v="0"/>
    <n v="-1"/>
    <n v="-1"/>
    <n v="2"/>
    <n v="0"/>
    <n v="0"/>
    <n v="1"/>
    <n v="1"/>
    <n v="0"/>
    <n v="0"/>
    <n v="0"/>
    <n v="0"/>
    <n v="1"/>
    <s v="ABR"/>
    <x v="88"/>
    <n v="0"/>
    <n v="1"/>
    <n v="0"/>
    <s v="3,01-4.0"/>
    <s v="2,41-3,0"/>
    <n v="0.32258064516129031"/>
    <n v="0.33333333333333331"/>
    <n v="0.4"/>
    <n v="-5.5913978494623651E-2"/>
    <n v="0.32258064516129031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7"/>
    <x v="14"/>
    <n v="1"/>
    <n v="2"/>
    <s v="A"/>
    <x v="15"/>
    <n v="3.4"/>
    <x v="9"/>
    <n v="0"/>
    <n v="3"/>
    <n v="0.25"/>
    <n v="1.0471204188481675"/>
    <n v="0"/>
    <n v="12"/>
    <n v="-1"/>
    <n v="1"/>
    <n v="-1"/>
    <n v="3"/>
    <n v="-1"/>
    <n v="0"/>
    <n v="0"/>
    <n v="1"/>
    <n v="1"/>
    <n v="1"/>
    <n v="0"/>
    <n v="0"/>
    <n v="0"/>
    <n v="1"/>
    <s v="ABR"/>
    <x v="89"/>
    <n v="0"/>
    <n v="0"/>
    <n v="1"/>
    <s v="1,71-2,0"/>
    <s v="3,01-4.0"/>
    <n v="0.52356020942408377"/>
    <n v="0.29411764705882354"/>
    <n v="0.25"/>
    <n v="-6.767785648290725E-2"/>
    <n v="0.52356020942408377"/>
    <n v="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5"/>
    <x v="15"/>
    <n v="1"/>
    <n v="1"/>
    <s v="D"/>
    <x v="20"/>
    <n v="3.2"/>
    <x v="39"/>
    <n v="1"/>
    <n v="1"/>
    <n v="0.36363636363636365"/>
    <n v="0.4"/>
    <n v="2.5"/>
    <n v="2.75"/>
    <n v="0"/>
    <n v="0"/>
    <n v="-1"/>
    <n v="-1"/>
    <n v="2.2000000000000002"/>
    <n v="0"/>
    <n v="0"/>
    <n v="1"/>
    <n v="1"/>
    <n v="0"/>
    <n v="0"/>
    <n v="0"/>
    <n v="0"/>
    <n v="1"/>
    <s v="ABR"/>
    <x v="90"/>
    <n v="0"/>
    <n v="1"/>
    <n v="0"/>
    <s v="2,41-3,0"/>
    <s v="2,41-3,0"/>
    <n v="0.4"/>
    <n v="0.3125"/>
    <n v="0.36363636363636365"/>
    <n v="-7.6136363636363669E-2"/>
    <n v="0.4"/>
    <n v="0.36363636363636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0"/>
    <x v="2"/>
    <n v="2"/>
    <n v="1"/>
    <s v="H"/>
    <x v="22"/>
    <n v="3.2"/>
    <x v="12"/>
    <n v="3"/>
    <n v="0"/>
    <n v="0.60606060606060608"/>
    <n v="0.47619047619047616"/>
    <n v="6.3000000000000007"/>
    <n v="0"/>
    <n v="1"/>
    <n v="-1"/>
    <n v="1.1000000000000001"/>
    <n v="-1"/>
    <n v="-1"/>
    <n v="0"/>
    <n v="0"/>
    <n v="1"/>
    <n v="1"/>
    <n v="1"/>
    <n v="0"/>
    <n v="0"/>
    <n v="0"/>
    <n v="1"/>
    <s v="ABR"/>
    <x v="91"/>
    <n v="1"/>
    <n v="0"/>
    <n v="0"/>
    <s v="2,01-2,4"/>
    <s v="3,01-4.0"/>
    <n v="0.47619047619047616"/>
    <n v="0.3125"/>
    <n v="0.30303030303030304"/>
    <n v="-9.1720779220779258E-2"/>
    <n v="0.23809523809523808"/>
    <n v="0.30303030303030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1"/>
    <x v="5"/>
    <n v="3"/>
    <n v="1"/>
    <s v="H"/>
    <x v="11"/>
    <n v="4.75"/>
    <x v="43"/>
    <n v="3"/>
    <n v="0"/>
    <n v="0.27272727272727271"/>
    <n v="0.76923076923076916"/>
    <n v="3.9000000000000004"/>
    <n v="0"/>
    <n v="2"/>
    <n v="-2"/>
    <n v="0.30000000000000004"/>
    <n v="-1"/>
    <n v="-1"/>
    <n v="0"/>
    <n v="0"/>
    <n v="1"/>
    <n v="1"/>
    <n v="1"/>
    <n v="1"/>
    <n v="0"/>
    <n v="0"/>
    <n v="1"/>
    <s v="ABR"/>
    <x v="92"/>
    <n v="1"/>
    <n v="0"/>
    <n v="0"/>
    <s v="1,21-1,4"/>
    <s v="9,01-16"/>
    <n v="0.76923076923076916"/>
    <n v="0.21052631578947367"/>
    <n v="9.0909090909090912E-2"/>
    <n v="-7.0666175929333663E-2"/>
    <n v="0.25641025641025639"/>
    <n v="9.0909090909090912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16"/>
    <x v="0"/>
    <n v="1"/>
    <n v="2"/>
    <s v="A"/>
    <x v="20"/>
    <n v="3.1"/>
    <x v="22"/>
    <n v="0"/>
    <n v="3"/>
    <n v="0.35087719298245612"/>
    <n v="0.8"/>
    <n v="0"/>
    <n v="8.5500000000000007"/>
    <n v="-1"/>
    <n v="1"/>
    <n v="-1"/>
    <n v="1.85"/>
    <n v="-1"/>
    <n v="0"/>
    <n v="0"/>
    <n v="1"/>
    <n v="1"/>
    <n v="1"/>
    <n v="0"/>
    <n v="0"/>
    <n v="0"/>
    <n v="1"/>
    <s v="ABR"/>
    <x v="93"/>
    <n v="0"/>
    <n v="0"/>
    <n v="1"/>
    <s v="2,41-3,0"/>
    <s v="2,41-3,0"/>
    <n v="0.4"/>
    <n v="0.32258064516129031"/>
    <n v="0.35087719298245612"/>
    <n v="-7.3457838143746512E-2"/>
    <n v="0.4"/>
    <n v="0.17543859649122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8"/>
    <x v="6"/>
    <x v="11"/>
    <n v="0"/>
    <n v="1"/>
    <s v="A"/>
    <x v="22"/>
    <n v="3"/>
    <x v="27"/>
    <n v="0"/>
    <n v="3"/>
    <n v="0"/>
    <n v="0.47619047619047616"/>
    <n v="0"/>
    <n v="11.100000000000001"/>
    <n v="-1"/>
    <n v="1"/>
    <n v="-1"/>
    <n v="2.7"/>
    <n v="-1"/>
    <n v="0"/>
    <n v="0"/>
    <n v="1"/>
    <n v="0"/>
    <n v="0"/>
    <n v="0"/>
    <n v="0"/>
    <n v="0"/>
    <n v="0"/>
    <s v="ABR"/>
    <x v="94"/>
    <n v="0"/>
    <n v="0"/>
    <n v="1"/>
    <s v="2,01-2,4"/>
    <s v="3,01-4.0"/>
    <n v="0.47619047619047616"/>
    <n v="0.33333333333333331"/>
    <n v="0.27027027027027023"/>
    <n v="-7.9794079794079709E-2"/>
    <n v="1"/>
    <n v="0.27027027027027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x v="8"/>
    <x v="1"/>
    <n v="0"/>
    <n v="1"/>
    <s v="A"/>
    <x v="22"/>
    <n v="3.3"/>
    <x v="14"/>
    <n v="0"/>
    <n v="3"/>
    <n v="0"/>
    <n v="0.47619047619047616"/>
    <n v="0"/>
    <n v="10.8"/>
    <n v="-1"/>
    <n v="1"/>
    <n v="-1"/>
    <n v="2.6"/>
    <n v="-1"/>
    <n v="0"/>
    <n v="0"/>
    <n v="1"/>
    <n v="0"/>
    <n v="0"/>
    <n v="0"/>
    <n v="0"/>
    <n v="0"/>
    <n v="0"/>
    <s v="ABR"/>
    <x v="95"/>
    <n v="0"/>
    <n v="0"/>
    <n v="1"/>
    <s v="2,01-2,4"/>
    <s v="3,01-4.0"/>
    <n v="0.47619047619047616"/>
    <n v="0.30303030303030304"/>
    <n v="0.27777777777777779"/>
    <n v="-5.6998556998557159E-2"/>
    <n v="1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9"/>
    <x v="14"/>
    <x v="3"/>
    <n v="0"/>
    <n v="0"/>
    <s v="D"/>
    <x v="44"/>
    <n v="3.7"/>
    <x v="3"/>
    <n v="1"/>
    <n v="1"/>
    <n v="0"/>
    <n v="0"/>
    <n v="1.68"/>
    <n v="4.75"/>
    <n v="0"/>
    <n v="0"/>
    <n v="-1"/>
    <n v="-1"/>
    <n v="2.7"/>
    <n v="0"/>
    <n v="0"/>
    <n v="0"/>
    <n v="0"/>
    <n v="0"/>
    <n v="0"/>
    <n v="0"/>
    <n v="0"/>
    <n v="0"/>
    <s v="ABR"/>
    <x v="96"/>
    <n v="0"/>
    <n v="1"/>
    <n v="0"/>
    <s v="1,41-1,7"/>
    <s v="4,01-5,5"/>
    <n v="0.59523809523809523"/>
    <n v="0.27027027027027023"/>
    <n v="0.21052631578947367"/>
    <n v="-7.6034681297839191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12"/>
    <x v="8"/>
    <n v="1"/>
    <n v="1"/>
    <s v="D"/>
    <x v="32"/>
    <n v="3.2"/>
    <x v="0"/>
    <n v="1"/>
    <n v="1"/>
    <n v="0.4"/>
    <n v="0.35087719298245612"/>
    <n v="2.85"/>
    <n v="2.5"/>
    <n v="0"/>
    <n v="0"/>
    <n v="-1"/>
    <n v="-1"/>
    <n v="2.2000000000000002"/>
    <n v="0"/>
    <n v="0"/>
    <n v="1"/>
    <n v="1"/>
    <n v="0"/>
    <n v="0"/>
    <n v="0"/>
    <n v="0"/>
    <n v="1"/>
    <s v="ABR"/>
    <x v="97"/>
    <n v="0"/>
    <n v="1"/>
    <n v="0"/>
    <s v="2,41-3,0"/>
    <s v="2,41-3,0"/>
    <n v="0.35087719298245612"/>
    <n v="0.3125"/>
    <n v="0.4"/>
    <n v="-6.3377192982456254E-2"/>
    <n v="0.35087719298245612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3"/>
    <x v="13"/>
    <n v="2"/>
    <n v="0"/>
    <s v="H"/>
    <x v="0"/>
    <n v="3"/>
    <x v="0"/>
    <n v="3"/>
    <n v="0"/>
    <n v="0.8"/>
    <n v="0"/>
    <n v="9"/>
    <n v="0"/>
    <n v="2"/>
    <n v="-2"/>
    <n v="2"/>
    <n v="-1"/>
    <n v="-1"/>
    <n v="0"/>
    <n v="0"/>
    <n v="1"/>
    <n v="1"/>
    <n v="0"/>
    <n v="0"/>
    <n v="0"/>
    <n v="0"/>
    <n v="0"/>
    <s v="ABR"/>
    <x v="98"/>
    <n v="1"/>
    <n v="0"/>
    <n v="0"/>
    <s v="2,41-3,0"/>
    <s v="2,41-3,0"/>
    <n v="0.33333333333333331"/>
    <n v="0.33333333333333331"/>
    <n v="0.4"/>
    <n v="-6.6666666666666652E-2"/>
    <n v="0.1666666666666666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0"/>
    <x v="8"/>
    <x v="6"/>
    <n v="1"/>
    <n v="2"/>
    <s v="A"/>
    <x v="27"/>
    <n v="3.3"/>
    <x v="8"/>
    <n v="0"/>
    <n v="3"/>
    <n v="0.29411764705882354"/>
    <n v="0.93023255813953487"/>
    <n v="0"/>
    <n v="10.199999999999999"/>
    <n v="-1"/>
    <n v="1"/>
    <n v="-1"/>
    <n v="2.4"/>
    <n v="-1"/>
    <n v="0"/>
    <n v="0"/>
    <n v="1"/>
    <n v="1"/>
    <n v="1"/>
    <n v="0"/>
    <n v="0"/>
    <n v="0"/>
    <n v="1"/>
    <s v="ABR"/>
    <x v="99"/>
    <n v="0"/>
    <n v="0"/>
    <n v="1"/>
    <s v="2,01-2,4"/>
    <s v="3,01-4.0"/>
    <n v="0.46511627906976744"/>
    <n v="0.30303030303030304"/>
    <n v="0.29411764705882354"/>
    <n v="-6.2264229158893958E-2"/>
    <n v="0.46511627906976744"/>
    <n v="0.14705882352941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3"/>
    <x v="10"/>
    <n v="1"/>
    <n v="0"/>
    <s v="H"/>
    <x v="22"/>
    <n v="3.2"/>
    <x v="42"/>
    <n v="3"/>
    <n v="0"/>
    <n v="0.2857142857142857"/>
    <n v="0"/>
    <n v="6.3000000000000007"/>
    <n v="0"/>
    <n v="1"/>
    <n v="-1"/>
    <n v="1.1000000000000001"/>
    <n v="-1"/>
    <n v="-1"/>
    <n v="0"/>
    <n v="0"/>
    <n v="1"/>
    <n v="0"/>
    <n v="0"/>
    <n v="0"/>
    <n v="0"/>
    <n v="0"/>
    <n v="0"/>
    <s v="ABR"/>
    <x v="100"/>
    <n v="1"/>
    <n v="0"/>
    <n v="0"/>
    <s v="2,01-2,4"/>
    <s v="3,01-4.0"/>
    <n v="0.47619047619047616"/>
    <n v="0.3125"/>
    <n v="0.2857142857142857"/>
    <n v="-7.4404761904761862E-2"/>
    <n v="0.4761904761904761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2"/>
    <x v="4"/>
    <n v="0"/>
    <n v="0"/>
    <s v="D"/>
    <x v="40"/>
    <n v="3.6"/>
    <x v="3"/>
    <n v="1"/>
    <n v="1"/>
    <n v="0"/>
    <n v="0"/>
    <n v="1.71"/>
    <n v="4.75"/>
    <n v="0"/>
    <n v="0"/>
    <n v="-1"/>
    <n v="-1"/>
    <n v="2.6"/>
    <n v="0"/>
    <n v="0"/>
    <n v="0"/>
    <n v="0"/>
    <n v="0"/>
    <n v="0"/>
    <n v="0"/>
    <n v="0"/>
    <n v="0"/>
    <s v="ABR"/>
    <x v="101"/>
    <n v="0"/>
    <n v="1"/>
    <n v="0"/>
    <s v="1,71-2,0"/>
    <s v="4,01-5,5"/>
    <n v="0.58479532163742687"/>
    <n v="0.27777777777777779"/>
    <n v="0.21052631578947367"/>
    <n v="-7.309941520467822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9"/>
    <x v="17"/>
    <n v="2"/>
    <n v="0"/>
    <s v="H"/>
    <x v="26"/>
    <n v="4.0999999999999996"/>
    <x v="40"/>
    <n v="3"/>
    <n v="0"/>
    <n v="0.34782608695652173"/>
    <n v="0"/>
    <n v="4.17"/>
    <n v="0"/>
    <n v="2"/>
    <n v="-2"/>
    <n v="0.3899999999999999"/>
    <n v="-1"/>
    <n v="-1"/>
    <n v="0"/>
    <n v="0"/>
    <n v="1"/>
    <n v="1"/>
    <n v="0"/>
    <n v="0"/>
    <n v="0"/>
    <n v="0"/>
    <n v="0"/>
    <s v="ABR"/>
    <x v="102"/>
    <n v="1"/>
    <n v="0"/>
    <n v="0"/>
    <s v="1,21-1,4"/>
    <s v="5,51-9,0"/>
    <n v="0.71942446043165476"/>
    <n v="0.24390243902439027"/>
    <n v="0.17391304347826086"/>
    <n v="-0.13723994293430586"/>
    <n v="0.3597122302158273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9"/>
    <x v="18"/>
    <n v="2"/>
    <n v="2"/>
    <s v="D"/>
    <x v="17"/>
    <n v="3.4"/>
    <x v="18"/>
    <n v="1"/>
    <n v="1"/>
    <n v="0.47619047619047616"/>
    <n v="1.075268817204301"/>
    <n v="1.86"/>
    <n v="4.2"/>
    <n v="0"/>
    <n v="0"/>
    <n v="-1"/>
    <n v="-1"/>
    <n v="2.4"/>
    <n v="0"/>
    <n v="0"/>
    <n v="1"/>
    <n v="1"/>
    <n v="1"/>
    <n v="1"/>
    <n v="0"/>
    <n v="0"/>
    <n v="1"/>
    <s v="ABR"/>
    <x v="103"/>
    <n v="0"/>
    <n v="1"/>
    <n v="0"/>
    <s v="1,71-2,0"/>
    <s v="4,01-5,5"/>
    <n v="0.5376344086021505"/>
    <n v="0.29411764705882354"/>
    <n v="0.23809523809523808"/>
    <n v="-6.9847293756212236E-2"/>
    <n v="0.26881720430107525"/>
    <n v="0.11904761904761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4"/>
    <x v="7"/>
    <n v="1"/>
    <n v="2"/>
    <s v="A"/>
    <x v="45"/>
    <n v="3.1"/>
    <x v="38"/>
    <n v="0"/>
    <n v="3"/>
    <n v="0.42553191489361702"/>
    <n v="0.625"/>
    <n v="0"/>
    <n v="7.0500000000000007"/>
    <n v="-1"/>
    <n v="1"/>
    <n v="-1"/>
    <n v="1.35"/>
    <n v="-1"/>
    <n v="0"/>
    <n v="0"/>
    <n v="1"/>
    <n v="1"/>
    <n v="1"/>
    <n v="0"/>
    <n v="0"/>
    <n v="0"/>
    <n v="1"/>
    <s v="ABR"/>
    <x v="104"/>
    <n v="0"/>
    <n v="0"/>
    <n v="1"/>
    <s v="3,01-4.0"/>
    <s v="2,01-2,4"/>
    <n v="0.3125"/>
    <n v="0.32258064516129031"/>
    <n v="0.42553191489361702"/>
    <n v="-6.0612560054907227E-2"/>
    <n v="0.3125"/>
    <n v="0.21276595744680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6"/>
    <x v="0"/>
    <n v="0"/>
    <n v="0"/>
    <s v="D"/>
    <x v="46"/>
    <n v="3"/>
    <x v="22"/>
    <n v="1"/>
    <n v="1"/>
    <n v="0"/>
    <n v="0"/>
    <n v="2.65"/>
    <n v="2.85"/>
    <n v="0"/>
    <n v="0"/>
    <n v="-1"/>
    <n v="-1"/>
    <n v="2"/>
    <n v="0"/>
    <n v="0"/>
    <n v="0"/>
    <n v="0"/>
    <n v="0"/>
    <n v="0"/>
    <n v="0"/>
    <n v="0"/>
    <n v="0"/>
    <s v="ABR"/>
    <x v="105"/>
    <n v="0"/>
    <n v="1"/>
    <n v="0"/>
    <s v="2,41-3,0"/>
    <s v="2,41-3,0"/>
    <n v="0.37735849056603776"/>
    <n v="0.33333333333333331"/>
    <n v="0.35087719298245612"/>
    <n v="-6.1569016881827254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1"/>
    <x v="18"/>
    <x v="1"/>
    <n v="2"/>
    <n v="1"/>
    <s v="H"/>
    <x v="2"/>
    <n v="3.4"/>
    <x v="2"/>
    <n v="3"/>
    <n v="0"/>
    <n v="0.51282051282051289"/>
    <n v="0.51020408163265307"/>
    <n v="5.88"/>
    <n v="0"/>
    <n v="1"/>
    <n v="-1"/>
    <n v="0.96"/>
    <n v="-1"/>
    <n v="-1"/>
    <n v="0"/>
    <n v="0"/>
    <n v="1"/>
    <n v="1"/>
    <n v="1"/>
    <n v="0"/>
    <n v="0"/>
    <n v="0"/>
    <n v="1"/>
    <s v="ABR"/>
    <x v="106"/>
    <n v="1"/>
    <n v="0"/>
    <n v="0"/>
    <s v="1,71-2,0"/>
    <s v="3,01-4.0"/>
    <n v="0.51020408163265307"/>
    <n v="0.29411764705882354"/>
    <n v="0.25641025641025644"/>
    <n v="-6.0731985101732944E-2"/>
    <n v="0.25510204081632654"/>
    <n v="0.25641025641025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x v="5"/>
    <x v="14"/>
    <n v="1"/>
    <n v="4"/>
    <s v="A"/>
    <x v="6"/>
    <n v="3.6"/>
    <x v="44"/>
    <n v="0"/>
    <n v="3"/>
    <n v="0.51020408163265307"/>
    <n v="1.0810810810810809"/>
    <n v="0"/>
    <n v="5.88"/>
    <n v="-3"/>
    <n v="3"/>
    <n v="-1"/>
    <n v="0.96"/>
    <n v="-1"/>
    <n v="0"/>
    <n v="1"/>
    <n v="1"/>
    <n v="1"/>
    <n v="1"/>
    <n v="1"/>
    <n v="1"/>
    <n v="0"/>
    <n v="1"/>
    <s v="ABR"/>
    <x v="107"/>
    <n v="0"/>
    <n v="0"/>
    <n v="1"/>
    <s v="3,01-4.0"/>
    <s v="1,71-2,0"/>
    <n v="0.27027027027027023"/>
    <n v="0.27777777777777779"/>
    <n v="0.51020408163265307"/>
    <n v="-5.8252129680701259E-2"/>
    <n v="0.27027027027027023"/>
    <n v="0.12755102040816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2"/>
    <x v="17"/>
    <x v="13"/>
    <n v="2"/>
    <n v="1"/>
    <s v="H"/>
    <x v="8"/>
    <n v="3.3"/>
    <x v="14"/>
    <n v="3"/>
    <n v="0"/>
    <n v="0.55555555555555558"/>
    <n v="0.49751243781094534"/>
    <n v="6.0299999999999994"/>
    <n v="0"/>
    <n v="1"/>
    <n v="-1"/>
    <n v="1.0099999999999998"/>
    <n v="-1"/>
    <n v="-1"/>
    <n v="0"/>
    <n v="0"/>
    <n v="1"/>
    <n v="1"/>
    <n v="1"/>
    <n v="0"/>
    <n v="0"/>
    <n v="0"/>
    <n v="1"/>
    <s v="ABR"/>
    <x v="108"/>
    <n v="1"/>
    <n v="0"/>
    <n v="0"/>
    <s v="2,01-2,4"/>
    <s v="3,01-4.0"/>
    <n v="0.49751243781094534"/>
    <n v="0.30303030303030304"/>
    <n v="0.27777777777777779"/>
    <n v="-7.8320518619026114E-2"/>
    <n v="0.24875621890547267"/>
    <n v="0.27777777777777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3"/>
    <x v="19"/>
    <n v="0"/>
    <n v="0"/>
    <s v="D"/>
    <x v="18"/>
    <n v="3"/>
    <x v="24"/>
    <n v="1"/>
    <n v="1"/>
    <n v="0"/>
    <n v="0"/>
    <n v="2.57"/>
    <n v="3"/>
    <n v="0"/>
    <n v="0"/>
    <n v="-1"/>
    <n v="-1"/>
    <n v="2"/>
    <n v="0"/>
    <n v="0"/>
    <n v="0"/>
    <n v="0"/>
    <n v="0"/>
    <n v="0"/>
    <n v="0"/>
    <n v="0"/>
    <n v="0"/>
    <s v="ABR"/>
    <x v="109"/>
    <n v="0"/>
    <n v="1"/>
    <n v="0"/>
    <s v="2,41-3,0"/>
    <s v="2,41-3,0"/>
    <n v="0.38910505836575876"/>
    <n v="0.33333333333333331"/>
    <n v="0.33333333333333331"/>
    <n v="-5.5771725032425445E-2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8"/>
    <x v="4"/>
    <n v="2"/>
    <n v="0"/>
    <s v="H"/>
    <x v="23"/>
    <n v="3.8"/>
    <x v="28"/>
    <n v="3"/>
    <n v="0"/>
    <n v="0.38095238095238093"/>
    <n v="0"/>
    <n v="4.8600000000000003"/>
    <n v="0"/>
    <n v="2"/>
    <n v="-2"/>
    <n v="0.62000000000000011"/>
    <n v="-1"/>
    <n v="-1"/>
    <n v="0"/>
    <n v="0"/>
    <n v="1"/>
    <n v="1"/>
    <n v="0"/>
    <n v="0"/>
    <n v="0"/>
    <n v="0"/>
    <n v="0"/>
    <s v="ABR"/>
    <x v="110"/>
    <n v="1"/>
    <n v="0"/>
    <n v="0"/>
    <s v="1,41-1,7"/>
    <s v="4,01-5,5"/>
    <n v="0.61728395061728392"/>
    <n v="0.26315789473684209"/>
    <n v="0.19047619047619047"/>
    <n v="-7.0918035830316528E-2"/>
    <n v="0.3086419753086419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2"/>
    <x v="12"/>
    <n v="1"/>
    <n v="2"/>
    <s v="A"/>
    <x v="17"/>
    <n v="3.4"/>
    <x v="45"/>
    <n v="0"/>
    <n v="3"/>
    <n v="0.24390243902439027"/>
    <n v="1.075268817204301"/>
    <n v="0"/>
    <n v="12.299999999999999"/>
    <n v="-1"/>
    <n v="1"/>
    <n v="-1"/>
    <n v="3.0999999999999996"/>
    <n v="-1"/>
    <n v="0"/>
    <n v="0"/>
    <n v="1"/>
    <n v="1"/>
    <n v="1"/>
    <n v="0"/>
    <n v="0"/>
    <n v="0"/>
    <n v="1"/>
    <s v="ABR"/>
    <x v="111"/>
    <n v="0"/>
    <n v="0"/>
    <n v="1"/>
    <s v="1,71-2,0"/>
    <s v="4,01-5,5"/>
    <n v="0.5376344086021505"/>
    <n v="0.29411764705882354"/>
    <n v="0.24390243902439027"/>
    <n v="-7.5654494685364337E-2"/>
    <n v="0.5376344086021505"/>
    <n v="0.121951219512195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"/>
    <x v="10"/>
    <n v="2"/>
    <n v="0"/>
    <s v="H"/>
    <x v="5"/>
    <n v="3.2"/>
    <x v="8"/>
    <n v="3"/>
    <n v="0"/>
    <n v="0.58823529411764708"/>
    <n v="0"/>
    <n v="6.6000000000000005"/>
    <n v="0"/>
    <n v="2"/>
    <n v="-2"/>
    <n v="1.2000000000000002"/>
    <n v="-1"/>
    <n v="-1"/>
    <n v="0"/>
    <n v="0"/>
    <n v="1"/>
    <n v="1"/>
    <n v="0"/>
    <n v="0"/>
    <n v="0"/>
    <n v="0"/>
    <n v="0"/>
    <s v="ABR"/>
    <x v="112"/>
    <n v="1"/>
    <n v="0"/>
    <n v="0"/>
    <s v="2,01-2,4"/>
    <s v="3,01-4.0"/>
    <n v="0.45454545454545453"/>
    <n v="0.3125"/>
    <n v="0.29411764705882354"/>
    <n v="-6.1163101604278181E-2"/>
    <n v="0.2272727272727272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3"/>
    <x v="16"/>
    <n v="2"/>
    <n v="3"/>
    <s v="A"/>
    <x v="27"/>
    <n v="3.2"/>
    <x v="42"/>
    <n v="0"/>
    <n v="3"/>
    <n v="0.5714285714285714"/>
    <n v="1.3953488372093024"/>
    <n v="0"/>
    <n v="10.5"/>
    <n v="-1"/>
    <n v="1"/>
    <n v="-1"/>
    <n v="2.5"/>
    <n v="-1"/>
    <n v="0"/>
    <n v="0"/>
    <n v="1"/>
    <n v="1"/>
    <n v="1"/>
    <n v="1"/>
    <n v="1"/>
    <n v="0"/>
    <n v="1"/>
    <s v="ABR"/>
    <x v="113"/>
    <n v="0"/>
    <n v="0"/>
    <n v="1"/>
    <s v="2,01-2,4"/>
    <s v="3,01-4.0"/>
    <n v="0.46511627906976744"/>
    <n v="0.3125"/>
    <n v="0.2857142857142857"/>
    <n v="-6.3330564784052967E-2"/>
    <n v="0.23255813953488372"/>
    <n v="9.523809523809523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0"/>
    <x v="3"/>
    <n v="4"/>
    <n v="2"/>
    <s v="H"/>
    <x v="41"/>
    <n v="3.9"/>
    <x v="29"/>
    <n v="3"/>
    <n v="0"/>
    <n v="0.61538461538461542"/>
    <n v="1.3422818791946309"/>
    <n v="4.47"/>
    <n v="0"/>
    <n v="2"/>
    <n v="-2"/>
    <n v="0.49"/>
    <n v="-1"/>
    <n v="-1"/>
    <n v="1"/>
    <n v="0"/>
    <n v="1"/>
    <n v="1"/>
    <n v="1"/>
    <n v="1"/>
    <n v="1"/>
    <n v="1"/>
    <n v="1"/>
    <s v="ABR"/>
    <x v="114"/>
    <n v="1"/>
    <n v="0"/>
    <n v="0"/>
    <s v="1,41-1,7"/>
    <s v="5,51-9,0"/>
    <n v="0.67114093959731547"/>
    <n v="0.25641025641025644"/>
    <n v="0.15384615384615385"/>
    <n v="-8.1397349853725931E-2"/>
    <n v="0.16778523489932887"/>
    <n v="7.6923076923076927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5"/>
    <x v="2"/>
    <n v="1"/>
    <n v="0"/>
    <s v="H"/>
    <x v="47"/>
    <n v="3.6"/>
    <x v="29"/>
    <n v="3"/>
    <n v="0"/>
    <n v="0.15384615384615385"/>
    <n v="0"/>
    <n v="4.68"/>
    <n v="0"/>
    <n v="1"/>
    <n v="-1"/>
    <n v="0.56000000000000005"/>
    <n v="-1"/>
    <n v="-1"/>
    <n v="0"/>
    <n v="0"/>
    <n v="1"/>
    <n v="0"/>
    <n v="0"/>
    <n v="0"/>
    <n v="0"/>
    <n v="0"/>
    <n v="0"/>
    <s v="ABR"/>
    <x v="115"/>
    <n v="1"/>
    <n v="0"/>
    <n v="0"/>
    <s v="1,41-1,7"/>
    <s v="5,51-9,0"/>
    <n v="0.64102564102564097"/>
    <n v="0.27777777777777779"/>
    <n v="0.15384615384615385"/>
    <n v="-7.2649572649572614E-2"/>
    <n v="0.6410256410256409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3"/>
    <x v="11"/>
    <x v="6"/>
    <n v="2"/>
    <n v="0"/>
    <s v="H"/>
    <x v="48"/>
    <n v="4.5"/>
    <x v="29"/>
    <n v="3"/>
    <n v="0"/>
    <n v="0.30769230769230771"/>
    <n v="0"/>
    <n v="4.26"/>
    <n v="0"/>
    <n v="2"/>
    <n v="-2"/>
    <n v="0.41999999999999993"/>
    <n v="-1"/>
    <n v="-1"/>
    <n v="0"/>
    <n v="0"/>
    <n v="1"/>
    <n v="1"/>
    <n v="0"/>
    <n v="0"/>
    <n v="0"/>
    <n v="0"/>
    <n v="0"/>
    <s v="ABR"/>
    <x v="116"/>
    <n v="1"/>
    <n v="0"/>
    <n v="0"/>
    <s v="1,41-1,7"/>
    <s v="5,51-9,0"/>
    <n v="0.70422535211267612"/>
    <n v="0.22222222222222221"/>
    <n v="0.15384615384615385"/>
    <n v="-8.0293728181052071E-2"/>
    <n v="0.3521126760563380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x v="117"/>
    <s v=""/>
    <s v=""/>
    <s v=""/>
    <s v=""/>
    <s v=""/>
    <s v=""/>
    <s v=""/>
    <s v=""/>
    <s v=""/>
    <s v=""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4"/>
    <x v="20"/>
    <x v="20"/>
    <m/>
    <m/>
    <m/>
    <x v="49"/>
    <m/>
    <x v="46"/>
    <m/>
    <m/>
    <m/>
    <m/>
    <m/>
    <m/>
    <m/>
    <m/>
    <m/>
    <m/>
    <m/>
    <m/>
    <m/>
    <m/>
    <m/>
    <m/>
    <m/>
    <m/>
    <m/>
    <m/>
    <m/>
    <x v="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1A30F-A7D7-418B-BFF7-894252A48F44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 chartFormat="7">
  <location ref="A52:AD74" firstHeaderRow="0" firstDataRow="1" firstDataCol="1"/>
  <pivotFields count="120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 sortType="ascending">
      <items count="182">
        <item m="1" x="163"/>
        <item m="1" x="97"/>
        <item m="1" x="170"/>
        <item m="1" x="39"/>
        <item m="1" x="61"/>
        <item m="1" x="25"/>
        <item m="1" x="164"/>
        <item m="1" x="29"/>
        <item m="1" x="120"/>
        <item x="19"/>
        <item m="1" x="124"/>
        <item x="0"/>
        <item m="1" x="82"/>
        <item x="16"/>
        <item m="1" x="147"/>
        <item m="1" x="89"/>
        <item m="1" x="107"/>
        <item m="1" x="103"/>
        <item m="1" x="70"/>
        <item m="1" x="53"/>
        <item m="1" x="171"/>
        <item m="1" x="83"/>
        <item m="1" x="98"/>
        <item x="9"/>
        <item m="1" x="130"/>
        <item m="1" x="161"/>
        <item m="1" x="132"/>
        <item x="10"/>
        <item m="1" x="149"/>
        <item m="1" x="115"/>
        <item m="1" x="84"/>
        <item m="1" x="105"/>
        <item m="1" x="118"/>
        <item m="1" x="56"/>
        <item m="1" x="155"/>
        <item m="1" x="33"/>
        <item m="1" x="156"/>
        <item m="1" x="37"/>
        <item m="1" x="23"/>
        <item m="1" x="68"/>
        <item x="5"/>
        <item m="1" x="58"/>
        <item m="1" x="47"/>
        <item m="1" x="140"/>
        <item x="6"/>
        <item x="1"/>
        <item m="1" x="157"/>
        <item m="1" x="148"/>
        <item m="1" x="179"/>
        <item m="1" x="139"/>
        <item m="1" x="173"/>
        <item x="18"/>
        <item m="1" x="90"/>
        <item m="1" x="150"/>
        <item m="1" x="26"/>
        <item m="1" x="87"/>
        <item m="1" x="45"/>
        <item m="1" x="135"/>
        <item m="1" x="136"/>
        <item m="1" x="71"/>
        <item m="1" x="108"/>
        <item m="1" x="109"/>
        <item m="1" x="55"/>
        <item m="1" x="165"/>
        <item m="1" x="57"/>
        <item m="1" x="114"/>
        <item x="11"/>
        <item m="1" x="116"/>
        <item x="4"/>
        <item m="1" x="159"/>
        <item m="1" x="21"/>
        <item m="1" x="172"/>
        <item m="1" x="86"/>
        <item m="1" x="142"/>
        <item m="1" x="152"/>
        <item m="1" x="27"/>
        <item m="1" x="129"/>
        <item m="1" x="101"/>
        <item x="14"/>
        <item m="1" x="153"/>
        <item m="1" x="133"/>
        <item m="1" x="41"/>
        <item m="1" x="51"/>
        <item m="1" x="31"/>
        <item m="1" x="50"/>
        <item m="1" x="125"/>
        <item m="1" x="111"/>
        <item m="1" x="75"/>
        <item m="1" x="54"/>
        <item x="2"/>
        <item m="1" x="60"/>
        <item m="1" x="176"/>
        <item m="1" x="104"/>
        <item m="1" x="35"/>
        <item m="1" x="180"/>
        <item m="1" x="145"/>
        <item m="1" x="22"/>
        <item m="1" x="48"/>
        <item m="1" x="121"/>
        <item m="1" x="127"/>
        <item m="1" x="92"/>
        <item m="1" x="78"/>
        <item m="1" x="74"/>
        <item m="1" x="49"/>
        <item m="1" x="146"/>
        <item m="1" x="62"/>
        <item m="1" x="67"/>
        <item m="1" x="91"/>
        <item m="1" x="64"/>
        <item m="1" x="174"/>
        <item m="1" x="34"/>
        <item x="8"/>
        <item m="1" x="76"/>
        <item m="1" x="131"/>
        <item m="1" x="144"/>
        <item m="1" x="117"/>
        <item m="1" x="162"/>
        <item m="1" x="44"/>
        <item m="1" x="166"/>
        <item m="1" x="177"/>
        <item m="1" x="94"/>
        <item m="1" x="30"/>
        <item m="1" x="160"/>
        <item m="1" x="85"/>
        <item x="15"/>
        <item m="1" x="95"/>
        <item m="1" x="137"/>
        <item m="1" x="100"/>
        <item m="1" x="28"/>
        <item m="1" x="88"/>
        <item m="1" x="65"/>
        <item m="1" x="143"/>
        <item m="1" x="167"/>
        <item m="1" x="158"/>
        <item x="12"/>
        <item m="1" x="73"/>
        <item m="1" x="138"/>
        <item m="1" x="151"/>
        <item m="1" x="169"/>
        <item m="1" x="46"/>
        <item m="1" x="79"/>
        <item m="1" x="134"/>
        <item m="1" x="113"/>
        <item x="13"/>
        <item x="7"/>
        <item m="1" x="128"/>
        <item m="1" x="69"/>
        <item m="1" x="123"/>
        <item m="1" x="40"/>
        <item m="1" x="52"/>
        <item m="1" x="32"/>
        <item m="1" x="77"/>
        <item m="1" x="178"/>
        <item m="1" x="24"/>
        <item m="1" x="110"/>
        <item m="1" x="80"/>
        <item m="1" x="63"/>
        <item m="1" x="72"/>
        <item m="1" x="59"/>
        <item m="1" x="38"/>
        <item m="1" x="93"/>
        <item m="1" x="99"/>
        <item m="1" x="66"/>
        <item m="1" x="122"/>
        <item m="1" x="112"/>
        <item m="1" x="154"/>
        <item m="1" x="102"/>
        <item x="17"/>
        <item m="1" x="168"/>
        <item m="1" x="175"/>
        <item m="1" x="96"/>
        <item m="1" x="81"/>
        <item m="1" x="106"/>
        <item x="3"/>
        <item m="1" x="119"/>
        <item m="1" x="141"/>
        <item m="1" x="126"/>
        <item m="1" x="42"/>
        <item m="1" x="43"/>
        <item m="1" x="36"/>
        <item x="20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>
      <items count="30">
        <item x="9"/>
        <item x="8"/>
        <item m="1" x="22"/>
        <item x="5"/>
        <item x="2"/>
        <item m="1" x="20"/>
        <item x="1"/>
        <item m="1" x="15"/>
        <item m="1" x="27"/>
        <item x="3"/>
        <item m="1" x="28"/>
        <item x="0"/>
        <item m="1" x="24"/>
        <item m="1" x="25"/>
        <item x="4"/>
        <item m="1" x="21"/>
        <item m="1" x="18"/>
        <item x="7"/>
        <item m="1" x="13"/>
        <item m="1" x="17"/>
        <item x="6"/>
        <item m="1" x="26"/>
        <item m="1" x="19"/>
        <item m="1" x="23"/>
        <item m="1" x="12"/>
        <item m="1" x="14"/>
        <item m="1" x="11"/>
        <item m="1" x="16"/>
        <item x="10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 v="9"/>
    </i>
    <i>
      <x v="11"/>
    </i>
    <i>
      <x v="13"/>
    </i>
    <i>
      <x v="23"/>
    </i>
    <i>
      <x v="27"/>
    </i>
    <i>
      <x v="40"/>
    </i>
    <i>
      <x v="44"/>
    </i>
    <i>
      <x v="45"/>
    </i>
    <i>
      <x v="51"/>
    </i>
    <i>
      <x v="66"/>
    </i>
    <i>
      <x v="68"/>
    </i>
    <i>
      <x v="78"/>
    </i>
    <i>
      <x v="89"/>
    </i>
    <i>
      <x v="111"/>
    </i>
    <i>
      <x v="124"/>
    </i>
    <i>
      <x v="134"/>
    </i>
    <i>
      <x v="143"/>
    </i>
    <i>
      <x v="144"/>
    </i>
    <i>
      <x v="167"/>
    </i>
    <i>
      <x v="173"/>
    </i>
    <i>
      <x v="180"/>
    </i>
    <i t="grand">
      <x/>
    </i>
  </rowItems>
  <colFields count="1">
    <field x="-2"/>
  </colFields>
  <colItems count="2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</colItems>
  <dataFields count="29">
    <dataField name="Média de ODDC" fld="6" subtotal="average" baseField="1" baseItem="4" numFmtId="2"/>
    <dataField name="Média de ODDE" fld="7" subtotal="average" baseField="1" baseItem="4" numFmtId="2"/>
    <dataField name="Média de ODDV" fld="8" subtotal="average" baseField="1" baseItem="4" numFmtId="2"/>
    <dataField name="Soma de SLDC" fld="15" baseField="0" baseItem="0"/>
    <dataField name="Soma de SLDV" fld="16" baseField="0" baseItem="0"/>
    <dataField name="Soma de PLBACKC" fld="17" baseField="0" baseItem="0"/>
    <dataField name="Soma de PLBACKV" fld="18" baseField="0" baseItem="0"/>
    <dataField name="Média de GOLEAC" fld="20" subtotal="average" baseField="1" baseItem="2" numFmtId="2"/>
    <dataField name="Média de GOLEAV" fld="21" subtotal="average" baseField="1" baseItem="2" numFmtId="2"/>
    <dataField name="Média de AMBFT" fld="28" subtotal="average" baseField="1" baseItem="2" numFmtId="2"/>
    <dataField name="Contagem de CONTAG" fld="30" subtotal="count" baseField="1" baseItem="0"/>
    <dataField name="Média de VITC" fld="31" subtotal="average" baseField="1" baseItem="9" numFmtId="2"/>
    <dataField name="Média de EMP" fld="32" subtotal="average" baseField="1" baseItem="9" numFmtId="2"/>
    <dataField name="Média de VITV" fld="33" subtotal="average" baseField="1" baseItem="9" numFmtId="2"/>
    <dataField name="Contagem de FAVC" fld="34" subtotal="count" baseField="0" baseItem="0"/>
    <dataField name="Contagem de FAVV" fld="35" subtotal="count" baseField="0" baseItem="0"/>
    <dataField name="Média de FTHG" fld="3" subtotal="average" baseField="1" baseItem="2" numFmtId="2"/>
    <dataField name="Média de FTAG" fld="4" subtotal="average" baseField="1" baseItem="2" numFmtId="2"/>
    <dataField name="DesvPad de FTHG2" fld="3" subtotal="stdDev" baseField="1" baseItem="17" numFmtId="2"/>
    <dataField name="DesvPad de FTAG2" fld="4" subtotal="stdDev" baseField="1" baseItem="6" numFmtId="2"/>
    <dataField name="Soma de PLEMP" fld="19" baseField="0" baseItem="0"/>
    <dataField name="Média de 0,5FT" fld="22" subtotal="average" baseField="1" baseItem="126" numFmtId="2"/>
    <dataField name="Média de 1,5FT" fld="23" subtotal="average" baseField="1" baseItem="126"/>
    <dataField name="Média de 2,5FT" fld="24" subtotal="average" baseField="1" baseItem="126"/>
    <dataField name="Média de 3,5FT" fld="25" subtotal="average" baseField="1" baseItem="126"/>
    <dataField name="Média de GC/ODDV" fld="11" subtotal="average" baseField="1" baseItem="130"/>
    <dataField name="Média de PTC" fld="9" subtotal="average" baseField="1" baseItem="130"/>
    <dataField name="Média de PESOPTC" fld="13" subtotal="average" baseField="1" baseItem="93" numFmtId="2"/>
    <dataField name="Média de CustGC" fld="40" subtotal="average" baseField="1" baseItem="88" numFmtId="2"/>
  </dataFields>
  <formats count="19">
    <format dxfId="221">
      <pivotArea outline="0" collapsedLevelsAreSubtotals="1" fieldPosition="0">
        <references count="1">
          <reference field="4294967294" count="3" selected="0">
            <x v="11"/>
            <x v="12"/>
            <x v="13"/>
          </reference>
        </references>
      </pivotArea>
    </format>
    <format dxfId="220">
      <pivotArea outline="0" collapsedLevelsAreSubtotals="1" fieldPosition="0">
        <references count="1">
          <reference field="4294967294" count="2" selected="0">
            <x v="18"/>
            <x v="19"/>
          </reference>
        </references>
      </pivotArea>
    </format>
    <format dxfId="219">
      <pivotArea outline="0" collapsedLevelsAreSubtotals="1" fieldPosition="0">
        <references count="1">
          <reference field="4294967294" count="2" selected="0">
            <x v="16"/>
            <x v="17"/>
          </reference>
        </references>
      </pivotArea>
    </format>
    <format dxfId="218">
      <pivotArea outline="0" collapsedLevelsAreSubtotals="1" fieldPosition="0">
        <references count="1">
          <reference field="4294967294" count="3" selected="0">
            <x v="7"/>
            <x v="8"/>
            <x v="9"/>
          </reference>
        </references>
      </pivotArea>
    </format>
    <format dxfId="21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1" type="button" dataOnly="0" labelOnly="1" outline="0" axis="axisRow" fieldPosition="0"/>
    </format>
    <format dxfId="213">
      <pivotArea dataOnly="0" labelOnly="1" fieldPosition="0">
        <references count="1">
          <reference field="1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10">
      <pivotArea outline="0" fieldPosition="0">
        <references count="1">
          <reference field="4294967294" count="1">
            <x v="21"/>
          </reference>
        </references>
      </pivotArea>
    </format>
    <format dxfId="209">
      <pivotArea field="1" grandRow="1" outline="0" collapsedLevelsAreSubtotals="1" axis="axisRow" fieldPosition="0">
        <references count="1">
          <reference field="4294967294" count="3" selected="0">
            <x v="22"/>
            <x v="23"/>
            <x v="24"/>
          </reference>
        </references>
      </pivotArea>
    </format>
    <format dxfId="208">
      <pivotArea collapsedLevelsAreSubtotals="1" fieldPosition="0">
        <references count="2">
          <reference field="4294967294" count="4" selected="0">
            <x v="21"/>
            <x v="22"/>
            <x v="23"/>
            <x v="24"/>
          </reference>
          <reference field="1" count="20">
            <x v="5"/>
            <x v="9"/>
            <x v="10"/>
            <x v="11"/>
            <x v="12"/>
            <x v="23"/>
            <x v="27"/>
            <x v="38"/>
            <x v="44"/>
            <x v="45"/>
            <x v="54"/>
            <x v="66"/>
            <x v="68"/>
            <x v="70"/>
            <x v="75"/>
            <x v="89"/>
            <x v="96"/>
            <x v="124"/>
            <x v="143"/>
            <x v="144"/>
          </reference>
        </references>
      </pivotArea>
    </format>
    <format dxfId="207">
      <pivotArea field="1" grandRow="1" outline="0" collapsedLevelsAreSubtotals="1" axis="axisRow" fieldPosition="0">
        <references count="1">
          <reference field="4294967294" count="2" selected="0">
            <x v="25"/>
            <x v="26"/>
          </reference>
        </references>
      </pivotArea>
    </format>
    <format dxfId="206">
      <pivotArea outline="0" collapsedLevelsAreSubtotals="1" fieldPosition="0">
        <references count="1">
          <reference field="4294967294" count="1" selected="0">
            <x v="27"/>
          </reference>
        </references>
      </pivotArea>
    </format>
    <format dxfId="205">
      <pivotArea collapsedLevelsAreSubtotals="1" fieldPosition="0">
        <references count="2">
          <reference field="4294967294" count="5" selected="0">
            <x v="22"/>
            <x v="23"/>
            <x v="24"/>
            <x v="25"/>
            <x v="26"/>
          </reference>
          <reference field="1" count="0"/>
        </references>
      </pivotArea>
    </format>
    <format dxfId="204">
      <pivotArea outline="0" collapsedLevelsAreSubtotals="1" fieldPosition="0">
        <references count="1">
          <reference field="4294967294" count="1" selected="0">
            <x v="28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D1629-C381-451D-BC8E-803A0B5F8ED3}" name="Tabela dinâ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7" indent="0" outline="1" outlineData="1" multipleFieldFilters="0">
  <location ref="A81:AE103" firstHeaderRow="0" firstDataRow="1" firstDataCol="1"/>
  <pivotFields count="120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 sortType="ascending">
      <items count="180">
        <item m="1" x="161"/>
        <item m="1" x="96"/>
        <item m="1" x="168"/>
        <item m="1" x="39"/>
        <item m="1" x="61"/>
        <item m="1" x="27"/>
        <item m="1" x="162"/>
        <item m="1" x="29"/>
        <item m="1" x="120"/>
        <item x="2"/>
        <item m="1" x="124"/>
        <item x="10"/>
        <item m="1" x="82"/>
        <item m="1" x="119"/>
        <item x="6"/>
        <item m="1" x="145"/>
        <item m="1" x="89"/>
        <item m="1" x="106"/>
        <item m="1" x="102"/>
        <item m="1" x="70"/>
        <item m="1" x="53"/>
        <item m="1" x="169"/>
        <item m="1" x="83"/>
        <item m="1" x="97"/>
        <item x="14"/>
        <item m="1" x="129"/>
        <item m="1" x="159"/>
        <item m="1" x="131"/>
        <item x="1"/>
        <item m="1" x="147"/>
        <item m="1" x="114"/>
        <item m="1" x="84"/>
        <item m="1" x="104"/>
        <item m="1" x="117"/>
        <item m="1" x="56"/>
        <item m="1" x="153"/>
        <item m="1" x="33"/>
        <item m="1" x="154"/>
        <item m="1" x="37"/>
        <item m="1" x="22"/>
        <item m="1" x="68"/>
        <item x="17"/>
        <item m="1" x="58"/>
        <item m="1" x="47"/>
        <item m="1" x="138"/>
        <item x="19"/>
        <item x="18"/>
        <item m="1" x="155"/>
        <item m="1" x="146"/>
        <item m="1" x="177"/>
        <item m="1" x="137"/>
        <item m="1" x="171"/>
        <item x="9"/>
        <item m="1" x="148"/>
        <item m="1" x="26"/>
        <item m="1" x="87"/>
        <item m="1" x="45"/>
        <item m="1" x="133"/>
        <item m="1" x="134"/>
        <item m="1" x="71"/>
        <item m="1" x="107"/>
        <item m="1" x="108"/>
        <item m="1" x="55"/>
        <item m="1" x="163"/>
        <item m="1" x="57"/>
        <item m="1" x="113"/>
        <item x="7"/>
        <item m="1" x="115"/>
        <item x="16"/>
        <item m="1" x="157"/>
        <item m="1" x="24"/>
        <item m="1" x="170"/>
        <item m="1" x="86"/>
        <item m="1" x="140"/>
        <item m="1" x="150"/>
        <item m="1" x="25"/>
        <item m="1" x="128"/>
        <item m="1" x="100"/>
        <item x="4"/>
        <item m="1" x="151"/>
        <item m="1" x="41"/>
        <item m="1" x="51"/>
        <item m="1" x="31"/>
        <item m="1" x="50"/>
        <item m="1" x="110"/>
        <item m="1" x="75"/>
        <item m="1" x="54"/>
        <item x="11"/>
        <item m="1" x="60"/>
        <item m="1" x="174"/>
        <item m="1" x="103"/>
        <item m="1" x="35"/>
        <item m="1" x="178"/>
        <item m="1" x="143"/>
        <item m="1" x="23"/>
        <item m="1" x="48"/>
        <item m="1" x="121"/>
        <item m="1" x="126"/>
        <item m="1" x="91"/>
        <item m="1" x="78"/>
        <item m="1" x="74"/>
        <item m="1" x="49"/>
        <item m="1" x="144"/>
        <item m="1" x="62"/>
        <item m="1" x="67"/>
        <item m="1" x="90"/>
        <item m="1" x="64"/>
        <item m="1" x="172"/>
        <item m="1" x="34"/>
        <item x="12"/>
        <item m="1" x="76"/>
        <item m="1" x="130"/>
        <item m="1" x="142"/>
        <item m="1" x="116"/>
        <item m="1" x="160"/>
        <item m="1" x="44"/>
        <item m="1" x="164"/>
        <item m="1" x="175"/>
        <item m="1" x="93"/>
        <item m="1" x="30"/>
        <item m="1" x="158"/>
        <item m="1" x="85"/>
        <item x="0"/>
        <item m="1" x="94"/>
        <item m="1" x="135"/>
        <item m="1" x="99"/>
        <item m="1" x="28"/>
        <item m="1" x="88"/>
        <item m="1" x="65"/>
        <item m="1" x="141"/>
        <item m="1" x="165"/>
        <item m="1" x="156"/>
        <item x="3"/>
        <item m="1" x="73"/>
        <item m="1" x="136"/>
        <item m="1" x="149"/>
        <item m="1" x="167"/>
        <item m="1" x="46"/>
        <item m="1" x="79"/>
        <item m="1" x="132"/>
        <item m="1" x="112"/>
        <item x="5"/>
        <item x="13"/>
        <item m="1" x="127"/>
        <item m="1" x="69"/>
        <item m="1" x="123"/>
        <item m="1" x="40"/>
        <item m="1" x="52"/>
        <item m="1" x="32"/>
        <item m="1" x="77"/>
        <item m="1" x="176"/>
        <item m="1" x="21"/>
        <item m="1" x="109"/>
        <item m="1" x="80"/>
        <item m="1" x="63"/>
        <item m="1" x="72"/>
        <item m="1" x="59"/>
        <item m="1" x="38"/>
        <item m="1" x="92"/>
        <item m="1" x="98"/>
        <item m="1" x="66"/>
        <item m="1" x="122"/>
        <item m="1" x="111"/>
        <item m="1" x="152"/>
        <item m="1" x="101"/>
        <item x="8"/>
        <item m="1" x="166"/>
        <item m="1" x="173"/>
        <item m="1" x="95"/>
        <item m="1" x="81"/>
        <item m="1" x="105"/>
        <item x="15"/>
        <item m="1" x="118"/>
        <item m="1" x="139"/>
        <item m="1" x="125"/>
        <item m="1" x="42"/>
        <item m="1" x="43"/>
        <item m="1" x="36"/>
        <item x="20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0">
        <item x="9"/>
        <item m="1" x="16"/>
        <item m="1" x="28"/>
        <item m="1" x="20"/>
        <item m="1" x="23"/>
        <item x="6"/>
        <item m="1" x="18"/>
        <item x="7"/>
        <item x="4"/>
        <item m="1" x="27"/>
        <item x="0"/>
        <item m="1" x="24"/>
        <item m="1" x="25"/>
        <item x="1"/>
        <item m="1" x="19"/>
        <item m="1" x="15"/>
        <item x="2"/>
        <item m="1" x="12"/>
        <item m="1" x="14"/>
        <item x="3"/>
        <item m="1" x="26"/>
        <item m="1" x="17"/>
        <item m="1" x="21"/>
        <item m="1" x="11"/>
        <item m="1" x="13"/>
        <item x="5"/>
        <item m="1" x="22"/>
        <item x="8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 v="9"/>
    </i>
    <i>
      <x v="11"/>
    </i>
    <i>
      <x v="14"/>
    </i>
    <i>
      <x v="24"/>
    </i>
    <i>
      <x v="28"/>
    </i>
    <i>
      <x v="41"/>
    </i>
    <i>
      <x v="45"/>
    </i>
    <i>
      <x v="46"/>
    </i>
    <i>
      <x v="52"/>
    </i>
    <i>
      <x v="66"/>
    </i>
    <i>
      <x v="68"/>
    </i>
    <i>
      <x v="78"/>
    </i>
    <i>
      <x v="87"/>
    </i>
    <i>
      <x v="109"/>
    </i>
    <i>
      <x v="122"/>
    </i>
    <i>
      <x v="132"/>
    </i>
    <i>
      <x v="141"/>
    </i>
    <i>
      <x v="142"/>
    </i>
    <i>
      <x v="165"/>
    </i>
    <i>
      <x v="171"/>
    </i>
    <i>
      <x v="178"/>
    </i>
    <i t="grand">
      <x/>
    </i>
  </rowItems>
  <colFields count="1">
    <field x="-2"/>
  </colFields>
  <colItems count="3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</colItems>
  <dataFields count="30">
    <dataField name="Média de ODDC" fld="6" subtotal="average" baseField="2" baseItem="2" numFmtId="2"/>
    <dataField name="Média de ODDE" fld="7" subtotal="average" baseField="2" baseItem="2" numFmtId="2"/>
    <dataField name="Média de ODDV" fld="8" subtotal="average" baseField="2" baseItem="2" numFmtId="2"/>
    <dataField name="Soma de SLDC" fld="15" baseField="0" baseItem="0"/>
    <dataField name="Soma de SLDV" fld="16" baseField="0" baseItem="0"/>
    <dataField name="Soma de PLBACKC" fld="17" baseField="0" baseItem="0"/>
    <dataField name="Soma de PLBACKV" fld="18" baseField="0" baseItem="0"/>
    <dataField name="Média de GOLEAC" fld="20" subtotal="average" baseField="2" baseItem="6" numFmtId="2"/>
    <dataField name="Média de GOLEAV" fld="21" subtotal="average" baseField="2" baseItem="6" numFmtId="2"/>
    <dataField name="Média de AMBFT" fld="28" subtotal="average" baseField="2" baseItem="6" numFmtId="2"/>
    <dataField name="Contagem de CONTAG" fld="30" subtotal="count" baseField="2" baseItem="6"/>
    <dataField name="Média de VITC" fld="31" subtotal="average" baseField="2" baseItem="0" numFmtId="2"/>
    <dataField name="Média de EMP" fld="32" subtotal="average" baseField="2" baseItem="0" numFmtId="2"/>
    <dataField name="Média de VITV" fld="33" subtotal="average" baseField="2" baseItem="0" numFmtId="2"/>
    <dataField name="Contagem de FAVC" fld="34" subtotal="count" baseField="0" baseItem="0"/>
    <dataField name="Contagem de FAVV" fld="35" subtotal="count" baseField="0" baseItem="0"/>
    <dataField name="Média de FTHG" fld="3" subtotal="average" baseField="2" baseItem="12" numFmtId="2"/>
    <dataField name="Média de FTAG" fld="4" subtotal="average" baseField="2" baseItem="12" numFmtId="2"/>
    <dataField name="DesvPad de FTHG2" fld="3" subtotal="stdDev" baseField="2" baseItem="12" numFmtId="2"/>
    <dataField name="DesvPad de FTAG2" fld="4" subtotal="stdDev" baseField="2" baseItem="12" numFmtId="2"/>
    <dataField name="Soma de PLEMP" fld="19" baseField="0" baseItem="0"/>
    <dataField name="Média de 0,5FT" fld="22" subtotal="average" baseField="2" baseItem="80" numFmtId="2"/>
    <dataField name="Média de 1,5FT" fld="23" subtotal="average" baseField="2" baseItem="80"/>
    <dataField name="Média de 2,5FT" fld="24" subtotal="average" baseField="2" baseItem="80"/>
    <dataField name="Média de 3,5FT" fld="25" subtotal="average" baseField="2" baseItem="80"/>
    <dataField name="Média de GC/ODDV" fld="11" subtotal="average" baseField="2" baseItem="128"/>
    <dataField name="Média de PTV" fld="10" subtotal="average" baseField="2" baseItem="0" numFmtId="2"/>
    <dataField name="Média de GV/ODDC" fld="12" subtotal="average" baseField="2" baseItem="0" numFmtId="2"/>
    <dataField name="Média de PESOPTV" fld="14" subtotal="average" baseField="2" baseItem="0" numFmtId="2"/>
    <dataField name="Média de CustGV" fld="41" subtotal="average" baseField="2" baseItem="93"/>
  </dataFields>
  <formats count="18">
    <format dxfId="239">
      <pivotArea outline="0" collapsedLevelsAreSubtotals="1" fieldPosition="0">
        <references count="1">
          <reference field="4294967294" count="2" selected="0">
            <x v="16"/>
            <x v="17"/>
          </reference>
        </references>
      </pivotArea>
    </format>
    <format dxfId="238">
      <pivotArea outline="0" collapsedLevelsAreSubtotals="1" fieldPosition="0">
        <references count="1">
          <reference field="4294967294" count="2" selected="0">
            <x v="18"/>
            <x v="19"/>
          </reference>
        </references>
      </pivotArea>
    </format>
    <format dxfId="237">
      <pivotArea outline="0" collapsedLevelsAreSubtotals="1" fieldPosition="0">
        <references count="1">
          <reference field="4294967294" count="3" selected="0">
            <x v="7"/>
            <x v="8"/>
            <x v="9"/>
          </reference>
        </references>
      </pivotArea>
    </format>
    <format dxfId="236">
      <pivotArea collapsedLevelsAreSubtotals="1" fieldPosition="0">
        <references count="2">
          <reference field="4294967294" count="1" selected="0">
            <x v="6"/>
          </reference>
          <reference field="2" count="1">
            <x v="101"/>
          </reference>
        </references>
      </pivotArea>
    </format>
    <format dxfId="23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2" type="button" dataOnly="0" labelOnly="1" outline="0" axis="axisRow" fieldPosition="0"/>
    </format>
    <format dxfId="231">
      <pivotArea dataOnly="0" labelOnly="1" fieldPosition="0">
        <references count="1">
          <reference field="2" count="0"/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1">
          <reference field="429496729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228">
      <pivotArea outline="0" fieldPosition="0">
        <references count="1">
          <reference field="4294967294" count="1">
            <x v="21"/>
          </reference>
        </references>
      </pivotArea>
    </format>
    <format dxfId="227">
      <pivotArea field="2" grandRow="1" outline="0" collapsedLevelsAreSubtotals="1" axis="axisRow" fieldPosition="0">
        <references count="1">
          <reference field="4294967294" count="4" selected="0">
            <x v="21"/>
            <x v="22"/>
            <x v="23"/>
            <x v="24"/>
          </reference>
        </references>
      </pivotArea>
    </format>
    <format dxfId="226">
      <pivotArea collapsedLevelsAreSubtotals="1" fieldPosition="0">
        <references count="2">
          <reference field="4294967294" count="4" selected="0">
            <x v="21"/>
            <x v="22"/>
            <x v="23"/>
            <x v="24"/>
          </reference>
          <reference field="2" count="20">
            <x v="5"/>
            <x v="9"/>
            <x v="10"/>
            <x v="11"/>
            <x v="12"/>
            <x v="24"/>
            <x v="28"/>
            <x v="39"/>
            <x v="45"/>
            <x v="46"/>
            <x v="54"/>
            <x v="66"/>
            <x v="68"/>
            <x v="70"/>
            <x v="75"/>
            <x v="87"/>
            <x v="94"/>
            <x v="122"/>
            <x v="141"/>
            <x v="142"/>
          </reference>
        </references>
      </pivotArea>
    </format>
    <format dxfId="225">
      <pivotArea field="2" grandRow="1" outline="0" collapsedLevelsAreSubtotals="1" axis="axisRow" fieldPosition="0">
        <references count="1">
          <reference field="4294967294" count="1" selected="0">
            <x v="25"/>
          </reference>
        </references>
      </pivotArea>
    </format>
    <format dxfId="224">
      <pivotArea outline="0" collapsedLevelsAreSubtotals="1" fieldPosition="0">
        <references count="1">
          <reference field="4294967294" count="3" selected="0">
            <x v="26"/>
            <x v="27"/>
            <x v="28"/>
          </reference>
        </references>
      </pivotArea>
    </format>
    <format dxfId="223">
      <pivotArea collapsedLevelsAreSubtotals="1" fieldPosition="0">
        <references count="2">
          <reference field="4294967294" count="4" selected="0">
            <x v="22"/>
            <x v="23"/>
            <x v="24"/>
            <x v="25"/>
          </reference>
          <reference field="2" count="0"/>
        </references>
      </pivotArea>
    </format>
    <format dxfId="222">
      <pivotArea dataOnly="0" outline="0" fieldPosition="0">
        <references count="1">
          <reference field="4294967294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52134-1F18-4D1E-9F30-101030F35541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>
  <location ref="A1:C320" firstHeaderRow="0" firstDataRow="1" firstDataCol="1"/>
  <pivotFields count="120">
    <pivotField axis="axisRow" showAll="0">
      <items count="36"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axis="axisRow" showAll="0" sortType="ascending">
      <items count="22">
        <item x="19"/>
        <item x="0"/>
        <item x="16"/>
        <item x="9"/>
        <item x="10"/>
        <item x="5"/>
        <item x="6"/>
        <item x="1"/>
        <item x="18"/>
        <item x="11"/>
        <item x="4"/>
        <item x="14"/>
        <item x="2"/>
        <item x="8"/>
        <item x="15"/>
        <item x="12"/>
        <item x="13"/>
        <item x="7"/>
        <item x="17"/>
        <item x="3"/>
        <item x="20"/>
        <item t="default"/>
      </items>
    </pivotField>
    <pivotField axis="axisRow" showAll="0" sortType="ascending">
      <items count="22">
        <item x="2"/>
        <item x="10"/>
        <item x="6"/>
        <item x="14"/>
        <item x="1"/>
        <item x="17"/>
        <item x="19"/>
        <item x="18"/>
        <item x="9"/>
        <item x="7"/>
        <item x="16"/>
        <item x="4"/>
        <item x="11"/>
        <item x="12"/>
        <item x="0"/>
        <item x="3"/>
        <item x="5"/>
        <item x="13"/>
        <item x="8"/>
        <item x="15"/>
        <item x="20"/>
        <item t="default"/>
      </items>
    </pivotField>
    <pivotField dataField="1" showAll="0"/>
    <pivotField dataField="1" showAll="0"/>
    <pivotField showAll="0"/>
    <pivotField axis="axisRow" showAll="0">
      <items count="51">
        <item x="49"/>
        <item x="23"/>
        <item x="3"/>
        <item x="17"/>
        <item x="1"/>
        <item x="35"/>
        <item x="38"/>
        <item x="26"/>
        <item x="7"/>
        <item x="15"/>
        <item x="34"/>
        <item x="44"/>
        <item x="28"/>
        <item x="0"/>
        <item x="2"/>
        <item x="4"/>
        <item x="5"/>
        <item x="6"/>
        <item x="8"/>
        <item x="9"/>
        <item x="10"/>
        <item x="11"/>
        <item x="12"/>
        <item x="13"/>
        <item x="14"/>
        <item x="16"/>
        <item x="18"/>
        <item x="19"/>
        <item x="20"/>
        <item x="21"/>
        <item x="22"/>
        <item x="24"/>
        <item x="25"/>
        <item x="27"/>
        <item x="29"/>
        <item x="30"/>
        <item x="31"/>
        <item x="32"/>
        <item x="33"/>
        <item x="36"/>
        <item x="37"/>
        <item x="39"/>
        <item x="40"/>
        <item x="41"/>
        <item x="42"/>
        <item x="43"/>
        <item x="45"/>
        <item x="46"/>
        <item x="47"/>
        <item x="48"/>
        <item t="default"/>
      </items>
    </pivotField>
    <pivotField showAll="0"/>
    <pivotField axis="axisRow" showAll="0">
      <items count="48">
        <item x="46"/>
        <item x="20"/>
        <item x="14"/>
        <item x="33"/>
        <item x="19"/>
        <item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18"/>
        <item x="11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6">
    <field x="30"/>
    <field x="1"/>
    <field x="2"/>
    <field x="8"/>
    <field x="6"/>
    <field x="0"/>
  </rowFields>
  <rowItems count="319">
    <i>
      <x v="2"/>
    </i>
    <i r="1">
      <x v="12"/>
    </i>
    <i r="2">
      <x/>
    </i>
    <i r="3">
      <x v="8"/>
    </i>
    <i r="4">
      <x v="14"/>
    </i>
    <i r="5">
      <x v="1"/>
    </i>
    <i>
      <x v="3"/>
    </i>
    <i r="1">
      <x v="19"/>
    </i>
    <i r="2">
      <x v="15"/>
    </i>
    <i r="3">
      <x v="9"/>
    </i>
    <i r="4">
      <x v="2"/>
    </i>
    <i r="5">
      <x v="1"/>
    </i>
    <i>
      <x v="4"/>
    </i>
    <i r="1">
      <x v="10"/>
    </i>
    <i r="2">
      <x v="11"/>
    </i>
    <i r="3">
      <x v="10"/>
    </i>
    <i r="4">
      <x v="15"/>
    </i>
    <i r="5">
      <x v="1"/>
    </i>
    <i>
      <x v="8"/>
    </i>
    <i r="1">
      <x v="13"/>
    </i>
    <i r="2">
      <x v="18"/>
    </i>
    <i r="3">
      <x v="13"/>
    </i>
    <i r="4">
      <x v="2"/>
    </i>
    <i r="5">
      <x v="2"/>
    </i>
    <i>
      <x v="11"/>
    </i>
    <i r="1">
      <x v="9"/>
    </i>
    <i r="2">
      <x v="12"/>
    </i>
    <i r="3">
      <x v="16"/>
    </i>
    <i r="4">
      <x v="19"/>
    </i>
    <i r="5">
      <x v="4"/>
    </i>
    <i>
      <x v="15"/>
    </i>
    <i r="1">
      <x v="14"/>
    </i>
    <i r="2">
      <x v="19"/>
    </i>
    <i r="3">
      <x v="19"/>
    </i>
    <i r="4">
      <x v="21"/>
    </i>
    <i r="5">
      <x v="5"/>
    </i>
    <i>
      <x v="17"/>
    </i>
    <i r="1">
      <x v="18"/>
    </i>
    <i r="2">
      <x v="5"/>
    </i>
    <i r="3">
      <x v="10"/>
    </i>
    <i r="4">
      <x v="15"/>
    </i>
    <i r="5">
      <x v="5"/>
    </i>
    <i>
      <x v="18"/>
    </i>
    <i r="1">
      <x v="8"/>
    </i>
    <i r="2">
      <x v="7"/>
    </i>
    <i r="3">
      <x v="20"/>
    </i>
    <i r="4">
      <x v="22"/>
    </i>
    <i r="5">
      <x v="6"/>
    </i>
    <i>
      <x v="22"/>
    </i>
    <i r="1">
      <x v="1"/>
    </i>
    <i r="2">
      <x v="15"/>
    </i>
    <i r="3">
      <x v="16"/>
    </i>
    <i r="4">
      <x v="19"/>
    </i>
    <i r="5">
      <x v="7"/>
    </i>
    <i>
      <x v="23"/>
    </i>
    <i r="1">
      <x v="17"/>
    </i>
    <i r="2">
      <x v="11"/>
    </i>
    <i r="3">
      <x v="23"/>
    </i>
    <i r="4">
      <x v="9"/>
    </i>
    <i r="5">
      <x v="8"/>
    </i>
    <i>
      <x v="25"/>
    </i>
    <i r="1">
      <x/>
    </i>
    <i r="2">
      <x v="16"/>
    </i>
    <i r="3">
      <x v="15"/>
    </i>
    <i r="4">
      <x v="14"/>
    </i>
    <i r="5">
      <x v="8"/>
    </i>
    <i>
      <x v="26"/>
    </i>
    <i r="1">
      <x v="10"/>
    </i>
    <i r="2">
      <x v="3"/>
    </i>
    <i r="3">
      <x v="1"/>
    </i>
    <i r="4">
      <x v="25"/>
    </i>
    <i r="5">
      <x v="8"/>
    </i>
    <i>
      <x v="27"/>
    </i>
    <i r="1">
      <x v="6"/>
    </i>
    <i r="2">
      <x v="4"/>
    </i>
    <i r="3">
      <x v="9"/>
    </i>
    <i r="4">
      <x v="3"/>
    </i>
    <i r="5">
      <x v="8"/>
    </i>
    <i>
      <x v="33"/>
    </i>
    <i r="1">
      <x v="8"/>
    </i>
    <i r="2">
      <x v="6"/>
    </i>
    <i r="3">
      <x v="1"/>
    </i>
    <i r="4">
      <x v="29"/>
    </i>
    <i r="5">
      <x v="11"/>
    </i>
    <i>
      <x v="35"/>
    </i>
    <i r="1">
      <x v="14"/>
    </i>
    <i r="2">
      <x v="10"/>
    </i>
    <i r="3">
      <x v="28"/>
    </i>
    <i r="4">
      <x v="1"/>
    </i>
    <i r="5">
      <x v="12"/>
    </i>
    <i>
      <x v="37"/>
    </i>
    <i r="1">
      <x v="13"/>
    </i>
    <i r="2">
      <x v="16"/>
    </i>
    <i r="3">
      <x v="9"/>
    </i>
    <i r="4">
      <x v="29"/>
    </i>
    <i r="5">
      <x v="13"/>
    </i>
    <i>
      <x v="41"/>
    </i>
    <i r="1">
      <x v="2"/>
    </i>
    <i r="2">
      <x v="19"/>
    </i>
    <i r="3">
      <x v="31"/>
    </i>
    <i r="4">
      <x v="29"/>
    </i>
    <i r="5">
      <x v="13"/>
    </i>
    <i>
      <x v="42"/>
    </i>
    <i r="1">
      <x v="6"/>
    </i>
    <i r="2">
      <x v="7"/>
    </i>
    <i r="3">
      <x v="28"/>
    </i>
    <i r="4">
      <x v="1"/>
    </i>
    <i r="5">
      <x v="14"/>
    </i>
    <i>
      <x v="43"/>
    </i>
    <i r="1">
      <x v="9"/>
    </i>
    <i r="2">
      <x v="8"/>
    </i>
    <i r="3">
      <x v="32"/>
    </i>
    <i r="4">
      <x v="31"/>
    </i>
    <i r="5">
      <x v="14"/>
    </i>
    <i>
      <x v="46"/>
    </i>
    <i r="1">
      <x v="17"/>
    </i>
    <i r="2">
      <x v="5"/>
    </i>
    <i r="3">
      <x v="16"/>
    </i>
    <i r="4">
      <x v="7"/>
    </i>
    <i r="5">
      <x v="14"/>
    </i>
    <i>
      <x v="50"/>
    </i>
    <i r="1">
      <x v="10"/>
    </i>
    <i r="2">
      <x/>
    </i>
    <i r="3">
      <x v="9"/>
    </i>
    <i r="4">
      <x v="2"/>
    </i>
    <i r="5">
      <x v="17"/>
    </i>
    <i>
      <x v="51"/>
    </i>
    <i r="1">
      <x v="12"/>
    </i>
    <i r="2">
      <x v="2"/>
    </i>
    <i r="3">
      <x v="3"/>
    </i>
    <i r="4">
      <x v="25"/>
    </i>
    <i r="5">
      <x v="17"/>
    </i>
    <i>
      <x v="53"/>
    </i>
    <i r="1">
      <x v="7"/>
    </i>
    <i r="2">
      <x v="15"/>
    </i>
    <i r="3">
      <x v="28"/>
    </i>
    <i r="4">
      <x v="29"/>
    </i>
    <i r="5">
      <x v="17"/>
    </i>
    <i>
      <x v="54"/>
    </i>
    <i r="1">
      <x v="14"/>
    </i>
    <i r="2">
      <x v="13"/>
    </i>
    <i r="3">
      <x v="1"/>
    </i>
    <i r="4">
      <x v="35"/>
    </i>
    <i r="5">
      <x v="17"/>
    </i>
    <i>
      <x v="56"/>
    </i>
    <i r="1">
      <x v="8"/>
    </i>
    <i r="2">
      <x v="18"/>
    </i>
    <i r="3">
      <x v="23"/>
    </i>
    <i r="4">
      <x v="9"/>
    </i>
    <i r="5">
      <x v="17"/>
    </i>
    <i>
      <x v="58"/>
    </i>
    <i r="1">
      <x v="2"/>
    </i>
    <i r="2">
      <x v="4"/>
    </i>
    <i r="3">
      <x v="31"/>
    </i>
    <i r="4">
      <x v="29"/>
    </i>
    <i r="5">
      <x v="19"/>
    </i>
    <i>
      <x v="59"/>
    </i>
    <i r="1">
      <x v="14"/>
    </i>
    <i r="2">
      <x v="3"/>
    </i>
    <i r="3">
      <x v="36"/>
    </i>
    <i r="4">
      <x v="38"/>
    </i>
    <i r="5">
      <x v="19"/>
    </i>
    <i>
      <x v="62"/>
    </i>
    <i r="1">
      <x v="13"/>
    </i>
    <i r="2">
      <x v="7"/>
    </i>
    <i r="3">
      <x v="36"/>
    </i>
    <i r="4">
      <x v="10"/>
    </i>
    <i r="5">
      <x v="19"/>
    </i>
    <i>
      <x v="65"/>
    </i>
    <i r="1">
      <x v="11"/>
    </i>
    <i r="2">
      <x v="19"/>
    </i>
    <i r="3">
      <x v="9"/>
    </i>
    <i r="4">
      <x v="25"/>
    </i>
    <i r="5">
      <x v="20"/>
    </i>
    <i>
      <x v="68"/>
    </i>
    <i r="1">
      <x v="4"/>
    </i>
    <i r="2">
      <x v="3"/>
    </i>
    <i r="3">
      <x v="23"/>
    </i>
    <i r="4">
      <x v="3"/>
    </i>
    <i r="5">
      <x v="22"/>
    </i>
    <i>
      <x v="69"/>
    </i>
    <i r="1">
      <x v="10"/>
    </i>
    <i r="2">
      <x v="1"/>
    </i>
    <i r="3">
      <x v="10"/>
    </i>
    <i r="4">
      <x v="35"/>
    </i>
    <i r="5">
      <x v="22"/>
    </i>
    <i>
      <x v="71"/>
    </i>
    <i r="1">
      <x/>
    </i>
    <i r="2">
      <x v="7"/>
    </i>
    <i r="3">
      <x v="9"/>
    </i>
    <i r="4">
      <x v="9"/>
    </i>
    <i r="5">
      <x v="23"/>
    </i>
    <i>
      <x v="72"/>
    </i>
    <i r="1">
      <x v="8"/>
    </i>
    <i r="2">
      <x v="16"/>
    </i>
    <i r="3">
      <x v="31"/>
    </i>
    <i r="4">
      <x v="29"/>
    </i>
    <i r="5">
      <x v="23"/>
    </i>
    <i>
      <x v="74"/>
    </i>
    <i r="1">
      <x v="18"/>
    </i>
    <i r="2">
      <x v="11"/>
    </i>
    <i r="3">
      <x v="3"/>
    </i>
    <i r="4">
      <x v="6"/>
    </i>
    <i r="5">
      <x v="23"/>
    </i>
    <i>
      <x v="75"/>
    </i>
    <i r="1">
      <x v="12"/>
    </i>
    <i r="2">
      <x v="5"/>
    </i>
    <i r="3">
      <x v="16"/>
    </i>
    <i r="4">
      <x v="41"/>
    </i>
    <i r="5">
      <x v="23"/>
    </i>
    <i>
      <x v="78"/>
    </i>
    <i r="1">
      <x/>
    </i>
    <i r="2">
      <x v="3"/>
    </i>
    <i r="3">
      <x v="8"/>
    </i>
    <i r="4">
      <x v="9"/>
    </i>
    <i r="5">
      <x v="24"/>
    </i>
    <i>
      <x v="81"/>
    </i>
    <i r="1">
      <x v="2"/>
    </i>
    <i r="2">
      <x/>
    </i>
    <i r="3">
      <x v="9"/>
    </i>
    <i r="4">
      <x v="42"/>
    </i>
    <i r="5">
      <x v="26"/>
    </i>
    <i>
      <x v="82"/>
    </i>
    <i r="1">
      <x v="8"/>
    </i>
    <i r="2">
      <x v="19"/>
    </i>
    <i r="3">
      <x v="10"/>
    </i>
    <i r="4">
      <x v="43"/>
    </i>
    <i r="5">
      <x v="26"/>
    </i>
    <i>
      <x v="84"/>
    </i>
    <i r="1">
      <x v="10"/>
    </i>
    <i r="2">
      <x v="6"/>
    </i>
    <i r="3">
      <x v="9"/>
    </i>
    <i r="4">
      <x v="6"/>
    </i>
    <i r="5">
      <x v="26"/>
    </i>
    <i>
      <x v="86"/>
    </i>
    <i r="1">
      <x v="16"/>
    </i>
    <i r="2">
      <x v="15"/>
    </i>
    <i r="3">
      <x v="41"/>
    </i>
    <i r="4">
      <x v="35"/>
    </i>
    <i r="5">
      <x v="26"/>
    </i>
    <i>
      <x v="88"/>
    </i>
    <i r="1">
      <x v="14"/>
    </i>
    <i r="2">
      <x v="11"/>
    </i>
    <i r="3">
      <x v="10"/>
    </i>
    <i r="4">
      <x v="38"/>
    </i>
    <i r="5">
      <x v="27"/>
    </i>
    <i>
      <x v="91"/>
    </i>
    <i r="1">
      <x v="18"/>
    </i>
    <i r="2">
      <x v="3"/>
    </i>
    <i r="3">
      <x v="15"/>
    </i>
    <i r="4">
      <x v="9"/>
    </i>
    <i r="5">
      <x v="29"/>
    </i>
    <i>
      <x v="94"/>
    </i>
    <i r="1">
      <x v="9"/>
    </i>
    <i r="2">
      <x v="16"/>
    </i>
    <i r="3">
      <x v="44"/>
    </i>
    <i r="4">
      <x v="21"/>
    </i>
    <i r="5">
      <x v="29"/>
    </i>
    <i>
      <x v="98"/>
    </i>
    <i r="1">
      <x v="11"/>
    </i>
    <i r="2">
      <x v="15"/>
    </i>
    <i r="3">
      <x v="9"/>
    </i>
    <i r="4">
      <x v="11"/>
    </i>
    <i r="5">
      <x v="30"/>
    </i>
    <i>
      <x v="103"/>
    </i>
    <i r="1">
      <x v="12"/>
    </i>
    <i r="2">
      <x v="11"/>
    </i>
    <i r="3">
      <x v="9"/>
    </i>
    <i r="4">
      <x v="42"/>
    </i>
    <i r="5">
      <x v="32"/>
    </i>
    <i>
      <x v="104"/>
    </i>
    <i r="1">
      <x/>
    </i>
    <i r="2">
      <x v="5"/>
    </i>
    <i r="3">
      <x v="41"/>
    </i>
    <i r="4">
      <x v="7"/>
    </i>
    <i r="5">
      <x v="32"/>
    </i>
    <i>
      <x v="105"/>
    </i>
    <i r="1">
      <x v="3"/>
    </i>
    <i r="2">
      <x v="7"/>
    </i>
    <i r="3">
      <x v="23"/>
    </i>
    <i r="4">
      <x v="3"/>
    </i>
    <i r="5">
      <x v="32"/>
    </i>
    <i>
      <x v="108"/>
    </i>
    <i r="1">
      <x v="8"/>
    </i>
    <i r="2">
      <x v="4"/>
    </i>
    <i r="3">
      <x v="8"/>
    </i>
    <i r="4">
      <x v="14"/>
    </i>
    <i r="5">
      <x v="32"/>
    </i>
    <i>
      <x v="112"/>
    </i>
    <i r="1">
      <x v="8"/>
    </i>
    <i r="2">
      <x v="11"/>
    </i>
    <i r="3">
      <x v="31"/>
    </i>
    <i r="4">
      <x v="1"/>
    </i>
    <i r="5">
      <x v="34"/>
    </i>
    <i>
      <x v="113"/>
    </i>
    <i r="1">
      <x v="12"/>
    </i>
    <i r="2">
      <x v="13"/>
    </i>
    <i r="3">
      <x v="46"/>
    </i>
    <i r="4">
      <x v="3"/>
    </i>
    <i r="5">
      <x v="34"/>
    </i>
    <i>
      <x v="116"/>
    </i>
    <i r="1">
      <x v="4"/>
    </i>
    <i r="2">
      <x v="15"/>
    </i>
    <i r="3">
      <x v="32"/>
    </i>
    <i r="4">
      <x v="43"/>
    </i>
    <i r="5">
      <x v="34"/>
    </i>
    <i>
      <x v="117"/>
    </i>
    <i r="1">
      <x v="14"/>
    </i>
    <i r="2">
      <x/>
    </i>
    <i r="3">
      <x v="32"/>
    </i>
    <i r="4">
      <x v="48"/>
    </i>
    <i r="5">
      <x v="34"/>
    </i>
    <i>
      <x v="118"/>
    </i>
    <i r="1">
      <x v="9"/>
    </i>
    <i r="2">
      <x v="2"/>
    </i>
    <i r="3">
      <x v="32"/>
    </i>
    <i r="4">
      <x v="49"/>
    </i>
    <i r="5"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THG" fld="3" baseField="0" baseItem="0"/>
    <dataField name="Soma de FTAG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tween" evalOrder="-1" id="4" stringValue1="1,3" stringValue2="2">
      <autoFilter ref="A1">
        <filterColumn colId="0">
          <customFilters and="1">
            <customFilter operator="greaterThanOrEqual" val="1.3"/>
            <customFilter operator="less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114CD-EE25-4FD5-A3F5-8C3654E7960D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T26:U48" firstHeaderRow="1" firstDataRow="1" firstDataCol="1"/>
  <pivotFields count="42">
    <pivotField numFmtId="14" showAll="0"/>
    <pivotField axis="axisRow" showAll="0">
      <items count="182">
        <item m="1" x="89"/>
        <item m="1" x="70"/>
        <item m="1" x="53"/>
        <item m="1" x="171"/>
        <item m="1" x="161"/>
        <item m="1" x="115"/>
        <item m="1" x="156"/>
        <item m="1" x="157"/>
        <item m="1" x="135"/>
        <item m="1" x="172"/>
        <item m="1" x="111"/>
        <item m="1" x="75"/>
        <item m="1" x="49"/>
        <item m="1" x="91"/>
        <item m="1" x="174"/>
        <item m="1" x="44"/>
        <item m="1" x="95"/>
        <item m="1" x="65"/>
        <item m="1" x="143"/>
        <item m="1" x="167"/>
        <item m="1" x="40"/>
        <item m="1" x="80"/>
        <item m="1" x="59"/>
        <item m="1" x="141"/>
        <item m="1" x="125"/>
        <item m="1" x="37"/>
        <item m="1" x="57"/>
        <item m="1" x="159"/>
        <item m="1" x="41"/>
        <item m="1" x="51"/>
        <item m="1" x="67"/>
        <item m="1" x="162"/>
        <item m="1" x="177"/>
        <item m="1" x="79"/>
        <item m="1" x="69"/>
        <item m="1" x="110"/>
        <item m="1" x="122"/>
        <item m="1" x="107"/>
        <item m="1" x="132"/>
        <item m="1" x="84"/>
        <item m="1" x="140"/>
        <item m="1" x="92"/>
        <item m="1" x="28"/>
        <item m="1" x="73"/>
        <item m="1" x="38"/>
        <item m="1" x="119"/>
        <item m="1" x="148"/>
        <item m="1" x="72"/>
        <item m="1" x="117"/>
        <item x="20"/>
        <item m="1" x="98"/>
        <item m="1" x="33"/>
        <item m="1" x="139"/>
        <item m="1" x="136"/>
        <item m="1" x="116"/>
        <item m="1" x="152"/>
        <item m="1" x="60"/>
        <item m="1" x="169"/>
        <item m="1" x="32"/>
        <item m="1" x="63"/>
        <item m="1" x="43"/>
        <item m="1" x="58"/>
        <item m="1" x="97"/>
        <item m="1" x="170"/>
        <item m="1" x="118"/>
        <item m="1" x="47"/>
        <item m="1" x="78"/>
        <item m="1" x="34"/>
        <item m="1" x="76"/>
        <item m="1" x="85"/>
        <item m="1" x="137"/>
        <item m="1" x="88"/>
        <item m="1" x="52"/>
        <item m="1" x="126"/>
        <item m="1" x="54"/>
        <item m="1" x="96"/>
        <item m="1" x="55"/>
        <item m="1" x="66"/>
        <item m="1" x="83"/>
        <item m="1" x="112"/>
        <item m="1" x="131"/>
        <item m="1" x="151"/>
        <item m="1" x="155"/>
        <item m="1" x="113"/>
        <item m="1" x="164"/>
        <item m="1" x="121"/>
        <item m="1" x="114"/>
        <item m="1" x="48"/>
        <item m="1" x="86"/>
        <item m="1" x="128"/>
        <item m="1" x="64"/>
        <item m="1" x="46"/>
        <item m="1" x="178"/>
        <item m="1" x="168"/>
        <item m="1" x="154"/>
        <item m="1" x="56"/>
        <item m="1" x="62"/>
        <item m="1" x="39"/>
        <item m="1" x="30"/>
        <item m="1" x="68"/>
        <item m="1" x="147"/>
        <item m="1" x="123"/>
        <item m="1" x="106"/>
        <item m="1" x="109"/>
        <item m="1" x="103"/>
        <item m="1" x="165"/>
        <item m="1" x="101"/>
        <item m="1" x="29"/>
        <item m="1" x="77"/>
        <item m="1" x="120"/>
        <item m="1" x="127"/>
        <item m="1" x="142"/>
        <item m="1" x="102"/>
        <item m="1" x="158"/>
        <item x="4"/>
        <item x="16"/>
        <item m="1" x="26"/>
        <item x="19"/>
        <item x="5"/>
        <item x="6"/>
        <item m="1" x="25"/>
        <item m="1" x="22"/>
        <item x="10"/>
        <item x="13"/>
        <item x="14"/>
        <item m="1" x="21"/>
        <item x="15"/>
        <item m="1" x="124"/>
        <item m="1" x="24"/>
        <item x="0"/>
        <item m="1" x="23"/>
        <item x="2"/>
        <item x="7"/>
        <item x="11"/>
        <item x="1"/>
        <item x="9"/>
        <item m="1" x="82"/>
        <item m="1" x="27"/>
        <item m="1" x="105"/>
        <item x="17"/>
        <item m="1" x="100"/>
        <item m="1" x="74"/>
        <item m="1" x="99"/>
        <item x="18"/>
        <item m="1" x="81"/>
        <item m="1" x="173"/>
        <item m="1" x="176"/>
        <item m="1" x="153"/>
        <item m="1" x="134"/>
        <item m="1" x="94"/>
        <item m="1" x="144"/>
        <item m="1" x="179"/>
        <item m="1" x="150"/>
        <item m="1" x="166"/>
        <item m="1" x="90"/>
        <item m="1" x="133"/>
        <item m="1" x="71"/>
        <item m="1" x="87"/>
        <item m="1" x="149"/>
        <item m="1" x="50"/>
        <item m="1" x="42"/>
        <item m="1" x="175"/>
        <item m="1" x="160"/>
        <item m="1" x="36"/>
        <item m="1" x="104"/>
        <item m="1" x="35"/>
        <item m="1" x="108"/>
        <item m="1" x="129"/>
        <item m="1" x="61"/>
        <item m="1" x="93"/>
        <item m="1" x="138"/>
        <item m="1" x="31"/>
        <item m="1" x="45"/>
        <item m="1" x="180"/>
        <item m="1" x="145"/>
        <item m="1" x="146"/>
        <item x="8"/>
        <item x="3"/>
        <item m="1" x="130"/>
        <item m="1" x="163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 v="49"/>
    </i>
    <i>
      <x v="114"/>
    </i>
    <i>
      <x v="115"/>
    </i>
    <i>
      <x v="117"/>
    </i>
    <i>
      <x v="118"/>
    </i>
    <i>
      <x v="119"/>
    </i>
    <i>
      <x v="122"/>
    </i>
    <i>
      <x v="123"/>
    </i>
    <i>
      <x v="124"/>
    </i>
    <i>
      <x v="126"/>
    </i>
    <i>
      <x v="129"/>
    </i>
    <i>
      <x v="131"/>
    </i>
    <i>
      <x v="132"/>
    </i>
    <i>
      <x v="133"/>
    </i>
    <i>
      <x v="134"/>
    </i>
    <i>
      <x v="135"/>
    </i>
    <i>
      <x v="139"/>
    </i>
    <i>
      <x v="143"/>
    </i>
    <i>
      <x v="176"/>
    </i>
    <i>
      <x v="177"/>
    </i>
    <i>
      <x v="180"/>
    </i>
    <i t="grand">
      <x/>
    </i>
  </rowItems>
  <colItems count="1">
    <i/>
  </colItems>
  <dataFields count="1">
    <dataField name="Contagem de FAVC" fld="3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1C995-DFBC-4305-BCBC-33209C93ACF6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T57:U79" firstHeaderRow="1" firstDataRow="1" firstDataCol="1"/>
  <pivotFields count="42">
    <pivotField numFmtId="14" showAll="0"/>
    <pivotField showAll="0"/>
    <pivotField axis="axisRow" showAll="0">
      <items count="180">
        <item m="1" x="89"/>
        <item m="1" x="70"/>
        <item m="1" x="53"/>
        <item m="1" x="169"/>
        <item m="1" x="159"/>
        <item m="1" x="114"/>
        <item m="1" x="154"/>
        <item m="1" x="155"/>
        <item m="1" x="133"/>
        <item m="1" x="170"/>
        <item m="1" x="110"/>
        <item m="1" x="75"/>
        <item m="1" x="49"/>
        <item m="1" x="90"/>
        <item m="1" x="172"/>
        <item m="1" x="44"/>
        <item m="1" x="94"/>
        <item m="1" x="65"/>
        <item m="1" x="141"/>
        <item m="1" x="165"/>
        <item m="1" x="40"/>
        <item m="1" x="80"/>
        <item m="1" x="59"/>
        <item m="1" x="139"/>
        <item m="1" x="119"/>
        <item m="1" x="138"/>
        <item m="1" x="131"/>
        <item m="1" x="72"/>
        <item m="1" x="73"/>
        <item m="1" x="146"/>
        <item m="1" x="84"/>
        <item m="1" x="28"/>
        <item m="1" x="116"/>
        <item m="1" x="91"/>
        <item m="1" x="38"/>
        <item m="1" x="106"/>
        <item m="1" x="118"/>
        <item m="1" x="51"/>
        <item m="1" x="175"/>
        <item m="1" x="109"/>
        <item m="1" x="160"/>
        <item m="1" x="57"/>
        <item m="1" x="122"/>
        <item m="1" x="69"/>
        <item m="1" x="37"/>
        <item m="1" x="157"/>
        <item m="1" x="67"/>
        <item m="1" x="79"/>
        <item m="1" x="41"/>
        <item x="20"/>
        <item m="1" x="34"/>
        <item m="1" x="85"/>
        <item m="1" x="47"/>
        <item m="1" x="168"/>
        <item m="1" x="88"/>
        <item m="1" x="78"/>
        <item m="1" x="76"/>
        <item m="1" x="135"/>
        <item m="1" x="117"/>
        <item m="1" x="125"/>
        <item m="1" x="96"/>
        <item m="1" x="52"/>
        <item m="1" x="33"/>
        <item m="1" x="97"/>
        <item m="1" x="60"/>
        <item m="1" x="43"/>
        <item m="1" x="115"/>
        <item m="1" x="63"/>
        <item m="1" x="32"/>
        <item m="1" x="58"/>
        <item m="1" x="150"/>
        <item m="1" x="137"/>
        <item m="1" x="134"/>
        <item m="1" x="167"/>
        <item m="1" x="86"/>
        <item m="1" x="127"/>
        <item m="1" x="121"/>
        <item m="1" x="162"/>
        <item m="1" x="46"/>
        <item m="1" x="48"/>
        <item m="1" x="166"/>
        <item m="1" x="113"/>
        <item m="1" x="176"/>
        <item m="1" x="64"/>
        <item m="1" x="54"/>
        <item m="1" x="83"/>
        <item m="1" x="66"/>
        <item m="1" x="55"/>
        <item m="1" x="130"/>
        <item m="1" x="112"/>
        <item m="1" x="153"/>
        <item m="1" x="149"/>
        <item m="1" x="111"/>
        <item m="1" x="95"/>
        <item m="1" x="140"/>
        <item m="1" x="126"/>
        <item m="1" x="102"/>
        <item m="1" x="156"/>
        <item m="1" x="163"/>
        <item m="1" x="120"/>
        <item m="1" x="77"/>
        <item m="1" x="101"/>
        <item m="1" x="100"/>
        <item m="1" x="29"/>
        <item m="1" x="56"/>
        <item m="1" x="62"/>
        <item m="1" x="105"/>
        <item m="1" x="152"/>
        <item m="1" x="145"/>
        <item m="1" x="108"/>
        <item m="1" x="123"/>
        <item m="1" x="68"/>
        <item m="1" x="39"/>
        <item m="1" x="30"/>
        <item m="1" x="23"/>
        <item m="1" x="24"/>
        <item x="5"/>
        <item m="1" x="21"/>
        <item x="16"/>
        <item x="2"/>
        <item m="1" x="26"/>
        <item x="17"/>
        <item x="6"/>
        <item m="1" x="22"/>
        <item x="10"/>
        <item x="7"/>
        <item x="19"/>
        <item x="13"/>
        <item x="11"/>
        <item x="0"/>
        <item x="1"/>
        <item m="1" x="124"/>
        <item m="1" x="27"/>
        <item x="4"/>
        <item m="1" x="25"/>
        <item m="1" x="82"/>
        <item x="18"/>
        <item x="14"/>
        <item m="1" x="174"/>
        <item m="1" x="151"/>
        <item x="9"/>
        <item m="1" x="81"/>
        <item m="1" x="132"/>
        <item m="1" x="142"/>
        <item m="1" x="93"/>
        <item m="1" x="104"/>
        <item m="1" x="164"/>
        <item m="1" x="74"/>
        <item m="1" x="148"/>
        <item m="1" x="98"/>
        <item m="1" x="99"/>
        <item x="8"/>
        <item m="1" x="177"/>
        <item m="1" x="171"/>
        <item m="1" x="136"/>
        <item m="1" x="107"/>
        <item m="1" x="31"/>
        <item m="1" x="45"/>
        <item m="1" x="178"/>
        <item m="1" x="61"/>
        <item m="1" x="143"/>
        <item m="1" x="128"/>
        <item m="1" x="92"/>
        <item m="1" x="144"/>
        <item m="1" x="42"/>
        <item m="1" x="173"/>
        <item m="1" x="158"/>
        <item m="1" x="36"/>
        <item m="1" x="103"/>
        <item m="1" x="35"/>
        <item m="1" x="87"/>
        <item m="1" x="71"/>
        <item m="1" x="50"/>
        <item m="1" x="147"/>
        <item m="1" x="129"/>
        <item m="1" x="161"/>
        <item x="12"/>
        <item x="1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 v="49"/>
    </i>
    <i>
      <x v="116"/>
    </i>
    <i>
      <x v="118"/>
    </i>
    <i>
      <x v="119"/>
    </i>
    <i>
      <x v="121"/>
    </i>
    <i>
      <x v="122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3"/>
    </i>
    <i>
      <x v="136"/>
    </i>
    <i>
      <x v="137"/>
    </i>
    <i>
      <x v="140"/>
    </i>
    <i>
      <x v="151"/>
    </i>
    <i>
      <x v="176"/>
    </i>
    <i>
      <x v="177"/>
    </i>
    <i>
      <x v="178"/>
    </i>
    <i t="grand">
      <x/>
    </i>
  </rowItems>
  <colItems count="1">
    <i/>
  </colItems>
  <dataFields count="1">
    <dataField name="Contagem de FAVV" fld="3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BB43C-8DEB-4083-802B-85740E2B99D7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3">
  <location ref="S1:U356" firstHeaderRow="0" firstDataRow="1" firstDataCol="1"/>
  <pivotFields count="42">
    <pivotField showAll="0"/>
    <pivotField axis="axisRow" showAll="0" sortType="ascending">
      <items count="182">
        <item m="1" x="163"/>
        <item m="1" x="97"/>
        <item m="1" x="170"/>
        <item m="1" x="39"/>
        <item m="1" x="61"/>
        <item m="1" x="25"/>
        <item m="1" x="164"/>
        <item m="1" x="29"/>
        <item m="1" x="120"/>
        <item x="19"/>
        <item m="1" x="124"/>
        <item x="0"/>
        <item m="1" x="82"/>
        <item x="16"/>
        <item m="1" x="147"/>
        <item m="1" x="89"/>
        <item m="1" x="107"/>
        <item m="1" x="103"/>
        <item m="1" x="70"/>
        <item m="1" x="53"/>
        <item m="1" x="171"/>
        <item m="1" x="83"/>
        <item m="1" x="98"/>
        <item x="9"/>
        <item m="1" x="130"/>
        <item m="1" x="161"/>
        <item m="1" x="132"/>
        <item x="10"/>
        <item m="1" x="149"/>
        <item m="1" x="115"/>
        <item m="1" x="84"/>
        <item m="1" x="105"/>
        <item m="1" x="118"/>
        <item m="1" x="56"/>
        <item m="1" x="155"/>
        <item m="1" x="33"/>
        <item m="1" x="156"/>
        <item m="1" x="37"/>
        <item m="1" x="23"/>
        <item m="1" x="68"/>
        <item x="5"/>
        <item m="1" x="58"/>
        <item m="1" x="47"/>
        <item m="1" x="140"/>
        <item x="6"/>
        <item x="1"/>
        <item m="1" x="157"/>
        <item m="1" x="148"/>
        <item m="1" x="179"/>
        <item m="1" x="139"/>
        <item m="1" x="173"/>
        <item x="18"/>
        <item m="1" x="90"/>
        <item m="1" x="150"/>
        <item m="1" x="26"/>
        <item m="1" x="87"/>
        <item m="1" x="45"/>
        <item m="1" x="135"/>
        <item m="1" x="136"/>
        <item m="1" x="71"/>
        <item m="1" x="108"/>
        <item m="1" x="109"/>
        <item m="1" x="55"/>
        <item m="1" x="165"/>
        <item m="1" x="57"/>
        <item m="1" x="114"/>
        <item x="11"/>
        <item m="1" x="116"/>
        <item x="4"/>
        <item m="1" x="159"/>
        <item m="1" x="21"/>
        <item m="1" x="172"/>
        <item m="1" x="86"/>
        <item m="1" x="142"/>
        <item m="1" x="152"/>
        <item m="1" x="27"/>
        <item m="1" x="129"/>
        <item m="1" x="101"/>
        <item x="14"/>
        <item m="1" x="153"/>
        <item m="1" x="133"/>
        <item m="1" x="41"/>
        <item m="1" x="51"/>
        <item m="1" x="31"/>
        <item m="1" x="50"/>
        <item m="1" x="125"/>
        <item m="1" x="111"/>
        <item m="1" x="75"/>
        <item m="1" x="54"/>
        <item x="2"/>
        <item m="1" x="60"/>
        <item m="1" x="176"/>
        <item m="1" x="104"/>
        <item m="1" x="35"/>
        <item m="1" x="180"/>
        <item m="1" x="145"/>
        <item m="1" x="22"/>
        <item m="1" x="48"/>
        <item m="1" x="121"/>
        <item m="1" x="127"/>
        <item m="1" x="92"/>
        <item m="1" x="78"/>
        <item m="1" x="74"/>
        <item m="1" x="49"/>
        <item m="1" x="146"/>
        <item m="1" x="62"/>
        <item m="1" x="67"/>
        <item m="1" x="91"/>
        <item m="1" x="64"/>
        <item m="1" x="174"/>
        <item m="1" x="34"/>
        <item x="8"/>
        <item m="1" x="76"/>
        <item m="1" x="131"/>
        <item m="1" x="144"/>
        <item m="1" x="117"/>
        <item m="1" x="162"/>
        <item m="1" x="44"/>
        <item m="1" x="166"/>
        <item m="1" x="177"/>
        <item m="1" x="94"/>
        <item m="1" x="30"/>
        <item m="1" x="160"/>
        <item m="1" x="85"/>
        <item x="15"/>
        <item m="1" x="95"/>
        <item m="1" x="137"/>
        <item m="1" x="100"/>
        <item m="1" x="28"/>
        <item m="1" x="88"/>
        <item m="1" x="65"/>
        <item m="1" x="143"/>
        <item m="1" x="167"/>
        <item m="1" x="158"/>
        <item x="12"/>
        <item m="1" x="73"/>
        <item m="1" x="138"/>
        <item m="1" x="151"/>
        <item m="1" x="169"/>
        <item m="1" x="46"/>
        <item m="1" x="79"/>
        <item m="1" x="134"/>
        <item m="1" x="113"/>
        <item x="13"/>
        <item x="7"/>
        <item m="1" x="128"/>
        <item m="1" x="69"/>
        <item m="1" x="123"/>
        <item m="1" x="40"/>
        <item m="1" x="52"/>
        <item m="1" x="32"/>
        <item m="1" x="77"/>
        <item m="1" x="178"/>
        <item m="1" x="24"/>
        <item m="1" x="110"/>
        <item m="1" x="80"/>
        <item m="1" x="63"/>
        <item m="1" x="72"/>
        <item m="1" x="59"/>
        <item m="1" x="38"/>
        <item m="1" x="93"/>
        <item m="1" x="99"/>
        <item m="1" x="66"/>
        <item m="1" x="122"/>
        <item m="1" x="112"/>
        <item m="1" x="154"/>
        <item m="1" x="102"/>
        <item x="17"/>
        <item m="1" x="168"/>
        <item m="1" x="175"/>
        <item m="1" x="96"/>
        <item m="1" x="81"/>
        <item m="1" x="106"/>
        <item x="3"/>
        <item m="1" x="119"/>
        <item m="1" x="141"/>
        <item m="1" x="126"/>
        <item m="1" x="42"/>
        <item m="1" x="43"/>
        <item m="1" x="36"/>
        <item x="20"/>
        <item t="default"/>
      </items>
    </pivotField>
    <pivotField axis="axisRow" showAll="0" sortType="ascending">
      <items count="180">
        <item m="1" x="161"/>
        <item m="1" x="96"/>
        <item m="1" x="168"/>
        <item m="1" x="39"/>
        <item m="1" x="61"/>
        <item m="1" x="27"/>
        <item m="1" x="162"/>
        <item m="1" x="29"/>
        <item m="1" x="120"/>
        <item x="2"/>
        <item m="1" x="124"/>
        <item x="10"/>
        <item m="1" x="82"/>
        <item m="1" x="119"/>
        <item x="6"/>
        <item m="1" x="145"/>
        <item m="1" x="89"/>
        <item m="1" x="106"/>
        <item m="1" x="102"/>
        <item m="1" x="70"/>
        <item m="1" x="53"/>
        <item m="1" x="169"/>
        <item m="1" x="83"/>
        <item m="1" x="97"/>
        <item x="14"/>
        <item m="1" x="129"/>
        <item m="1" x="159"/>
        <item m="1" x="131"/>
        <item x="1"/>
        <item m="1" x="147"/>
        <item m="1" x="114"/>
        <item m="1" x="84"/>
        <item m="1" x="104"/>
        <item m="1" x="117"/>
        <item m="1" x="56"/>
        <item m="1" x="153"/>
        <item m="1" x="33"/>
        <item m="1" x="154"/>
        <item m="1" x="37"/>
        <item m="1" x="22"/>
        <item m="1" x="68"/>
        <item x="17"/>
        <item m="1" x="58"/>
        <item m="1" x="47"/>
        <item m="1" x="138"/>
        <item x="19"/>
        <item x="18"/>
        <item m="1" x="155"/>
        <item m="1" x="146"/>
        <item m="1" x="177"/>
        <item m="1" x="137"/>
        <item m="1" x="171"/>
        <item x="9"/>
        <item m="1" x="148"/>
        <item m="1" x="26"/>
        <item m="1" x="87"/>
        <item m="1" x="45"/>
        <item m="1" x="133"/>
        <item m="1" x="134"/>
        <item m="1" x="71"/>
        <item m="1" x="107"/>
        <item m="1" x="108"/>
        <item m="1" x="55"/>
        <item m="1" x="163"/>
        <item m="1" x="57"/>
        <item m="1" x="113"/>
        <item x="7"/>
        <item m="1" x="115"/>
        <item x="16"/>
        <item m="1" x="157"/>
        <item m="1" x="24"/>
        <item m="1" x="170"/>
        <item m="1" x="86"/>
        <item m="1" x="140"/>
        <item m="1" x="150"/>
        <item m="1" x="25"/>
        <item m="1" x="128"/>
        <item m="1" x="100"/>
        <item x="4"/>
        <item m="1" x="151"/>
        <item m="1" x="41"/>
        <item m="1" x="51"/>
        <item m="1" x="31"/>
        <item m="1" x="50"/>
        <item m="1" x="110"/>
        <item m="1" x="75"/>
        <item m="1" x="54"/>
        <item x="11"/>
        <item m="1" x="60"/>
        <item m="1" x="174"/>
        <item m="1" x="103"/>
        <item m="1" x="35"/>
        <item m="1" x="178"/>
        <item m="1" x="143"/>
        <item m="1" x="23"/>
        <item m="1" x="48"/>
        <item m="1" x="121"/>
        <item m="1" x="126"/>
        <item m="1" x="91"/>
        <item m="1" x="78"/>
        <item m="1" x="74"/>
        <item m="1" x="49"/>
        <item m="1" x="144"/>
        <item m="1" x="62"/>
        <item m="1" x="67"/>
        <item m="1" x="90"/>
        <item m="1" x="64"/>
        <item m="1" x="172"/>
        <item m="1" x="34"/>
        <item x="12"/>
        <item m="1" x="76"/>
        <item m="1" x="130"/>
        <item m="1" x="142"/>
        <item m="1" x="116"/>
        <item m="1" x="160"/>
        <item m="1" x="44"/>
        <item m="1" x="164"/>
        <item m="1" x="175"/>
        <item m="1" x="93"/>
        <item m="1" x="30"/>
        <item m="1" x="158"/>
        <item m="1" x="85"/>
        <item x="0"/>
        <item m="1" x="94"/>
        <item m="1" x="135"/>
        <item m="1" x="99"/>
        <item m="1" x="28"/>
        <item m="1" x="88"/>
        <item m="1" x="65"/>
        <item m="1" x="141"/>
        <item m="1" x="165"/>
        <item m="1" x="156"/>
        <item x="3"/>
        <item m="1" x="73"/>
        <item m="1" x="136"/>
        <item m="1" x="149"/>
        <item m="1" x="167"/>
        <item m="1" x="46"/>
        <item m="1" x="79"/>
        <item m="1" x="132"/>
        <item m="1" x="112"/>
        <item x="5"/>
        <item x="13"/>
        <item m="1" x="127"/>
        <item m="1" x="69"/>
        <item m="1" x="123"/>
        <item m="1" x="40"/>
        <item m="1" x="52"/>
        <item m="1" x="32"/>
        <item m="1" x="77"/>
        <item m="1" x="176"/>
        <item m="1" x="21"/>
        <item m="1" x="109"/>
        <item m="1" x="80"/>
        <item m="1" x="63"/>
        <item m="1" x="72"/>
        <item m="1" x="59"/>
        <item m="1" x="38"/>
        <item m="1" x="92"/>
        <item m="1" x="98"/>
        <item m="1" x="66"/>
        <item m="1" x="122"/>
        <item m="1" x="111"/>
        <item m="1" x="152"/>
        <item m="1" x="101"/>
        <item x="8"/>
        <item m="1" x="166"/>
        <item m="1" x="173"/>
        <item m="1" x="95"/>
        <item m="1" x="81"/>
        <item m="1" x="105"/>
        <item x="15"/>
        <item m="1" x="118"/>
        <item m="1" x="139"/>
        <item m="1" x="125"/>
        <item m="1" x="42"/>
        <item m="1" x="43"/>
        <item m="1" x="36"/>
        <item x="2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m="1" x="406"/>
        <item m="1" x="142"/>
        <item m="1" x="178"/>
        <item m="1" x="215"/>
        <item m="1" x="252"/>
        <item m="1" x="289"/>
        <item m="1" x="326"/>
        <item m="1" x="363"/>
        <item m="1" x="400"/>
        <item m="1" x="136"/>
        <item m="1" x="173"/>
        <item m="1" x="192"/>
        <item m="1" x="210"/>
        <item m="1" x="229"/>
        <item m="1" x="247"/>
        <item m="1" x="266"/>
        <item m="1" x="284"/>
        <item m="1" x="303"/>
        <item m="1" x="321"/>
        <item m="1" x="340"/>
        <item m="1" x="358"/>
        <item m="1" x="377"/>
        <item m="1" x="395"/>
        <item m="1" x="415"/>
        <item m="1" x="131"/>
        <item m="1" x="151"/>
        <item m="1" x="168"/>
        <item m="1" x="187"/>
        <item m="1" x="205"/>
        <item m="1" x="224"/>
        <item m="1" x="242"/>
        <item m="1" x="261"/>
        <item m="1" x="279"/>
        <item m="1" x="298"/>
        <item m="1" x="316"/>
        <item m="1" x="335"/>
        <item m="1" x="353"/>
        <item m="1" x="372"/>
        <item m="1" x="390"/>
        <item m="1" x="410"/>
        <item m="1" x="126"/>
        <item m="1" x="147"/>
        <item m="1" x="164"/>
        <item m="1" x="183"/>
        <item m="1" x="201"/>
        <item m="1" x="220"/>
        <item m="1" x="238"/>
        <item m="1" x="257"/>
        <item m="1" x="275"/>
        <item m="1" x="294"/>
        <item m="1" x="312"/>
        <item m="1" x="331"/>
        <item m="1" x="349"/>
        <item m="1" x="368"/>
        <item m="1" x="386"/>
        <item m="1" x="405"/>
        <item m="1" x="122"/>
        <item m="1" x="141"/>
        <item m="1" x="159"/>
        <item m="1" x="177"/>
        <item m="1" x="196"/>
        <item m="1" x="214"/>
        <item m="1" x="233"/>
        <item m="1" x="251"/>
        <item m="1" x="270"/>
        <item m="1" x="288"/>
        <item m="1" x="307"/>
        <item m="1" x="325"/>
        <item m="1" x="344"/>
        <item m="1" x="362"/>
        <item m="1" x="381"/>
        <item m="1" x="399"/>
        <item m="1" x="419"/>
        <item m="1" x="135"/>
        <item m="1" x="155"/>
        <item m="1" x="172"/>
        <item m="1" x="191"/>
        <item m="1" x="209"/>
        <item m="1" x="228"/>
        <item m="1" x="246"/>
        <item m="1" x="265"/>
        <item m="1" x="283"/>
        <item m="1" x="302"/>
        <item m="1" x="320"/>
        <item m="1" x="339"/>
        <item m="1" x="357"/>
        <item m="1" x="376"/>
        <item m="1" x="394"/>
        <item m="1" x="414"/>
        <item m="1" x="130"/>
        <item m="1" x="150"/>
        <item m="1" x="167"/>
        <item m="1" x="186"/>
        <item m="1" x="204"/>
        <item m="1" x="223"/>
        <item m="1" x="241"/>
        <item m="1" x="260"/>
        <item m="1" x="278"/>
        <item m="1" x="297"/>
        <item m="1" x="315"/>
        <item m="1" x="334"/>
        <item m="1" x="352"/>
        <item m="1" x="371"/>
        <item m="1" x="389"/>
        <item m="1" x="409"/>
        <item m="1" x="125"/>
        <item m="1" x="146"/>
        <item m="1" x="163"/>
        <item m="1" x="182"/>
        <item m="1" x="200"/>
        <item m="1" x="219"/>
        <item m="1" x="237"/>
        <item m="1" x="256"/>
        <item m="1" x="274"/>
        <item m="1" x="293"/>
        <item m="1" x="311"/>
        <item m="1" x="330"/>
        <item m="1" x="348"/>
        <item m="1" x="367"/>
        <item m="1" x="385"/>
        <item m="1" x="404"/>
        <item m="1" x="121"/>
        <item m="1" x="140"/>
        <item m="1" x="158"/>
        <item m="1" x="176"/>
        <item m="1" x="195"/>
        <item m="1" x="213"/>
        <item m="1" x="232"/>
        <item m="1" x="250"/>
        <item m="1" x="269"/>
        <item m="1" x="287"/>
        <item m="1" x="306"/>
        <item m="1" x="324"/>
        <item m="1" x="343"/>
        <item m="1" x="361"/>
        <item m="1" x="380"/>
        <item m="1" x="398"/>
        <item m="1" x="418"/>
        <item m="1" x="134"/>
        <item m="1" x="145"/>
        <item m="1" x="154"/>
        <item m="1" x="162"/>
        <item m="1" x="171"/>
        <item m="1" x="181"/>
        <item m="1" x="190"/>
        <item m="1" x="199"/>
        <item m="1" x="208"/>
        <item m="1" x="218"/>
        <item m="1" x="227"/>
        <item m="1" x="236"/>
        <item m="1" x="245"/>
        <item m="1" x="255"/>
        <item m="1" x="264"/>
        <item m="1" x="273"/>
        <item m="1" x="282"/>
        <item m="1" x="292"/>
        <item m="1" x="301"/>
        <item m="1" x="310"/>
        <item m="1" x="319"/>
        <item m="1" x="329"/>
        <item m="1" x="338"/>
        <item m="1" x="347"/>
        <item m="1" x="356"/>
        <item m="1" x="366"/>
        <item m="1" x="375"/>
        <item m="1" x="384"/>
        <item m="1" x="393"/>
        <item m="1" x="403"/>
        <item m="1" x="413"/>
        <item m="1" x="120"/>
        <item m="1" x="129"/>
        <item m="1" x="139"/>
        <item m="1" x="149"/>
        <item m="1" x="157"/>
        <item m="1" x="166"/>
        <item m="1" x="175"/>
        <item m="1" x="185"/>
        <item m="1" x="194"/>
        <item m="1" x="203"/>
        <item m="1" x="212"/>
        <item m="1" x="222"/>
        <item m="1" x="231"/>
        <item m="1" x="240"/>
        <item m="1" x="249"/>
        <item m="1" x="259"/>
        <item m="1" x="268"/>
        <item m="1" x="277"/>
        <item m="1" x="286"/>
        <item m="1" x="296"/>
        <item m="1" x="305"/>
        <item m="1" x="314"/>
        <item m="1" x="323"/>
        <item m="1" x="333"/>
        <item m="1" x="342"/>
        <item m="1" x="351"/>
        <item m="1" x="360"/>
        <item m="1" x="370"/>
        <item m="1" x="379"/>
        <item m="1" x="388"/>
        <item m="1" x="397"/>
        <item m="1" x="408"/>
        <item m="1" x="417"/>
        <item m="1" x="124"/>
        <item m="1" x="133"/>
        <item m="1" x="144"/>
        <item m="1" x="153"/>
        <item m="1" x="161"/>
        <item m="1" x="170"/>
        <item m="1" x="180"/>
        <item m="1" x="189"/>
        <item m="1" x="198"/>
        <item m="1" x="207"/>
        <item m="1" x="217"/>
        <item m="1" x="226"/>
        <item m="1" x="235"/>
        <item m="1" x="244"/>
        <item m="1" x="254"/>
        <item m="1" x="263"/>
        <item m="1" x="272"/>
        <item m="1" x="281"/>
        <item m="1" x="291"/>
        <item m="1" x="300"/>
        <item m="1" x="309"/>
        <item m="1" x="318"/>
        <item m="1" x="328"/>
        <item m="1" x="337"/>
        <item m="1" x="346"/>
        <item m="1" x="355"/>
        <item m="1" x="365"/>
        <item m="1" x="374"/>
        <item m="1" x="383"/>
        <item m="1" x="392"/>
        <item m="1" x="402"/>
        <item m="1" x="412"/>
        <item m="1" x="119"/>
        <item m="1" x="128"/>
        <item m="1" x="138"/>
        <item m="1" x="148"/>
        <item m="1" x="156"/>
        <item m="1" x="165"/>
        <item m="1" x="174"/>
        <item m="1" x="184"/>
        <item m="1" x="193"/>
        <item m="1" x="202"/>
        <item m="1" x="211"/>
        <item m="1" x="221"/>
        <item m="1" x="230"/>
        <item m="1" x="239"/>
        <item m="1" x="248"/>
        <item m="1" x="258"/>
        <item m="1" x="267"/>
        <item m="1" x="276"/>
        <item m="1" x="285"/>
        <item m="1" x="295"/>
        <item m="1" x="304"/>
        <item m="1" x="313"/>
        <item m="1" x="322"/>
        <item m="1" x="332"/>
        <item m="1" x="341"/>
        <item m="1" x="350"/>
        <item m="1" x="359"/>
        <item m="1" x="369"/>
        <item m="1" x="378"/>
        <item m="1" x="387"/>
        <item m="1" x="396"/>
        <item m="1" x="407"/>
        <item m="1" x="416"/>
        <item m="1" x="123"/>
        <item m="1" x="132"/>
        <item m="1" x="143"/>
        <item m="1" x="152"/>
        <item m="1" x="160"/>
        <item m="1" x="169"/>
        <item m="1" x="179"/>
        <item m="1" x="188"/>
        <item m="1" x="197"/>
        <item m="1" x="206"/>
        <item m="1" x="216"/>
        <item m="1" x="225"/>
        <item m="1" x="234"/>
        <item m="1" x="243"/>
        <item m="1" x="253"/>
        <item m="1" x="262"/>
        <item m="1" x="271"/>
        <item m="1" x="280"/>
        <item m="1" x="290"/>
        <item m="1" x="299"/>
        <item m="1" x="308"/>
        <item m="1" x="317"/>
        <item m="1" x="327"/>
        <item m="1" x="336"/>
        <item m="1" x="345"/>
        <item m="1" x="354"/>
        <item m="1" x="364"/>
        <item m="1" x="373"/>
        <item m="1" x="382"/>
        <item m="1" x="391"/>
        <item m="1" x="401"/>
        <item m="1" x="411"/>
        <item m="1" x="118"/>
        <item m="1" x="127"/>
        <item m="1" x="137"/>
        <item x="1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0"/>
    <field x="1"/>
    <field x="2"/>
  </rowFields>
  <rowItems count="355">
    <i>
      <x/>
    </i>
    <i r="1">
      <x v="11"/>
    </i>
    <i r="2">
      <x v="122"/>
    </i>
    <i>
      <x v="1"/>
    </i>
    <i r="1">
      <x v="45"/>
    </i>
    <i r="2">
      <x v="28"/>
    </i>
    <i>
      <x v="2"/>
    </i>
    <i r="1">
      <x v="89"/>
    </i>
    <i r="2">
      <x v="9"/>
    </i>
    <i>
      <x v="3"/>
    </i>
    <i r="1">
      <x v="173"/>
    </i>
    <i r="2">
      <x v="132"/>
    </i>
    <i>
      <x v="4"/>
    </i>
    <i r="1">
      <x v="68"/>
    </i>
    <i r="2">
      <x v="78"/>
    </i>
    <i>
      <x v="5"/>
    </i>
    <i r="1">
      <x v="40"/>
    </i>
    <i r="2">
      <x v="141"/>
    </i>
    <i>
      <x v="6"/>
    </i>
    <i r="1">
      <x v="44"/>
    </i>
    <i r="2">
      <x v="14"/>
    </i>
    <i>
      <x v="7"/>
    </i>
    <i r="1">
      <x v="144"/>
    </i>
    <i r="2">
      <x v="66"/>
    </i>
    <i>
      <x v="8"/>
    </i>
    <i r="1">
      <x v="111"/>
    </i>
    <i r="2">
      <x v="165"/>
    </i>
    <i>
      <x v="9"/>
    </i>
    <i r="1">
      <x v="23"/>
    </i>
    <i r="2">
      <x v="52"/>
    </i>
    <i>
      <x v="10"/>
    </i>
    <i r="1">
      <x v="27"/>
    </i>
    <i r="2">
      <x v="11"/>
    </i>
    <i>
      <x v="11"/>
    </i>
    <i r="1">
      <x v="66"/>
    </i>
    <i r="2">
      <x v="87"/>
    </i>
    <i>
      <x v="12"/>
    </i>
    <i r="1">
      <x v="134"/>
    </i>
    <i r="2">
      <x v="109"/>
    </i>
    <i>
      <x v="13"/>
    </i>
    <i r="1">
      <x v="143"/>
    </i>
    <i r="2">
      <x v="142"/>
    </i>
    <i>
      <x v="14"/>
    </i>
    <i r="1">
      <x v="78"/>
    </i>
    <i r="2">
      <x v="24"/>
    </i>
    <i>
      <x v="15"/>
    </i>
    <i r="1">
      <x v="124"/>
    </i>
    <i r="2">
      <x v="171"/>
    </i>
    <i>
      <x v="16"/>
    </i>
    <i r="1">
      <x v="13"/>
    </i>
    <i r="2">
      <x v="68"/>
    </i>
    <i>
      <x v="17"/>
    </i>
    <i r="1">
      <x v="167"/>
    </i>
    <i r="2">
      <x v="41"/>
    </i>
    <i>
      <x v="18"/>
    </i>
    <i r="1">
      <x v="51"/>
    </i>
    <i r="2">
      <x v="46"/>
    </i>
    <i>
      <x v="19"/>
    </i>
    <i r="1">
      <x v="173"/>
    </i>
    <i r="2">
      <x v="66"/>
    </i>
    <i>
      <x v="20"/>
    </i>
    <i r="1">
      <x v="40"/>
    </i>
    <i r="2">
      <x v="46"/>
    </i>
    <i>
      <x v="21"/>
    </i>
    <i r="1">
      <x v="111"/>
    </i>
    <i r="2">
      <x v="52"/>
    </i>
    <i>
      <x v="22"/>
    </i>
    <i r="1">
      <x v="11"/>
    </i>
    <i r="2">
      <x v="132"/>
    </i>
    <i>
      <x v="23"/>
    </i>
    <i r="1">
      <x v="144"/>
    </i>
    <i r="2">
      <x v="78"/>
    </i>
    <i>
      <x v="24"/>
    </i>
    <i r="1">
      <x v="167"/>
    </i>
    <i r="2">
      <x v="14"/>
    </i>
    <i>
      <x v="25"/>
    </i>
    <i r="1">
      <x v="9"/>
    </i>
    <i r="2">
      <x v="141"/>
    </i>
    <i>
      <x v="26"/>
    </i>
    <i r="1">
      <x v="68"/>
    </i>
    <i r="2">
      <x v="24"/>
    </i>
    <i>
      <x v="27"/>
    </i>
    <i r="1">
      <x v="44"/>
    </i>
    <i r="2">
      <x v="28"/>
    </i>
    <i>
      <x v="28"/>
    </i>
    <i r="1">
      <x v="89"/>
    </i>
    <i r="2">
      <x v="122"/>
    </i>
    <i>
      <x v="29"/>
    </i>
    <i r="1">
      <x v="9"/>
    </i>
    <i r="2">
      <x v="45"/>
    </i>
    <i>
      <x v="30"/>
    </i>
    <i r="1">
      <x v="27"/>
    </i>
    <i r="2">
      <x v="9"/>
    </i>
    <i>
      <x v="31"/>
    </i>
    <i r="1">
      <x v="134"/>
    </i>
    <i r="2">
      <x v="87"/>
    </i>
    <i>
      <x v="32"/>
    </i>
    <i r="1">
      <x v="45"/>
    </i>
    <i r="2">
      <x v="142"/>
    </i>
    <i>
      <x v="33"/>
    </i>
    <i r="1">
      <x v="51"/>
    </i>
    <i r="2">
      <x v="45"/>
    </i>
    <i>
      <x v="34"/>
    </i>
    <i r="1">
      <x v="78"/>
    </i>
    <i r="2">
      <x v="11"/>
    </i>
    <i>
      <x v="35"/>
    </i>
    <i r="1">
      <x v="124"/>
    </i>
    <i r="2">
      <x v="68"/>
    </i>
    <i>
      <x v="36"/>
    </i>
    <i r="1">
      <x v="143"/>
    </i>
    <i r="2">
      <x v="165"/>
    </i>
    <i>
      <x v="37"/>
    </i>
    <i r="1">
      <x v="111"/>
    </i>
    <i r="2">
      <x v="141"/>
    </i>
    <i>
      <x v="38"/>
    </i>
    <i r="1">
      <x v="11"/>
    </i>
    <i r="2">
      <x v="87"/>
    </i>
    <i>
      <x v="39"/>
    </i>
    <i r="1">
      <x v="13"/>
    </i>
    <i r="2">
      <x v="171"/>
    </i>
    <i>
      <x v="40"/>
    </i>
    <i r="1">
      <x v="44"/>
    </i>
    <i r="2">
      <x v="46"/>
    </i>
    <i>
      <x v="41"/>
    </i>
    <i r="1">
      <x v="66"/>
    </i>
    <i r="2">
      <x v="52"/>
    </i>
    <i>
      <x v="42"/>
    </i>
    <i r="1">
      <x v="134"/>
    </i>
    <i r="2">
      <x v="68"/>
    </i>
    <i>
      <x v="43"/>
    </i>
    <i r="1">
      <x v="167"/>
    </i>
    <i r="2">
      <x v="122"/>
    </i>
    <i>
      <x v="44"/>
    </i>
    <i r="1">
      <x v="144"/>
    </i>
    <i r="2">
      <x v="41"/>
    </i>
    <i>
      <x v="45"/>
    </i>
    <i r="1">
      <x v="78"/>
    </i>
    <i r="2">
      <x v="28"/>
    </i>
    <i>
      <x v="46"/>
    </i>
    <i r="1">
      <x v="173"/>
    </i>
    <i r="2">
      <x v="11"/>
    </i>
    <i>
      <x v="47"/>
    </i>
    <i r="1">
      <x v="23"/>
    </i>
    <i r="2">
      <x v="66"/>
    </i>
    <i>
      <x v="48"/>
    </i>
    <i r="1">
      <x v="68"/>
    </i>
    <i r="2">
      <x v="9"/>
    </i>
    <i>
      <x v="49"/>
    </i>
    <i r="1">
      <x v="89"/>
    </i>
    <i r="2">
      <x v="14"/>
    </i>
    <i>
      <x v="50"/>
    </i>
    <i r="1">
      <x v="143"/>
    </i>
    <i r="2">
      <x v="45"/>
    </i>
    <i>
      <x v="51"/>
    </i>
    <i r="1">
      <x v="45"/>
    </i>
    <i r="2">
      <x v="132"/>
    </i>
    <i>
      <x v="52"/>
    </i>
    <i r="1">
      <x v="124"/>
    </i>
    <i r="2">
      <x v="109"/>
    </i>
    <i>
      <x v="53"/>
    </i>
    <i r="1">
      <x v="27"/>
    </i>
    <i r="2">
      <x v="142"/>
    </i>
    <i>
      <x v="54"/>
    </i>
    <i r="1">
      <x v="51"/>
    </i>
    <i r="2">
      <x v="165"/>
    </i>
    <i>
      <x v="55"/>
    </i>
    <i r="1">
      <x v="40"/>
    </i>
    <i r="2">
      <x v="78"/>
    </i>
    <i>
      <x v="56"/>
    </i>
    <i r="1">
      <x v="13"/>
    </i>
    <i r="2">
      <x v="28"/>
    </i>
    <i>
      <x v="57"/>
    </i>
    <i r="1">
      <x v="124"/>
    </i>
    <i r="2">
      <x v="24"/>
    </i>
    <i>
      <x v="58"/>
    </i>
    <i r="1">
      <x v="9"/>
    </i>
    <i r="2">
      <x v="52"/>
    </i>
    <i>
      <x v="59"/>
    </i>
    <i r="1">
      <x v="11"/>
    </i>
    <i r="2">
      <x v="142"/>
    </i>
    <i>
      <x v="60"/>
    </i>
    <i r="1">
      <x v="111"/>
    </i>
    <i r="2">
      <x v="46"/>
    </i>
    <i>
      <x v="61"/>
    </i>
    <i r="1">
      <x v="143"/>
    </i>
    <i r="2">
      <x v="87"/>
    </i>
    <i>
      <x v="62"/>
    </i>
    <i r="1">
      <x v="167"/>
    </i>
    <i r="2">
      <x v="68"/>
    </i>
    <i>
      <x v="63"/>
    </i>
    <i r="1">
      <x v="78"/>
    </i>
    <i r="2">
      <x v="171"/>
    </i>
    <i>
      <x v="64"/>
    </i>
    <i r="1">
      <x v="66"/>
    </i>
    <i r="2">
      <x v="132"/>
    </i>
    <i>
      <x v="65"/>
    </i>
    <i r="1">
      <x v="40"/>
    </i>
    <i r="2">
      <x v="45"/>
    </i>
    <i>
      <x v="66"/>
    </i>
    <i r="1">
      <x v="27"/>
    </i>
    <i r="2">
      <x v="24"/>
    </i>
    <i>
      <x v="67"/>
    </i>
    <i r="1">
      <x v="68"/>
    </i>
    <i r="2">
      <x v="11"/>
    </i>
    <i>
      <x v="68"/>
    </i>
    <i r="1">
      <x v="144"/>
    </i>
    <i r="2">
      <x v="122"/>
    </i>
    <i>
      <x v="69"/>
    </i>
    <i r="1">
      <x v="9"/>
    </i>
    <i r="2">
      <x v="46"/>
    </i>
    <i>
      <x v="70"/>
    </i>
    <i r="1">
      <x v="51"/>
    </i>
    <i r="2">
      <x v="141"/>
    </i>
    <i>
      <x v="71"/>
    </i>
    <i r="1">
      <x v="134"/>
    </i>
    <i r="2">
      <x v="14"/>
    </i>
    <i>
      <x v="72"/>
    </i>
    <i r="1">
      <x v="167"/>
    </i>
    <i r="2">
      <x v="78"/>
    </i>
    <i>
      <x v="73"/>
    </i>
    <i r="1">
      <x v="89"/>
    </i>
    <i r="2">
      <x v="41"/>
    </i>
    <i>
      <x v="74"/>
    </i>
    <i r="1">
      <x v="173"/>
    </i>
    <i r="2">
      <x v="109"/>
    </i>
    <i>
      <x v="75"/>
    </i>
    <i r="1">
      <x v="44"/>
    </i>
    <i r="2">
      <x v="66"/>
    </i>
    <i>
      <x v="76"/>
    </i>
    <i r="1">
      <x v="9"/>
    </i>
    <i r="2">
      <x v="24"/>
    </i>
    <i>
      <x v="77"/>
    </i>
    <i r="1">
      <x v="23"/>
    </i>
    <i r="2">
      <x v="109"/>
    </i>
    <i>
      <x v="78"/>
    </i>
    <i r="1">
      <x v="89"/>
    </i>
    <i r="2">
      <x v="142"/>
    </i>
    <i>
      <x v="79"/>
    </i>
    <i r="1">
      <x v="13"/>
    </i>
    <i r="2">
      <x v="9"/>
    </i>
    <i>
      <x v="80"/>
    </i>
    <i r="1">
      <x v="51"/>
    </i>
    <i r="2">
      <x v="171"/>
    </i>
    <i>
      <x v="81"/>
    </i>
    <i r="1">
      <x v="45"/>
    </i>
    <i r="2">
      <x v="165"/>
    </i>
    <i>
      <x v="82"/>
    </i>
    <i r="1">
      <x v="68"/>
    </i>
    <i r="2">
      <x v="45"/>
    </i>
    <i>
      <x v="83"/>
    </i>
    <i r="1">
      <x v="40"/>
    </i>
    <i r="2">
      <x v="11"/>
    </i>
    <i>
      <x v="84"/>
    </i>
    <i r="1">
      <x v="143"/>
    </i>
    <i r="2">
      <x v="132"/>
    </i>
    <i>
      <x v="85"/>
    </i>
    <i r="1">
      <x v="27"/>
    </i>
    <i r="2">
      <x v="66"/>
    </i>
    <i>
      <x v="86"/>
    </i>
    <i r="1">
      <x v="124"/>
    </i>
    <i r="2">
      <x v="78"/>
    </i>
    <i>
      <x v="87"/>
    </i>
    <i r="1">
      <x v="144"/>
    </i>
    <i r="2">
      <x v="52"/>
    </i>
    <i>
      <x v="88"/>
    </i>
    <i r="1">
      <x v="45"/>
    </i>
    <i r="2">
      <x v="68"/>
    </i>
    <i>
      <x v="89"/>
    </i>
    <i r="1">
      <x v="167"/>
    </i>
    <i r="2">
      <x v="24"/>
    </i>
    <i>
      <x v="90"/>
    </i>
    <i r="1">
      <x v="40"/>
    </i>
    <i r="2">
      <x v="171"/>
    </i>
    <i>
      <x v="91"/>
    </i>
    <i r="1">
      <x v="11"/>
    </i>
    <i r="2">
      <x v="9"/>
    </i>
    <i>
      <x v="92"/>
    </i>
    <i r="1">
      <x v="66"/>
    </i>
    <i r="2">
      <x v="141"/>
    </i>
    <i>
      <x v="93"/>
    </i>
    <i r="1">
      <x v="13"/>
    </i>
    <i r="2">
      <x v="122"/>
    </i>
    <i>
      <x v="94"/>
    </i>
    <i r="1">
      <x v="44"/>
    </i>
    <i r="2">
      <x v="87"/>
    </i>
    <i>
      <x v="95"/>
    </i>
    <i r="1">
      <x v="111"/>
    </i>
    <i r="2">
      <x v="28"/>
    </i>
    <i>
      <x v="96"/>
    </i>
    <i r="1">
      <x v="78"/>
    </i>
    <i r="2">
      <x v="132"/>
    </i>
    <i>
      <x v="97"/>
    </i>
    <i r="1">
      <x v="134"/>
    </i>
    <i r="2">
      <x v="165"/>
    </i>
    <i>
      <x v="98"/>
    </i>
    <i r="1">
      <x v="173"/>
    </i>
    <i r="2">
      <x v="142"/>
    </i>
    <i>
      <x v="99"/>
    </i>
    <i r="1">
      <x v="111"/>
    </i>
    <i r="2">
      <x v="14"/>
    </i>
    <i>
      <x v="100"/>
    </i>
    <i r="1">
      <x v="143"/>
    </i>
    <i r="2">
      <x v="11"/>
    </i>
    <i>
      <x v="101"/>
    </i>
    <i r="1">
      <x v="89"/>
    </i>
    <i r="2">
      <x v="78"/>
    </i>
    <i>
      <x v="102"/>
    </i>
    <i r="1">
      <x v="9"/>
    </i>
    <i r="2">
      <x v="41"/>
    </i>
    <i>
      <x v="103"/>
    </i>
    <i r="1">
      <x v="23"/>
    </i>
    <i r="2">
      <x v="46"/>
    </i>
    <i>
      <x v="104"/>
    </i>
    <i r="1">
      <x v="68"/>
    </i>
    <i r="2">
      <x v="66"/>
    </i>
    <i>
      <x v="105"/>
    </i>
    <i r="1">
      <x v="44"/>
    </i>
    <i r="2">
      <x v="122"/>
    </i>
    <i>
      <x v="106"/>
    </i>
    <i r="1">
      <x v="51"/>
    </i>
    <i r="2">
      <x v="28"/>
    </i>
    <i>
      <x v="107"/>
    </i>
    <i r="1">
      <x v="40"/>
    </i>
    <i r="2">
      <x v="24"/>
    </i>
    <i>
      <x v="108"/>
    </i>
    <i r="1">
      <x v="167"/>
    </i>
    <i r="2">
      <x v="142"/>
    </i>
    <i>
      <x v="109"/>
    </i>
    <i r="1">
      <x v="173"/>
    </i>
    <i r="2">
      <x v="45"/>
    </i>
    <i>
      <x v="110"/>
    </i>
    <i r="1">
      <x v="51"/>
    </i>
    <i r="2">
      <x v="78"/>
    </i>
    <i>
      <x v="111"/>
    </i>
    <i r="1">
      <x v="89"/>
    </i>
    <i r="2">
      <x v="109"/>
    </i>
    <i>
      <x v="112"/>
    </i>
    <i r="1">
      <x v="45"/>
    </i>
    <i r="2">
      <x v="11"/>
    </i>
    <i>
      <x v="113"/>
    </i>
    <i r="1">
      <x v="143"/>
    </i>
    <i r="2">
      <x v="68"/>
    </i>
    <i>
      <x v="114"/>
    </i>
    <i r="1">
      <x v="27"/>
    </i>
    <i r="2">
      <x v="132"/>
    </i>
    <i>
      <x v="115"/>
    </i>
    <i r="1">
      <x v="124"/>
    </i>
    <i r="2">
      <x v="9"/>
    </i>
    <i>
      <x v="116"/>
    </i>
    <i r="1">
      <x v="66"/>
    </i>
    <i r="2">
      <x v="14"/>
    </i>
    <i>
      <x v="419"/>
    </i>
    <i r="1">
      <x v="180"/>
    </i>
    <i r="2"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FTHG" fld="3" baseField="0" baseItem="0"/>
    <dataField name="Soma de FTAG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D2EC8-F5F2-4582-BC77-F8B32536B37A}" name="Tabela dinâmica1" cacheId="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rowHeaderCaption="ODDS CASA">
  <location ref="A3:E19" firstHeaderRow="0" firstDataRow="1" firstDataCol="1"/>
  <pivotFields count="29">
    <pivotField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PLBACKC" fld="17" baseField="0" baseItem="0"/>
    <dataField name="Soma de PLEMP" fld="19" baseField="0" baseItem="0"/>
    <dataField name="Soma de PLBACKV" fld="18" baseField="0" baseItem="0"/>
    <dataField name="Contagem" fld="18" subtotal="count" baseField="6" baseItem="0"/>
  </dataFields>
  <formats count="2">
    <format dxfId="20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4">
    <conditionalFormat priority="4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6" count="15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6"/>
              <x v="18"/>
              <x v="2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15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3"/>
              <x v="14"/>
              <x v="15"/>
              <x v="2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6" count="15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3"/>
              <x v="14"/>
              <x v="15"/>
              <x v="2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15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3"/>
              <x v="14"/>
              <x v="15"/>
              <x v="2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A22E3ED0-FA69-431F-A7DF-999AEB4D953D}" autoFormatId="16" applyNumberFormats="0" applyBorderFormats="0" applyFontFormats="0" applyPatternFormats="0" applyAlignmentFormats="0" applyWidthHeightFormats="0">
  <queryTableRefresh nextId="26">
    <queryTableFields count="9">
      <queryTableField id="4" name="Date" tableColumnId="4"/>
      <queryTableField id="6" name="Home" tableColumnId="6"/>
      <queryTableField id="7" name="Away" tableColumnId="7"/>
      <queryTableField id="8" name="HG" tableColumnId="8"/>
      <queryTableField id="9" name="AG" tableColumnId="9"/>
      <queryTableField id="10" name="Res" tableColumnId="10"/>
      <queryTableField id="23" name="B365CH" tableColumnId="1"/>
      <queryTableField id="24" name="B365CD" tableColumnId="2"/>
      <queryTableField id="25" name="B365CA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omeTeam" xr10:uid="{7F16B34D-62B0-4489-8FF6-B75AC562B686}" sourceName="HomeTeam">
  <pivotTables>
    <pivotTable tabId="57" name="Tabela dinâmica1"/>
  </pivotTables>
  <data>
    <tabular pivotCacheId="115336688">
      <items count="181">
        <i x="19" s="1"/>
        <i x="0" s="1"/>
        <i x="16" s="1"/>
        <i x="9" s="1"/>
        <i x="10" s="1"/>
        <i x="5" s="1"/>
        <i x="6" s="1"/>
        <i x="1" s="1"/>
        <i x="18" s="1"/>
        <i x="11" s="1"/>
        <i x="4" s="1"/>
        <i x="14" s="1"/>
        <i x="2" s="1"/>
        <i x="8" s="1"/>
        <i x="15" s="1"/>
        <i x="12" s="1"/>
        <i x="13" s="1"/>
        <i x="7" s="1"/>
        <i x="17" s="1"/>
        <i x="3" s="1"/>
        <i x="20" s="1"/>
        <i x="163" s="1" nd="1"/>
        <i x="97" s="1" nd="1"/>
        <i x="170" s="1" nd="1"/>
        <i x="39" s="1" nd="1"/>
        <i x="61" s="1" nd="1"/>
        <i x="25" s="1" nd="1"/>
        <i x="164" s="1" nd="1"/>
        <i x="29" s="1" nd="1"/>
        <i x="120" s="1" nd="1"/>
        <i x="124" s="1" nd="1"/>
        <i x="82" s="1" nd="1"/>
        <i x="147" s="1" nd="1"/>
        <i x="89" s="1" nd="1"/>
        <i x="107" s="1" nd="1"/>
        <i x="103" s="1" nd="1"/>
        <i x="70" s="1" nd="1"/>
        <i x="53" s="1" nd="1"/>
        <i x="171" s="1" nd="1"/>
        <i x="83" s="1" nd="1"/>
        <i x="98" s="1" nd="1"/>
        <i x="130" s="1" nd="1"/>
        <i x="161" s="1" nd="1"/>
        <i x="132" s="1" nd="1"/>
        <i x="149" s="1" nd="1"/>
        <i x="115" s="1" nd="1"/>
        <i x="84" s="1" nd="1"/>
        <i x="105" s="1" nd="1"/>
        <i x="118" s="1" nd="1"/>
        <i x="56" s="1" nd="1"/>
        <i x="155" s="1" nd="1"/>
        <i x="33" s="1" nd="1"/>
        <i x="156" s="1" nd="1"/>
        <i x="37" s="1" nd="1"/>
        <i x="23" s="1" nd="1"/>
        <i x="68" s="1" nd="1"/>
        <i x="58" s="1" nd="1"/>
        <i x="47" s="1" nd="1"/>
        <i x="140" s="1" nd="1"/>
        <i x="157" s="1" nd="1"/>
        <i x="148" s="1" nd="1"/>
        <i x="179" s="1" nd="1"/>
        <i x="139" s="1" nd="1"/>
        <i x="173" s="1" nd="1"/>
        <i x="90" s="1" nd="1"/>
        <i x="150" s="1" nd="1"/>
        <i x="26" s="1" nd="1"/>
        <i x="87" s="1" nd="1"/>
        <i x="45" s="1" nd="1"/>
        <i x="135" s="1" nd="1"/>
        <i x="136" s="1" nd="1"/>
        <i x="71" s="1" nd="1"/>
        <i x="108" s="1" nd="1"/>
        <i x="109" s="1" nd="1"/>
        <i x="55" s="1" nd="1"/>
        <i x="165" s="1" nd="1"/>
        <i x="57" s="1" nd="1"/>
        <i x="114" s="1" nd="1"/>
        <i x="116" s="1" nd="1"/>
        <i x="159" s="1" nd="1"/>
        <i x="21" s="1" nd="1"/>
        <i x="172" s="1" nd="1"/>
        <i x="86" s="1" nd="1"/>
        <i x="142" s="1" nd="1"/>
        <i x="152" s="1" nd="1"/>
        <i x="27" s="1" nd="1"/>
        <i x="129" s="1" nd="1"/>
        <i x="101" s="1" nd="1"/>
        <i x="153" s="1" nd="1"/>
        <i x="133" s="1" nd="1"/>
        <i x="41" s="1" nd="1"/>
        <i x="51" s="1" nd="1"/>
        <i x="31" s="1" nd="1"/>
        <i x="50" s="1" nd="1"/>
        <i x="125" s="1" nd="1"/>
        <i x="111" s="1" nd="1"/>
        <i x="75" s="1" nd="1"/>
        <i x="54" s="1" nd="1"/>
        <i x="60" s="1" nd="1"/>
        <i x="176" s="1" nd="1"/>
        <i x="104" s="1" nd="1"/>
        <i x="35" s="1" nd="1"/>
        <i x="180" s="1" nd="1"/>
        <i x="145" s="1" nd="1"/>
        <i x="22" s="1" nd="1"/>
        <i x="48" s="1" nd="1"/>
        <i x="121" s="1" nd="1"/>
        <i x="127" s="1" nd="1"/>
        <i x="92" s="1" nd="1"/>
        <i x="78" s="1" nd="1"/>
        <i x="74" s="1" nd="1"/>
        <i x="49" s="1" nd="1"/>
        <i x="146" s="1" nd="1"/>
        <i x="62" s="1" nd="1"/>
        <i x="67" s="1" nd="1"/>
        <i x="91" s="1" nd="1"/>
        <i x="64" s="1" nd="1"/>
        <i x="174" s="1" nd="1"/>
        <i x="34" s="1" nd="1"/>
        <i x="76" s="1" nd="1"/>
        <i x="131" s="1" nd="1"/>
        <i x="144" s="1" nd="1"/>
        <i x="117" s="1" nd="1"/>
        <i x="162" s="1" nd="1"/>
        <i x="44" s="1" nd="1"/>
        <i x="166" s="1" nd="1"/>
        <i x="177" s="1" nd="1"/>
        <i x="94" s="1" nd="1"/>
        <i x="30" s="1" nd="1"/>
        <i x="160" s="1" nd="1"/>
        <i x="85" s="1" nd="1"/>
        <i x="95" s="1" nd="1"/>
        <i x="137" s="1" nd="1"/>
        <i x="100" s="1" nd="1"/>
        <i x="28" s="1" nd="1"/>
        <i x="88" s="1" nd="1"/>
        <i x="65" s="1" nd="1"/>
        <i x="143" s="1" nd="1"/>
        <i x="167" s="1" nd="1"/>
        <i x="158" s="1" nd="1"/>
        <i x="73" s="1" nd="1"/>
        <i x="138" s="1" nd="1"/>
        <i x="151" s="1" nd="1"/>
        <i x="169" s="1" nd="1"/>
        <i x="46" s="1" nd="1"/>
        <i x="79" s="1" nd="1"/>
        <i x="134" s="1" nd="1"/>
        <i x="113" s="1" nd="1"/>
        <i x="128" s="1" nd="1"/>
        <i x="69" s="1" nd="1"/>
        <i x="123" s="1" nd="1"/>
        <i x="40" s="1" nd="1"/>
        <i x="52" s="1" nd="1"/>
        <i x="32" s="1" nd="1"/>
        <i x="77" s="1" nd="1"/>
        <i x="178" s="1" nd="1"/>
        <i x="24" s="1" nd="1"/>
        <i x="110" s="1" nd="1"/>
        <i x="80" s="1" nd="1"/>
        <i x="63" s="1" nd="1"/>
        <i x="72" s="1" nd="1"/>
        <i x="59" s="1" nd="1"/>
        <i x="38" s="1" nd="1"/>
        <i x="93" s="1" nd="1"/>
        <i x="99" s="1" nd="1"/>
        <i x="66" s="1" nd="1"/>
        <i x="122" s="1" nd="1"/>
        <i x="112" s="1" nd="1"/>
        <i x="154" s="1" nd="1"/>
        <i x="102" s="1" nd="1"/>
        <i x="168" s="1" nd="1"/>
        <i x="175" s="1" nd="1"/>
        <i x="96" s="1" nd="1"/>
        <i x="81" s="1" nd="1"/>
        <i x="106" s="1" nd="1"/>
        <i x="119" s="1" nd="1"/>
        <i x="141" s="1" nd="1"/>
        <i x="126" s="1" nd="1"/>
        <i x="42" s="1" nd="1"/>
        <i x="43" s="1" nd="1"/>
        <i x="3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VC" xr10:uid="{10CC8F5F-5028-42BC-ABC9-EB9BC1320A98}" sourceName="FAVC">
  <pivotTables>
    <pivotTable tabId="57" name="Tabela dinâmica1"/>
  </pivotTables>
  <data>
    <tabular pivotCacheId="115336688" showMissing="0" crossFilter="showItemsWithNoData">
      <items count="29">
        <i x="9" s="1"/>
        <i x="8" s="1"/>
        <i x="5" s="1"/>
        <i x="2" s="1"/>
        <i x="1" s="1"/>
        <i x="3" s="1"/>
        <i x="0" s="1"/>
        <i x="4" s="1"/>
        <i x="7" s="1"/>
        <i x="6" s="1"/>
        <i x="10" s="1"/>
        <i x="22" s="1" nd="1"/>
        <i x="20" s="1" nd="1"/>
        <i x="15" s="1" nd="1"/>
        <i x="27" s="1" nd="1"/>
        <i x="28" s="1" nd="1"/>
        <i x="24" s="1" nd="1"/>
        <i x="25" s="1" nd="1"/>
        <i x="21" s="1" nd="1"/>
        <i x="18" s="1" nd="1"/>
        <i x="13" s="1" nd="1"/>
        <i x="17" s="1" nd="1"/>
        <i x="26" s="1" nd="1"/>
        <i x="19" s="1" nd="1"/>
        <i x="23" s="1" nd="1"/>
        <i x="12" s="1" nd="1"/>
        <i x="14" s="1" nd="1"/>
        <i x="11" s="1" nd="1"/>
        <i x="16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wayTeam" xr10:uid="{99D8592D-4300-4888-81DA-C30BF090CB1F}" sourceName="AwayTeam">
  <pivotTables>
    <pivotTable tabId="57" name="Tabela dinâmica2"/>
  </pivotTables>
  <data>
    <tabular pivotCacheId="115336688">
      <items count="179">
        <i x="2" s="1"/>
        <i x="10" s="1"/>
        <i x="6" s="1"/>
        <i x="14" s="1"/>
        <i x="1" s="1"/>
        <i x="17" s="1"/>
        <i x="19" s="1"/>
        <i x="18" s="1"/>
        <i x="9" s="1"/>
        <i x="7" s="1"/>
        <i x="16" s="1"/>
        <i x="4" s="1"/>
        <i x="11" s="1"/>
        <i x="12" s="1"/>
        <i x="0" s="1"/>
        <i x="3" s="1"/>
        <i x="5" s="1"/>
        <i x="13" s="1"/>
        <i x="8" s="1"/>
        <i x="15" s="1"/>
        <i x="20" s="1"/>
        <i x="161" s="1" nd="1"/>
        <i x="96" s="1" nd="1"/>
        <i x="168" s="1" nd="1"/>
        <i x="39" s="1" nd="1"/>
        <i x="61" s="1" nd="1"/>
        <i x="27" s="1" nd="1"/>
        <i x="162" s="1" nd="1"/>
        <i x="29" s="1" nd="1"/>
        <i x="120" s="1" nd="1"/>
        <i x="124" s="1" nd="1"/>
        <i x="82" s="1" nd="1"/>
        <i x="119" s="1" nd="1"/>
        <i x="145" s="1" nd="1"/>
        <i x="89" s="1" nd="1"/>
        <i x="106" s="1" nd="1"/>
        <i x="102" s="1" nd="1"/>
        <i x="70" s="1" nd="1"/>
        <i x="53" s="1" nd="1"/>
        <i x="169" s="1" nd="1"/>
        <i x="83" s="1" nd="1"/>
        <i x="97" s="1" nd="1"/>
        <i x="129" s="1" nd="1"/>
        <i x="159" s="1" nd="1"/>
        <i x="131" s="1" nd="1"/>
        <i x="147" s="1" nd="1"/>
        <i x="114" s="1" nd="1"/>
        <i x="84" s="1" nd="1"/>
        <i x="104" s="1" nd="1"/>
        <i x="117" s="1" nd="1"/>
        <i x="56" s="1" nd="1"/>
        <i x="153" s="1" nd="1"/>
        <i x="33" s="1" nd="1"/>
        <i x="154" s="1" nd="1"/>
        <i x="37" s="1" nd="1"/>
        <i x="22" s="1" nd="1"/>
        <i x="68" s="1" nd="1"/>
        <i x="58" s="1" nd="1"/>
        <i x="47" s="1" nd="1"/>
        <i x="138" s="1" nd="1"/>
        <i x="155" s="1" nd="1"/>
        <i x="146" s="1" nd="1"/>
        <i x="177" s="1" nd="1"/>
        <i x="137" s="1" nd="1"/>
        <i x="171" s="1" nd="1"/>
        <i x="148" s="1" nd="1"/>
        <i x="26" s="1" nd="1"/>
        <i x="87" s="1" nd="1"/>
        <i x="45" s="1" nd="1"/>
        <i x="133" s="1" nd="1"/>
        <i x="134" s="1" nd="1"/>
        <i x="71" s="1" nd="1"/>
        <i x="107" s="1" nd="1"/>
        <i x="108" s="1" nd="1"/>
        <i x="55" s="1" nd="1"/>
        <i x="163" s="1" nd="1"/>
        <i x="57" s="1" nd="1"/>
        <i x="113" s="1" nd="1"/>
        <i x="115" s="1" nd="1"/>
        <i x="157" s="1" nd="1"/>
        <i x="24" s="1" nd="1"/>
        <i x="170" s="1" nd="1"/>
        <i x="86" s="1" nd="1"/>
        <i x="140" s="1" nd="1"/>
        <i x="150" s="1" nd="1"/>
        <i x="25" s="1" nd="1"/>
        <i x="128" s="1" nd="1"/>
        <i x="100" s="1" nd="1"/>
        <i x="151" s="1" nd="1"/>
        <i x="41" s="1" nd="1"/>
        <i x="51" s="1" nd="1"/>
        <i x="31" s="1" nd="1"/>
        <i x="50" s="1" nd="1"/>
        <i x="110" s="1" nd="1"/>
        <i x="75" s="1" nd="1"/>
        <i x="54" s="1" nd="1"/>
        <i x="60" s="1" nd="1"/>
        <i x="174" s="1" nd="1"/>
        <i x="103" s="1" nd="1"/>
        <i x="35" s="1" nd="1"/>
        <i x="178" s="1" nd="1"/>
        <i x="143" s="1" nd="1"/>
        <i x="23" s="1" nd="1"/>
        <i x="48" s="1" nd="1"/>
        <i x="121" s="1" nd="1"/>
        <i x="126" s="1" nd="1"/>
        <i x="91" s="1" nd="1"/>
        <i x="78" s="1" nd="1"/>
        <i x="74" s="1" nd="1"/>
        <i x="49" s="1" nd="1"/>
        <i x="144" s="1" nd="1"/>
        <i x="62" s="1" nd="1"/>
        <i x="67" s="1" nd="1"/>
        <i x="90" s="1" nd="1"/>
        <i x="64" s="1" nd="1"/>
        <i x="172" s="1" nd="1"/>
        <i x="34" s="1" nd="1"/>
        <i x="76" s="1" nd="1"/>
        <i x="130" s="1" nd="1"/>
        <i x="142" s="1" nd="1"/>
        <i x="116" s="1" nd="1"/>
        <i x="160" s="1" nd="1"/>
        <i x="44" s="1" nd="1"/>
        <i x="164" s="1" nd="1"/>
        <i x="175" s="1" nd="1"/>
        <i x="93" s="1" nd="1"/>
        <i x="30" s="1" nd="1"/>
        <i x="158" s="1" nd="1"/>
        <i x="85" s="1" nd="1"/>
        <i x="94" s="1" nd="1"/>
        <i x="135" s="1" nd="1"/>
        <i x="99" s="1" nd="1"/>
        <i x="28" s="1" nd="1"/>
        <i x="88" s="1" nd="1"/>
        <i x="65" s="1" nd="1"/>
        <i x="141" s="1" nd="1"/>
        <i x="165" s="1" nd="1"/>
        <i x="156" s="1" nd="1"/>
        <i x="73" s="1" nd="1"/>
        <i x="136" s="1" nd="1"/>
        <i x="149" s="1" nd="1"/>
        <i x="167" s="1" nd="1"/>
        <i x="46" s="1" nd="1"/>
        <i x="79" s="1" nd="1"/>
        <i x="132" s="1" nd="1"/>
        <i x="112" s="1" nd="1"/>
        <i x="127" s="1" nd="1"/>
        <i x="69" s="1" nd="1"/>
        <i x="123" s="1" nd="1"/>
        <i x="40" s="1" nd="1"/>
        <i x="52" s="1" nd="1"/>
        <i x="32" s="1" nd="1"/>
        <i x="77" s="1" nd="1"/>
        <i x="176" s="1" nd="1"/>
        <i x="21" s="1" nd="1"/>
        <i x="109" s="1" nd="1"/>
        <i x="80" s="1" nd="1"/>
        <i x="63" s="1" nd="1"/>
        <i x="72" s="1" nd="1"/>
        <i x="59" s="1" nd="1"/>
        <i x="38" s="1" nd="1"/>
        <i x="92" s="1" nd="1"/>
        <i x="98" s="1" nd="1"/>
        <i x="66" s="1" nd="1"/>
        <i x="122" s="1" nd="1"/>
        <i x="111" s="1" nd="1"/>
        <i x="152" s="1" nd="1"/>
        <i x="101" s="1" nd="1"/>
        <i x="166" s="1" nd="1"/>
        <i x="173" s="1" nd="1"/>
        <i x="95" s="1" nd="1"/>
        <i x="81" s="1" nd="1"/>
        <i x="105" s="1" nd="1"/>
        <i x="118" s="1" nd="1"/>
        <i x="139" s="1" nd="1"/>
        <i x="125" s="1" nd="1"/>
        <i x="42" s="1" nd="1"/>
        <i x="43" s="1" nd="1"/>
        <i x="3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VV" xr10:uid="{DB121770-04B3-48C1-882B-4B0DCB626D72}" sourceName="FAVV">
  <pivotTables>
    <pivotTable tabId="57" name="Tabela dinâmica2"/>
  </pivotTables>
  <data>
    <tabular pivotCacheId="115336688" showMissing="0" crossFilter="showItemsWithNoData">
      <items count="29">
        <i x="9" s="1"/>
        <i x="6" s="1"/>
        <i x="7" s="1"/>
        <i x="4" s="1"/>
        <i x="0" s="1"/>
        <i x="1" s="1"/>
        <i x="2" s="1"/>
        <i x="3" s="1"/>
        <i x="5" s="1"/>
        <i x="8" s="1"/>
        <i x="10" s="1"/>
        <i x="16" s="1" nd="1"/>
        <i x="28" s="1" nd="1"/>
        <i x="20" s="1" nd="1"/>
        <i x="23" s="1" nd="1"/>
        <i x="18" s="1" nd="1"/>
        <i x="27" s="1" nd="1"/>
        <i x="24" s="1" nd="1"/>
        <i x="25" s="1" nd="1"/>
        <i x="19" s="1" nd="1"/>
        <i x="15" s="1" nd="1"/>
        <i x="12" s="1" nd="1"/>
        <i x="14" s="1" nd="1"/>
        <i x="26" s="1" nd="1"/>
        <i x="17" s="1" nd="1"/>
        <i x="21" s="1" nd="1"/>
        <i x="11" s="1" nd="1"/>
        <i x="13" s="1" nd="1"/>
        <i x="2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omeTeam1" xr10:uid="{1E40735F-37DF-430D-A2EE-BE1BEFAEAE87}" sourceName="HomeTeam">
  <pivotTables>
    <pivotTable tabId="58" name="Tabela dinâmica3"/>
  </pivotTables>
  <data>
    <tabular pivotCacheId="238392223">
      <items count="181">
        <i x="19" s="1"/>
        <i x="0" s="1"/>
        <i x="16" s="1"/>
        <i x="9" s="1"/>
        <i x="10" s="1"/>
        <i x="5" s="1"/>
        <i x="6" s="1"/>
        <i x="1" s="1"/>
        <i x="18" s="1"/>
        <i x="11" s="1"/>
        <i x="4" s="1"/>
        <i x="14" s="1"/>
        <i x="2" s="1"/>
        <i x="8" s="1"/>
        <i x="15" s="1"/>
        <i x="12" s="1"/>
        <i x="13" s="1"/>
        <i x="7" s="1"/>
        <i x="17" s="1"/>
        <i x="3" s="1"/>
        <i x="20" s="1"/>
        <i x="163" s="1" nd="1"/>
        <i x="97" s="1" nd="1"/>
        <i x="170" s="1" nd="1"/>
        <i x="39" s="1" nd="1"/>
        <i x="61" s="1" nd="1"/>
        <i x="25" s="1" nd="1"/>
        <i x="164" s="1" nd="1"/>
        <i x="29" s="1" nd="1"/>
        <i x="120" s="1" nd="1"/>
        <i x="124" s="1" nd="1"/>
        <i x="82" s="1" nd="1"/>
        <i x="147" s="1" nd="1"/>
        <i x="89" s="1" nd="1"/>
        <i x="107" s="1" nd="1"/>
        <i x="103" s="1" nd="1"/>
        <i x="70" s="1" nd="1"/>
        <i x="53" s="1" nd="1"/>
        <i x="171" s="1" nd="1"/>
        <i x="83" s="1" nd="1"/>
        <i x="98" s="1" nd="1"/>
        <i x="130" s="1" nd="1"/>
        <i x="161" s="1" nd="1"/>
        <i x="132" s="1" nd="1"/>
        <i x="149" s="1" nd="1"/>
        <i x="115" s="1" nd="1"/>
        <i x="84" s="1" nd="1"/>
        <i x="105" s="1" nd="1"/>
        <i x="118" s="1" nd="1"/>
        <i x="56" s="1" nd="1"/>
        <i x="155" s="1" nd="1"/>
        <i x="33" s="1" nd="1"/>
        <i x="156" s="1" nd="1"/>
        <i x="37" s="1" nd="1"/>
        <i x="23" s="1" nd="1"/>
        <i x="68" s="1" nd="1"/>
        <i x="58" s="1" nd="1"/>
        <i x="47" s="1" nd="1"/>
        <i x="140" s="1" nd="1"/>
        <i x="157" s="1" nd="1"/>
        <i x="148" s="1" nd="1"/>
        <i x="179" s="1" nd="1"/>
        <i x="139" s="1" nd="1"/>
        <i x="173" s="1" nd="1"/>
        <i x="90" s="1" nd="1"/>
        <i x="150" s="1" nd="1"/>
        <i x="26" s="1" nd="1"/>
        <i x="87" s="1" nd="1"/>
        <i x="45" s="1" nd="1"/>
        <i x="135" s="1" nd="1"/>
        <i x="136" s="1" nd="1"/>
        <i x="71" s="1" nd="1"/>
        <i x="108" s="1" nd="1"/>
        <i x="109" s="1" nd="1"/>
        <i x="55" s="1" nd="1"/>
        <i x="165" s="1" nd="1"/>
        <i x="57" s="1" nd="1"/>
        <i x="114" s="1" nd="1"/>
        <i x="116" s="1" nd="1"/>
        <i x="159" s="1" nd="1"/>
        <i x="21" s="1" nd="1"/>
        <i x="172" s="1" nd="1"/>
        <i x="86" s="1" nd="1"/>
        <i x="142" s="1" nd="1"/>
        <i x="152" s="1" nd="1"/>
        <i x="27" s="1" nd="1"/>
        <i x="129" s="1" nd="1"/>
        <i x="101" s="1" nd="1"/>
        <i x="153" s="1" nd="1"/>
        <i x="133" s="1" nd="1"/>
        <i x="41" s="1" nd="1"/>
        <i x="51" s="1" nd="1"/>
        <i x="31" s="1" nd="1"/>
        <i x="50" s="1" nd="1"/>
        <i x="125" s="1" nd="1"/>
        <i x="111" s="1" nd="1"/>
        <i x="75" s="1" nd="1"/>
        <i x="54" s="1" nd="1"/>
        <i x="60" s="1" nd="1"/>
        <i x="176" s="1" nd="1"/>
        <i x="104" s="1" nd="1"/>
        <i x="35" s="1" nd="1"/>
        <i x="180" s="1" nd="1"/>
        <i x="145" s="1" nd="1"/>
        <i x="22" s="1" nd="1"/>
        <i x="48" s="1" nd="1"/>
        <i x="121" s="1" nd="1"/>
        <i x="127" s="1" nd="1"/>
        <i x="92" s="1" nd="1"/>
        <i x="78" s="1" nd="1"/>
        <i x="74" s="1" nd="1"/>
        <i x="49" s="1" nd="1"/>
        <i x="146" s="1" nd="1"/>
        <i x="62" s="1" nd="1"/>
        <i x="67" s="1" nd="1"/>
        <i x="91" s="1" nd="1"/>
        <i x="64" s="1" nd="1"/>
        <i x="174" s="1" nd="1"/>
        <i x="34" s="1" nd="1"/>
        <i x="76" s="1" nd="1"/>
        <i x="131" s="1" nd="1"/>
        <i x="144" s="1" nd="1"/>
        <i x="117" s="1" nd="1"/>
        <i x="162" s="1" nd="1"/>
        <i x="44" s="1" nd="1"/>
        <i x="166" s="1" nd="1"/>
        <i x="177" s="1" nd="1"/>
        <i x="94" s="1" nd="1"/>
        <i x="30" s="1" nd="1"/>
        <i x="160" s="1" nd="1"/>
        <i x="85" s="1" nd="1"/>
        <i x="95" s="1" nd="1"/>
        <i x="137" s="1" nd="1"/>
        <i x="100" s="1" nd="1"/>
        <i x="28" s="1" nd="1"/>
        <i x="88" s="1" nd="1"/>
        <i x="65" s="1" nd="1"/>
        <i x="143" s="1" nd="1"/>
        <i x="167" s="1" nd="1"/>
        <i x="158" s="1" nd="1"/>
        <i x="73" s="1" nd="1"/>
        <i x="138" s="1" nd="1"/>
        <i x="151" s="1" nd="1"/>
        <i x="169" s="1" nd="1"/>
        <i x="46" s="1" nd="1"/>
        <i x="79" s="1" nd="1"/>
        <i x="134" s="1" nd="1"/>
        <i x="113" s="1" nd="1"/>
        <i x="128" s="1" nd="1"/>
        <i x="69" s="1" nd="1"/>
        <i x="123" s="1" nd="1"/>
        <i x="40" s="1" nd="1"/>
        <i x="52" s="1" nd="1"/>
        <i x="32" s="1" nd="1"/>
        <i x="77" s="1" nd="1"/>
        <i x="178" s="1" nd="1"/>
        <i x="24" s="1" nd="1"/>
        <i x="110" s="1" nd="1"/>
        <i x="80" s="1" nd="1"/>
        <i x="63" s="1" nd="1"/>
        <i x="72" s="1" nd="1"/>
        <i x="59" s="1" nd="1"/>
        <i x="38" s="1" nd="1"/>
        <i x="93" s="1" nd="1"/>
        <i x="99" s="1" nd="1"/>
        <i x="66" s="1" nd="1"/>
        <i x="122" s="1" nd="1"/>
        <i x="112" s="1" nd="1"/>
        <i x="154" s="1" nd="1"/>
        <i x="102" s="1" nd="1"/>
        <i x="168" s="1" nd="1"/>
        <i x="175" s="1" nd="1"/>
        <i x="96" s="1" nd="1"/>
        <i x="81" s="1" nd="1"/>
        <i x="106" s="1" nd="1"/>
        <i x="119" s="1" nd="1"/>
        <i x="141" s="1" nd="1"/>
        <i x="126" s="1" nd="1"/>
        <i x="42" s="1" nd="1"/>
        <i x="43" s="1" nd="1"/>
        <i x="3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wayTeam1" xr10:uid="{23FCF8D9-9833-4DDD-BE6C-3C6CA6516843}" sourceName="AwayTeam">
  <pivotTables>
    <pivotTable tabId="58" name="Tabela dinâmica4"/>
  </pivotTables>
  <data>
    <tabular pivotCacheId="238392223" showMissing="0">
      <items count="179">
        <i x="2" s="1"/>
        <i x="10" s="1"/>
        <i x="6" s="1"/>
        <i x="14" s="1"/>
        <i x="1" s="1"/>
        <i x="17" s="1"/>
        <i x="19" s="1"/>
        <i x="18" s="1"/>
        <i x="9" s="1"/>
        <i x="7" s="1"/>
        <i x="16" s="1"/>
        <i x="4" s="1"/>
        <i x="11" s="1"/>
        <i x="12" s="1"/>
        <i x="0" s="1"/>
        <i x="3" s="1"/>
        <i x="5" s="1"/>
        <i x="13" s="1"/>
        <i x="8" s="1"/>
        <i x="15" s="1"/>
        <i x="20" s="1"/>
        <i x="161" s="1" nd="1"/>
        <i x="96" s="1" nd="1"/>
        <i x="168" s="1" nd="1"/>
        <i x="39" s="1" nd="1"/>
        <i x="61" s="1" nd="1"/>
        <i x="27" s="1" nd="1"/>
        <i x="162" s="1" nd="1"/>
        <i x="29" s="1" nd="1"/>
        <i x="120" s="1" nd="1"/>
        <i x="124" s="1" nd="1"/>
        <i x="82" s="1" nd="1"/>
        <i x="119" s="1" nd="1"/>
        <i x="145" s="1" nd="1"/>
        <i x="89" s="1" nd="1"/>
        <i x="106" s="1" nd="1"/>
        <i x="102" s="1" nd="1"/>
        <i x="70" s="1" nd="1"/>
        <i x="53" s="1" nd="1"/>
        <i x="169" s="1" nd="1"/>
        <i x="83" s="1" nd="1"/>
        <i x="97" s="1" nd="1"/>
        <i x="129" s="1" nd="1"/>
        <i x="159" s="1" nd="1"/>
        <i x="131" s="1" nd="1"/>
        <i x="147" s="1" nd="1"/>
        <i x="114" s="1" nd="1"/>
        <i x="84" s="1" nd="1"/>
        <i x="104" s="1" nd="1"/>
        <i x="117" s="1" nd="1"/>
        <i x="56" s="1" nd="1"/>
        <i x="153" s="1" nd="1"/>
        <i x="33" s="1" nd="1"/>
        <i x="154" s="1" nd="1"/>
        <i x="37" s="1" nd="1"/>
        <i x="22" s="1" nd="1"/>
        <i x="68" s="1" nd="1"/>
        <i x="58" s="1" nd="1"/>
        <i x="47" s="1" nd="1"/>
        <i x="138" s="1" nd="1"/>
        <i x="155" s="1" nd="1"/>
        <i x="146" s="1" nd="1"/>
        <i x="177" s="1" nd="1"/>
        <i x="137" s="1" nd="1"/>
        <i x="171" s="1" nd="1"/>
        <i x="148" s="1" nd="1"/>
        <i x="26" s="1" nd="1"/>
        <i x="87" s="1" nd="1"/>
        <i x="45" s="1" nd="1"/>
        <i x="133" s="1" nd="1"/>
        <i x="134" s="1" nd="1"/>
        <i x="71" s="1" nd="1"/>
        <i x="107" s="1" nd="1"/>
        <i x="108" s="1" nd="1"/>
        <i x="55" s="1" nd="1"/>
        <i x="163" s="1" nd="1"/>
        <i x="57" s="1" nd="1"/>
        <i x="113" s="1" nd="1"/>
        <i x="115" s="1" nd="1"/>
        <i x="157" s="1" nd="1"/>
        <i x="24" s="1" nd="1"/>
        <i x="170" s="1" nd="1"/>
        <i x="86" s="1" nd="1"/>
        <i x="140" s="1" nd="1"/>
        <i x="150" s="1" nd="1"/>
        <i x="25" s="1" nd="1"/>
        <i x="128" s="1" nd="1"/>
        <i x="100" s="1" nd="1"/>
        <i x="151" s="1" nd="1"/>
        <i x="41" s="1" nd="1"/>
        <i x="51" s="1" nd="1"/>
        <i x="31" s="1" nd="1"/>
        <i x="50" s="1" nd="1"/>
        <i x="110" s="1" nd="1"/>
        <i x="75" s="1" nd="1"/>
        <i x="54" s="1" nd="1"/>
        <i x="60" s="1" nd="1"/>
        <i x="174" s="1" nd="1"/>
        <i x="103" s="1" nd="1"/>
        <i x="35" s="1" nd="1"/>
        <i x="178" s="1" nd="1"/>
        <i x="143" s="1" nd="1"/>
        <i x="23" s="1" nd="1"/>
        <i x="48" s="1" nd="1"/>
        <i x="121" s="1" nd="1"/>
        <i x="126" s="1" nd="1"/>
        <i x="91" s="1" nd="1"/>
        <i x="78" s="1" nd="1"/>
        <i x="74" s="1" nd="1"/>
        <i x="49" s="1" nd="1"/>
        <i x="144" s="1" nd="1"/>
        <i x="62" s="1" nd="1"/>
        <i x="67" s="1" nd="1"/>
        <i x="90" s="1" nd="1"/>
        <i x="64" s="1" nd="1"/>
        <i x="172" s="1" nd="1"/>
        <i x="34" s="1" nd="1"/>
        <i x="76" s="1" nd="1"/>
        <i x="130" s="1" nd="1"/>
        <i x="142" s="1" nd="1"/>
        <i x="116" s="1" nd="1"/>
        <i x="160" s="1" nd="1"/>
        <i x="44" s="1" nd="1"/>
        <i x="164" s="1" nd="1"/>
        <i x="175" s="1" nd="1"/>
        <i x="93" s="1" nd="1"/>
        <i x="30" s="1" nd="1"/>
        <i x="158" s="1" nd="1"/>
        <i x="85" s="1" nd="1"/>
        <i x="94" s="1" nd="1"/>
        <i x="135" s="1" nd="1"/>
        <i x="99" s="1" nd="1"/>
        <i x="28" s="1" nd="1"/>
        <i x="88" s="1" nd="1"/>
        <i x="65" s="1" nd="1"/>
        <i x="141" s="1" nd="1"/>
        <i x="165" s="1" nd="1"/>
        <i x="156" s="1" nd="1"/>
        <i x="73" s="1" nd="1"/>
        <i x="136" s="1" nd="1"/>
        <i x="149" s="1" nd="1"/>
        <i x="167" s="1" nd="1"/>
        <i x="46" s="1" nd="1"/>
        <i x="79" s="1" nd="1"/>
        <i x="132" s="1" nd="1"/>
        <i x="112" s="1" nd="1"/>
        <i x="127" s="1" nd="1"/>
        <i x="69" s="1" nd="1"/>
        <i x="123" s="1" nd="1"/>
        <i x="40" s="1" nd="1"/>
        <i x="52" s="1" nd="1"/>
        <i x="32" s="1" nd="1"/>
        <i x="77" s="1" nd="1"/>
        <i x="176" s="1" nd="1"/>
        <i x="21" s="1" nd="1"/>
        <i x="109" s="1" nd="1"/>
        <i x="80" s="1" nd="1"/>
        <i x="63" s="1" nd="1"/>
        <i x="72" s="1" nd="1"/>
        <i x="59" s="1" nd="1"/>
        <i x="38" s="1" nd="1"/>
        <i x="92" s="1" nd="1"/>
        <i x="98" s="1" nd="1"/>
        <i x="66" s="1" nd="1"/>
        <i x="122" s="1" nd="1"/>
        <i x="111" s="1" nd="1"/>
        <i x="152" s="1" nd="1"/>
        <i x="101" s="1" nd="1"/>
        <i x="166" s="1" nd="1"/>
        <i x="173" s="1" nd="1"/>
        <i x="95" s="1" nd="1"/>
        <i x="81" s="1" nd="1"/>
        <i x="105" s="1" nd="1"/>
        <i x="118" s="1" nd="1"/>
        <i x="139" s="1" nd="1"/>
        <i x="125" s="1" nd="1"/>
        <i x="42" s="1" nd="1"/>
        <i x="43" s="1" nd="1"/>
        <i x="36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HomeTeam2" xr10:uid="{0B31FA05-4AF9-4377-B21F-B870210CC920}" sourceName="HomeTeam">
  <pivotTables>
    <pivotTable tabId="67" name="Tabela dinâmica2"/>
  </pivotTables>
  <data>
    <tabular pivotCacheId="238392223">
      <items count="181">
        <i x="19" s="1"/>
        <i x="0" s="1"/>
        <i x="16" s="1"/>
        <i x="9" s="1"/>
        <i x="10" s="1"/>
        <i x="5" s="1"/>
        <i x="6" s="1"/>
        <i x="1" s="1"/>
        <i x="18" s="1"/>
        <i x="11" s="1"/>
        <i x="4" s="1"/>
        <i x="14" s="1"/>
        <i x="2" s="1"/>
        <i x="8" s="1"/>
        <i x="15" s="1"/>
        <i x="12" s="1"/>
        <i x="13" s="1"/>
        <i x="7" s="1"/>
        <i x="17" s="1"/>
        <i x="3" s="1"/>
        <i x="163" s="1" nd="1"/>
        <i x="97" s="1" nd="1"/>
        <i x="170" s="1" nd="1"/>
        <i x="39" s="1" nd="1"/>
        <i x="61" s="1" nd="1"/>
        <i x="25" s="1" nd="1"/>
        <i x="164" s="1" nd="1"/>
        <i x="29" s="1" nd="1"/>
        <i x="120" s="1" nd="1"/>
        <i x="124" s="1" nd="1"/>
        <i x="82" s="1" nd="1"/>
        <i x="147" s="1" nd="1"/>
        <i x="89" s="1" nd="1"/>
        <i x="107" s="1" nd="1"/>
        <i x="103" s="1" nd="1"/>
        <i x="70" s="1" nd="1"/>
        <i x="53" s="1" nd="1"/>
        <i x="171" s="1" nd="1"/>
        <i x="83" s="1" nd="1"/>
        <i x="98" s="1" nd="1"/>
        <i x="130" s="1" nd="1"/>
        <i x="161" s="1" nd="1"/>
        <i x="132" s="1" nd="1"/>
        <i x="149" s="1" nd="1"/>
        <i x="115" s="1" nd="1"/>
        <i x="84" s="1" nd="1"/>
        <i x="105" s="1" nd="1"/>
        <i x="118" s="1" nd="1"/>
        <i x="56" s="1" nd="1"/>
        <i x="155" s="1" nd="1"/>
        <i x="33" s="1" nd="1"/>
        <i x="156" s="1" nd="1"/>
        <i x="37" s="1" nd="1"/>
        <i x="23" s="1" nd="1"/>
        <i x="68" s="1" nd="1"/>
        <i x="58" s="1" nd="1"/>
        <i x="47" s="1" nd="1"/>
        <i x="140" s="1" nd="1"/>
        <i x="157" s="1" nd="1"/>
        <i x="148" s="1" nd="1"/>
        <i x="179" s="1" nd="1"/>
        <i x="139" s="1" nd="1"/>
        <i x="173" s="1" nd="1"/>
        <i x="90" s="1" nd="1"/>
        <i x="150" s="1" nd="1"/>
        <i x="26" s="1" nd="1"/>
        <i x="87" s="1" nd="1"/>
        <i x="45" s="1" nd="1"/>
        <i x="135" s="1" nd="1"/>
        <i x="136" s="1" nd="1"/>
        <i x="71" s="1" nd="1"/>
        <i x="108" s="1" nd="1"/>
        <i x="109" s="1" nd="1"/>
        <i x="55" s="1" nd="1"/>
        <i x="165" s="1" nd="1"/>
        <i x="57" s="1" nd="1"/>
        <i x="114" s="1" nd="1"/>
        <i x="116" s="1" nd="1"/>
        <i x="159" s="1" nd="1"/>
        <i x="21" s="1" nd="1"/>
        <i x="172" s="1" nd="1"/>
        <i x="86" s="1" nd="1"/>
        <i x="142" s="1" nd="1"/>
        <i x="152" s="1" nd="1"/>
        <i x="27" s="1" nd="1"/>
        <i x="129" s="1" nd="1"/>
        <i x="101" s="1" nd="1"/>
        <i x="153" s="1" nd="1"/>
        <i x="133" s="1" nd="1"/>
        <i x="41" s="1" nd="1"/>
        <i x="51" s="1" nd="1"/>
        <i x="31" s="1" nd="1"/>
        <i x="50" s="1" nd="1"/>
        <i x="125" s="1" nd="1"/>
        <i x="111" s="1" nd="1"/>
        <i x="75" s="1" nd="1"/>
        <i x="54" s="1" nd="1"/>
        <i x="60" s="1" nd="1"/>
        <i x="176" s="1" nd="1"/>
        <i x="104" s="1" nd="1"/>
        <i x="35" s="1" nd="1"/>
        <i x="180" s="1" nd="1"/>
        <i x="145" s="1" nd="1"/>
        <i x="22" s="1" nd="1"/>
        <i x="48" s="1" nd="1"/>
        <i x="121" s="1" nd="1"/>
        <i x="127" s="1" nd="1"/>
        <i x="92" s="1" nd="1"/>
        <i x="78" s="1" nd="1"/>
        <i x="74" s="1" nd="1"/>
        <i x="49" s="1" nd="1"/>
        <i x="146" s="1" nd="1"/>
        <i x="62" s="1" nd="1"/>
        <i x="67" s="1" nd="1"/>
        <i x="91" s="1" nd="1"/>
        <i x="64" s="1" nd="1"/>
        <i x="174" s="1" nd="1"/>
        <i x="34" s="1" nd="1"/>
        <i x="76" s="1" nd="1"/>
        <i x="131" s="1" nd="1"/>
        <i x="144" s="1" nd="1"/>
        <i x="117" s="1" nd="1"/>
        <i x="162" s="1" nd="1"/>
        <i x="44" s="1" nd="1"/>
        <i x="166" s="1" nd="1"/>
        <i x="177" s="1" nd="1"/>
        <i x="94" s="1" nd="1"/>
        <i x="30" s="1" nd="1"/>
        <i x="160" s="1" nd="1"/>
        <i x="85" s="1" nd="1"/>
        <i x="95" s="1" nd="1"/>
        <i x="137" s="1" nd="1"/>
        <i x="100" s="1" nd="1"/>
        <i x="28" s="1" nd="1"/>
        <i x="88" s="1" nd="1"/>
        <i x="65" s="1" nd="1"/>
        <i x="143" s="1" nd="1"/>
        <i x="167" s="1" nd="1"/>
        <i x="158" s="1" nd="1"/>
        <i x="73" s="1" nd="1"/>
        <i x="138" s="1" nd="1"/>
        <i x="151" s="1" nd="1"/>
        <i x="169" s="1" nd="1"/>
        <i x="46" s="1" nd="1"/>
        <i x="79" s="1" nd="1"/>
        <i x="134" s="1" nd="1"/>
        <i x="113" s="1" nd="1"/>
        <i x="128" s="1" nd="1"/>
        <i x="69" s="1" nd="1"/>
        <i x="123" s="1" nd="1"/>
        <i x="40" s="1" nd="1"/>
        <i x="52" s="1" nd="1"/>
        <i x="32" s="1" nd="1"/>
        <i x="77" s="1" nd="1"/>
        <i x="178" s="1" nd="1"/>
        <i x="24" s="1" nd="1"/>
        <i x="110" s="1" nd="1"/>
        <i x="80" s="1" nd="1"/>
        <i x="63" s="1" nd="1"/>
        <i x="72" s="1" nd="1"/>
        <i x="59" s="1" nd="1"/>
        <i x="38" s="1" nd="1"/>
        <i x="93" s="1" nd="1"/>
        <i x="99" s="1" nd="1"/>
        <i x="66" s="1" nd="1"/>
        <i x="122" s="1" nd="1"/>
        <i x="112" s="1" nd="1"/>
        <i x="154" s="1" nd="1"/>
        <i x="102" s="1" nd="1"/>
        <i x="168" s="1" nd="1"/>
        <i x="175" s="1" nd="1"/>
        <i x="96" s="1" nd="1"/>
        <i x="81" s="1" nd="1"/>
        <i x="106" s="1" nd="1"/>
        <i x="119" s="1" nd="1"/>
        <i x="141" s="1" nd="1"/>
        <i x="126" s="1" nd="1"/>
        <i x="42" s="1" nd="1"/>
        <i x="43" s="1" nd="1"/>
        <i x="36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wayTeam2" xr10:uid="{CC926E1E-681D-412A-81E0-6A0E27464E3C}" sourceName="AwayTeam">
  <pivotTables>
    <pivotTable tabId="67" name="Tabela dinâmica2"/>
  </pivotTables>
  <data>
    <tabular pivotCacheId="238392223">
      <items count="179">
        <i x="2" s="1"/>
        <i x="10" s="1"/>
        <i x="6" s="1"/>
        <i x="14" s="1"/>
        <i x="1" s="1"/>
        <i x="17" s="1"/>
        <i x="19" s="1"/>
        <i x="18" s="1"/>
        <i x="9" s="1"/>
        <i x="7" s="1"/>
        <i x="16" s="1"/>
        <i x="4" s="1"/>
        <i x="11" s="1"/>
        <i x="12" s="1"/>
        <i x="0" s="1"/>
        <i x="3" s="1"/>
        <i x="5" s="1"/>
        <i x="13" s="1"/>
        <i x="8" s="1"/>
        <i x="15" s="1"/>
        <i x="161" s="1" nd="1"/>
        <i x="96" s="1" nd="1"/>
        <i x="168" s="1" nd="1"/>
        <i x="39" s="1" nd="1"/>
        <i x="61" s="1" nd="1"/>
        <i x="27" s="1" nd="1"/>
        <i x="162" s="1" nd="1"/>
        <i x="29" s="1" nd="1"/>
        <i x="120" s="1" nd="1"/>
        <i x="124" s="1" nd="1"/>
        <i x="82" s="1" nd="1"/>
        <i x="119" s="1" nd="1"/>
        <i x="145" s="1" nd="1"/>
        <i x="89" s="1" nd="1"/>
        <i x="106" s="1" nd="1"/>
        <i x="102" s="1" nd="1"/>
        <i x="70" s="1" nd="1"/>
        <i x="53" s="1" nd="1"/>
        <i x="169" s="1" nd="1"/>
        <i x="83" s="1" nd="1"/>
        <i x="97" s="1" nd="1"/>
        <i x="129" s="1" nd="1"/>
        <i x="159" s="1" nd="1"/>
        <i x="131" s="1" nd="1"/>
        <i x="147" s="1" nd="1"/>
        <i x="114" s="1" nd="1"/>
        <i x="84" s="1" nd="1"/>
        <i x="104" s="1" nd="1"/>
        <i x="117" s="1" nd="1"/>
        <i x="56" s="1" nd="1"/>
        <i x="153" s="1" nd="1"/>
        <i x="33" s="1" nd="1"/>
        <i x="154" s="1" nd="1"/>
        <i x="37" s="1" nd="1"/>
        <i x="22" s="1" nd="1"/>
        <i x="68" s="1" nd="1"/>
        <i x="58" s="1" nd="1"/>
        <i x="47" s="1" nd="1"/>
        <i x="138" s="1" nd="1"/>
        <i x="155" s="1" nd="1"/>
        <i x="146" s="1" nd="1"/>
        <i x="177" s="1" nd="1"/>
        <i x="137" s="1" nd="1"/>
        <i x="171" s="1" nd="1"/>
        <i x="148" s="1" nd="1"/>
        <i x="26" s="1" nd="1"/>
        <i x="87" s="1" nd="1"/>
        <i x="45" s="1" nd="1"/>
        <i x="133" s="1" nd="1"/>
        <i x="134" s="1" nd="1"/>
        <i x="71" s="1" nd="1"/>
        <i x="107" s="1" nd="1"/>
        <i x="108" s="1" nd="1"/>
        <i x="55" s="1" nd="1"/>
        <i x="163" s="1" nd="1"/>
        <i x="57" s="1" nd="1"/>
        <i x="113" s="1" nd="1"/>
        <i x="115" s="1" nd="1"/>
        <i x="157" s="1" nd="1"/>
        <i x="24" s="1" nd="1"/>
        <i x="170" s="1" nd="1"/>
        <i x="86" s="1" nd="1"/>
        <i x="140" s="1" nd="1"/>
        <i x="150" s="1" nd="1"/>
        <i x="25" s="1" nd="1"/>
        <i x="128" s="1" nd="1"/>
        <i x="100" s="1" nd="1"/>
        <i x="151" s="1" nd="1"/>
        <i x="41" s="1" nd="1"/>
        <i x="51" s="1" nd="1"/>
        <i x="31" s="1" nd="1"/>
        <i x="50" s="1" nd="1"/>
        <i x="110" s="1" nd="1"/>
        <i x="75" s="1" nd="1"/>
        <i x="54" s="1" nd="1"/>
        <i x="60" s="1" nd="1"/>
        <i x="174" s="1" nd="1"/>
        <i x="103" s="1" nd="1"/>
        <i x="35" s="1" nd="1"/>
        <i x="178" s="1" nd="1"/>
        <i x="143" s="1" nd="1"/>
        <i x="23" s="1" nd="1"/>
        <i x="48" s="1" nd="1"/>
        <i x="121" s="1" nd="1"/>
        <i x="126" s="1" nd="1"/>
        <i x="91" s="1" nd="1"/>
        <i x="78" s="1" nd="1"/>
        <i x="74" s="1" nd="1"/>
        <i x="49" s="1" nd="1"/>
        <i x="144" s="1" nd="1"/>
        <i x="62" s="1" nd="1"/>
        <i x="67" s="1" nd="1"/>
        <i x="90" s="1" nd="1"/>
        <i x="64" s="1" nd="1"/>
        <i x="172" s="1" nd="1"/>
        <i x="34" s="1" nd="1"/>
        <i x="76" s="1" nd="1"/>
        <i x="130" s="1" nd="1"/>
        <i x="142" s="1" nd="1"/>
        <i x="116" s="1" nd="1"/>
        <i x="160" s="1" nd="1"/>
        <i x="44" s="1" nd="1"/>
        <i x="164" s="1" nd="1"/>
        <i x="175" s="1" nd="1"/>
        <i x="93" s="1" nd="1"/>
        <i x="30" s="1" nd="1"/>
        <i x="158" s="1" nd="1"/>
        <i x="85" s="1" nd="1"/>
        <i x="94" s="1" nd="1"/>
        <i x="135" s="1" nd="1"/>
        <i x="99" s="1" nd="1"/>
        <i x="28" s="1" nd="1"/>
        <i x="88" s="1" nd="1"/>
        <i x="65" s="1" nd="1"/>
        <i x="141" s="1" nd="1"/>
        <i x="165" s="1" nd="1"/>
        <i x="156" s="1" nd="1"/>
        <i x="73" s="1" nd="1"/>
        <i x="136" s="1" nd="1"/>
        <i x="149" s="1" nd="1"/>
        <i x="167" s="1" nd="1"/>
        <i x="46" s="1" nd="1"/>
        <i x="79" s="1" nd="1"/>
        <i x="132" s="1" nd="1"/>
        <i x="112" s="1" nd="1"/>
        <i x="127" s="1" nd="1"/>
        <i x="69" s="1" nd="1"/>
        <i x="123" s="1" nd="1"/>
        <i x="40" s="1" nd="1"/>
        <i x="52" s="1" nd="1"/>
        <i x="32" s="1" nd="1"/>
        <i x="77" s="1" nd="1"/>
        <i x="176" s="1" nd="1"/>
        <i x="21" s="1" nd="1"/>
        <i x="109" s="1" nd="1"/>
        <i x="80" s="1" nd="1"/>
        <i x="63" s="1" nd="1"/>
        <i x="72" s="1" nd="1"/>
        <i x="59" s="1" nd="1"/>
        <i x="38" s="1" nd="1"/>
        <i x="92" s="1" nd="1"/>
        <i x="98" s="1" nd="1"/>
        <i x="66" s="1" nd="1"/>
        <i x="122" s="1" nd="1"/>
        <i x="111" s="1" nd="1"/>
        <i x="152" s="1" nd="1"/>
        <i x="101" s="1" nd="1"/>
        <i x="166" s="1" nd="1"/>
        <i x="173" s="1" nd="1"/>
        <i x="95" s="1" nd="1"/>
        <i x="81" s="1" nd="1"/>
        <i x="105" s="1" nd="1"/>
        <i x="118" s="1" nd="1"/>
        <i x="139" s="1" nd="1"/>
        <i x="125" s="1" nd="1"/>
        <i x="42" s="1" nd="1"/>
        <i x="43" s="1" nd="1"/>
        <i x="36" s="1" nd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meTeam" xr10:uid="{C5A928A2-63A4-466C-A20D-BB0BBBACF36E}" cache="SegmentaçãodeDados_HomeTeam" caption="Casa" style="Estilo de Segmentação de Dados 1" rowHeight="198000"/>
  <slicer name="FAVC" xr10:uid="{613CD933-0AF5-4DB7-9FB4-27CFFF8B68CF}" cache="SegmentaçãodeDados_FAVC" caption="Odd" style="Estilo de Segmentação de Dados 1" rowHeight="241300"/>
  <slicer name="AwayTeam" xr10:uid="{13BA7BC0-C9ED-4B84-9354-F817A4AEC144}" cache="SegmentaçãodeDados_AwayTeam" caption="Visitante" style="Estilo de Segmentação de Dados 1 2" rowHeight="198000"/>
  <slicer name="FAVV" xr10:uid="{E7B7018E-21B1-443A-8731-2B66B539249E}" cache="SegmentaçãodeDados_FAVV" caption="Odd" style="Estilo de Segmentação de Dados 1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meTeam 1" xr10:uid="{31501219-89A0-4BD7-AB4F-A4A873D92A51}" cache="SegmentaçãodeDados_HomeTeam1" caption="Casa" style="Estilo de Segmentação de Dados 1" rowHeight="198000"/>
  <slicer name="AwayTeam 1" xr10:uid="{E4647886-CDAA-48DD-9C07-D82B7455B29F}" cache="SegmentaçãodeDados_AwayTeam1" caption="Visit" style="Estilo de Segmentação de Dados 1 2" rowHeight="198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meTeam 2" xr10:uid="{0D57DA88-44F5-41D2-BAC1-D6CB146E12FA}" cache="SegmentaçãodeDados_HomeTeam2" caption="Casa" style="Estilo de Segmentação de Dados 1" rowHeight="198000"/>
  <slicer name="AwayTeam 2" xr10:uid="{86F0D69C-B32B-4503-9C65-1A9ED2CC90CD}" cache="SegmentaçãodeDados_AwayTeam2" caption="Visitante" style="Estilo de Segmentação de Dados 1 2" rowHeight="1980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5876C-B5B7-4756-8B76-AC4B02A41F7B}" name="Tabela1" displayName="Tabela1" ref="A1:AP414" totalsRowShown="0">
  <autoFilter ref="A1:AP414" xr:uid="{D3E5876C-B5B7-4756-8B76-AC4B02A41F7B}"/>
  <sortState xmlns:xlrd2="http://schemas.microsoft.com/office/spreadsheetml/2017/richdata2" ref="A2:AJ413">
    <sortCondition ref="A1:A413"/>
  </sortState>
  <tableColumns count="42">
    <tableColumn id="1" xr3:uid="{3D5979DD-0399-4A32-80FA-7B792FEBC186}" name="Date" dataDxfId="200"/>
    <tableColumn id="2" xr3:uid="{6BC66063-09F8-42BE-A778-6EF195825A2F}" name="HomeTeam"/>
    <tableColumn id="3" xr3:uid="{4BF2C916-D367-4E57-87E0-4DEE11FF2CCA}" name="AwayTeam"/>
    <tableColumn id="4" xr3:uid="{631C76F0-2F6B-4314-BF46-17ECAD8AEEB2}" name="FTHG" dataDxfId="199"/>
    <tableColumn id="5" xr3:uid="{2E5C374C-3963-4306-BB13-59016D45C373}" name="FTAG" dataDxfId="198"/>
    <tableColumn id="6" xr3:uid="{5BE6BAB5-6401-4EF5-B4B4-FA936EEFA5A3}" name="FTR" dataDxfId="197">
      <calculatedColumnFormula>IF(Tabela1[[#This Row],[FTHG]]&gt;Tabela1[[#This Row],[FTAG]],"H",IF(Tabela1[[#This Row],[FTHG]]=Tabela1[[#This Row],[FTAG]],"D","A"))</calculatedColumnFormula>
    </tableColumn>
    <tableColumn id="72" xr3:uid="{E788AF52-13BA-456E-B82D-A1FDCDB288B8}" name="ODDC" dataDxfId="196"/>
    <tableColumn id="73" xr3:uid="{337AFCC4-28DC-4856-B6A8-26F728451672}" name="ODDE" dataDxfId="195"/>
    <tableColumn id="74" xr3:uid="{13E0436C-E65D-499E-B05A-DC0529DCFB39}" name="ODDV" dataDxfId="194"/>
    <tableColumn id="104" xr3:uid="{7592D9C7-8E9C-4A0E-81F1-0DF8B7762101}" name="PTC" dataDxfId="193">
      <calculatedColumnFormula>IF(A2="","",IF(F2="H",3,IF(F2="D",1,0)))</calculatedColumnFormula>
    </tableColumn>
    <tableColumn id="105" xr3:uid="{B6C91BFE-CCAB-49DF-AEBB-5DF565733D8C}" name="PTV" dataDxfId="192">
      <calculatedColumnFormula>IF(A2="","",IF(F2="H",0,IF(F2="D",1,3)))</calculatedColumnFormula>
    </tableColumn>
    <tableColumn id="106" xr3:uid="{56C1F7A3-7989-4918-8D01-67AD17CCB0E5}" name="GC/ODDV" dataDxfId="191">
      <calculatedColumnFormula>IF(A2="","",D2/I2)</calculatedColumnFormula>
    </tableColumn>
    <tableColumn id="107" xr3:uid="{954824F5-369C-4B02-83BF-8B6C7F980877}" name="GV/ODDC" dataDxfId="190">
      <calculatedColumnFormula>IF(A2="","",E2/G2)</calculatedColumnFormula>
    </tableColumn>
    <tableColumn id="8" xr3:uid="{012DD9BD-0924-40D2-8316-55C5BBBE06E1}" name="PESOPTC" dataDxfId="189">
      <calculatedColumnFormula>IF(A2="","",Tabela1[[#This Row],[PTC]]*Tabela1[[#This Row],[ODDC]])</calculatedColumnFormula>
    </tableColumn>
    <tableColumn id="7" xr3:uid="{62891055-1F64-4D44-86C8-7E95F1C76E23}" name="PESOPTV" dataDxfId="188">
      <calculatedColumnFormula>IF(A2="","",Tabela1[[#This Row],[PTV]]*Tabela1[[#This Row],[ODDV]])</calculatedColumnFormula>
    </tableColumn>
    <tableColumn id="108" xr3:uid="{7809DD4F-2650-41A3-BBAC-08098EF96236}" name="SLDC" dataDxfId="187">
      <calculatedColumnFormula>IF(A2="","",D2-E2)</calculatedColumnFormula>
    </tableColumn>
    <tableColumn id="109" xr3:uid="{698D5B25-2A9F-4087-AA46-FC690BE93526}" name="SLDV" dataDxfId="186">
      <calculatedColumnFormula>IF(A2="","",E2-D2)</calculatedColumnFormula>
    </tableColumn>
    <tableColumn id="110" xr3:uid="{3D996D74-977E-4BA9-A424-2EB6B421B5B4}" name="PLBACKC" dataDxfId="185">
      <calculatedColumnFormula>IF(A2="","",IF(F2="H",G2-1,-1))</calculatedColumnFormula>
    </tableColumn>
    <tableColumn id="111" xr3:uid="{8905D99D-1DA5-4B57-A31B-9845ED01B6E5}" name="PLBACKV" dataDxfId="184">
      <calculatedColumnFormula>IF(A2="","",IF(F2="A",I2-1,-1))</calculatedColumnFormula>
    </tableColumn>
    <tableColumn id="152" xr3:uid="{544A4C77-0CA0-42CC-8997-DB8081EB9FFE}" name="PLEMP" dataDxfId="183">
      <calculatedColumnFormula>IF(A2="","",IF(F2="D",Tabela1[[#This Row],[ODDE]]-1,-1))</calculatedColumnFormula>
    </tableColumn>
    <tableColumn id="114" xr3:uid="{6D50D669-83CC-4518-9C86-5EAF5328E1CC}" name="GOLEAC" dataDxfId="182">
      <calculatedColumnFormula>IF(A2="","",IF(AND(Tabela1[[#This Row],[FTHG]]&gt;3,F2="H"),1,0))</calculatedColumnFormula>
    </tableColumn>
    <tableColumn id="115" xr3:uid="{A8A93FF7-C793-416A-8B6D-6455F69A7BDE}" name="GOLEAV" dataDxfId="181">
      <calculatedColumnFormula>IF(A2="","",IF(AND(Tabela1[[#This Row],[FTAG]]&gt;3,F2="A"),1,0))</calculatedColumnFormula>
    </tableColumn>
    <tableColumn id="119" xr3:uid="{649350DB-01E1-415A-9A64-0B4E93E8A7DA}" name="0,5FT" dataDxfId="180">
      <calculatedColumnFormula>IF(A2="","",IF(D2+E2&gt;0,1,0))</calculatedColumnFormula>
    </tableColumn>
    <tableColumn id="120" xr3:uid="{03AF90ED-F2C8-4E3E-9FFD-2E44EF9743CE}" name="1,5FT" dataDxfId="179">
      <calculatedColumnFormula>IF(A2="","",IF(D2+E2&gt;1,1,0))</calculatedColumnFormula>
    </tableColumn>
    <tableColumn id="121" xr3:uid="{79C4BEE9-4AB8-4321-A793-CF1E5BB3631E}" name="2,5FT" dataDxfId="178">
      <calculatedColumnFormula>IF(A2="","",IF(D2+E2&gt;2,1,0))</calculatedColumnFormula>
    </tableColumn>
    <tableColumn id="122" xr3:uid="{3AA98A4E-D591-4632-A1A0-D839231D45C5}" name="3,5FT" dataDxfId="177">
      <calculatedColumnFormula>IF(A2="","",IF(D2+E2&gt;3,1,0))</calculatedColumnFormula>
    </tableColumn>
    <tableColumn id="123" xr3:uid="{39A60AFA-8470-4D9B-A6FD-11E09EBB3EB1}" name="4,5FT" dataDxfId="176">
      <calculatedColumnFormula>IF(A2="","",IF(D2+E2&gt;4,1,0))</calculatedColumnFormula>
    </tableColumn>
    <tableColumn id="124" xr3:uid="{9D78A048-0283-407D-95EB-F4ECC96F72EC}" name="5,5FT" dataDxfId="175">
      <calculatedColumnFormula>IF(A2="","",IF(D2+E2&gt;5,1,0))</calculatedColumnFormula>
    </tableColumn>
    <tableColumn id="126" xr3:uid="{CD2BE71C-7504-442E-A1F9-B71C9B704931}" name="AMBFT" dataDxfId="174">
      <calculatedColumnFormula>IF(A2="","",IFERROR(IF(AND(D2&gt;0,E2&gt;0),1,0),0))</calculatedColumnFormula>
    </tableColumn>
    <tableColumn id="141" xr3:uid="{F27A0592-0B59-4E77-81ED-835A8B7D2936}" name="MÊS" dataDxfId="173">
      <calculatedColumnFormula>IF(A2="","",UPPER(TEXT(A2,"MMM")))</calculatedColumnFormula>
    </tableColumn>
    <tableColumn id="143" xr3:uid="{6A1B7640-DD82-4414-BA3C-F38828B84841}" name="CONTAG" dataDxfId="172" dataCellStyle="Vírgula">
      <calculatedColumnFormula>IF(A2="","",COUNT($N$2:N2))</calculatedColumnFormula>
    </tableColumn>
    <tableColumn id="144" xr3:uid="{7FBF8BC6-8100-441C-A45F-455E426DDB84}" name="VITC" dataDxfId="171">
      <calculatedColumnFormula>IF(A2="","",IF(F2="H",1,0))</calculatedColumnFormula>
    </tableColumn>
    <tableColumn id="145" xr3:uid="{C1EC2450-F24B-4739-9C9E-F2490FA63EE6}" name="EMP" dataDxfId="170">
      <calculatedColumnFormula>IF(A2="","",IF(F2="D",1,0))</calculatedColumnFormula>
    </tableColumn>
    <tableColumn id="146" xr3:uid="{D299F1A8-B888-4F73-9C53-4F4D51AAE633}" name="VITV" dataDxfId="169">
      <calculatedColumnFormula>IF(A2="","",IF(F2="A",1,0))</calculatedColumnFormula>
    </tableColumn>
    <tableColumn id="147" xr3:uid="{5CFE8FBC-2ABE-469F-8CA0-6490A6D8B12F}" name="FAVC" dataDxfId="168">
      <calculatedColumnFormula>IF(A2="","",IF(G2&lt;1.21,"1,01-1,2",IF(G2&lt;1.41,"1,21-1,4",IF(G2&lt;1.71,"1,41-1,7",IF(G2&lt;2.01,"1,71-2,0",IF(G2&lt;2.41,"2,01-2,4",IF(G2&lt;3.01,"2,41-3,0",IF(G2&lt;4.01,"3,01-4.0",IF(G2&lt;5.51,"4,01-5,5",IF(G2&lt;9.01,"5,51-9,0",IF(G2&lt;16.01,"9,01-16","Z16-99")))))))))))</calculatedColumnFormula>
    </tableColumn>
    <tableColumn id="148" xr3:uid="{9FB2916E-7C24-4CA4-A715-F90792E92F20}" name="FAVV" dataDxfId="167">
      <calculatedColumnFormula>IF(A2="","",IF(I2&lt;1.21,"1,01-1,2",IF(I2&lt;1.41,"1,21-1,4",IF(I2&lt;1.71,"1,41-1,7",IF(I2&lt;2.01,"1,71-2,0",IF(I2&lt;2.41,"2,01-2,4",IF(I2&lt;3.01,"2,41-3,0",IF(I2&lt;4.01,"3,01-4.0",IF(I2&lt;5.51,"4,01-5,5",IF(I2&lt;9.01,"5,51-9,0",IF(I2&lt;16.01,"9,01-16","Z16-99")))))))))))</calculatedColumnFormula>
    </tableColumn>
    <tableColumn id="9" xr3:uid="{FF741A92-D8EF-4273-BCBA-A9D80A29B6A8}" name="p(H)" dataDxfId="166">
      <calculatedColumnFormula>IF(A2="","",1/Tabela1[[#This Row],[ODDC]])</calculatedColumnFormula>
    </tableColumn>
    <tableColumn id="10" xr3:uid="{374F736D-F2EF-4AC2-9229-1C08EE2DB6EE}" name="p(D)" dataDxfId="165">
      <calculatedColumnFormula>IF(A2="","",1/Tabela1[[#This Row],[ODDE]])</calculatedColumnFormula>
    </tableColumn>
    <tableColumn id="11" xr3:uid="{08C7254B-0626-43A8-B87D-1895449DBC0F}" name="p(A)" dataDxfId="164">
      <calculatedColumnFormula>IF(A2="","",1/Tabela1[[#This Row],[ODDV]])</calculatedColumnFormula>
    </tableColumn>
    <tableColumn id="12" xr3:uid="{D25F7C8D-466D-4D82-A985-4F8B52FF4CAB}" name="JUICE" dataDxfId="163">
      <calculatedColumnFormula>IF(A2="","",1-(Tabela1[[#This Row],[p(H)]]+Tabela1[[#This Row],[p(D)]]+Tabela1[[#This Row],[p(A)]]))</calculatedColumnFormula>
    </tableColumn>
    <tableColumn id="13" xr3:uid="{CFF2C780-15E7-4847-BBA4-F88DCCB34277}" name="CustGC" dataDxfId="162">
      <calculatedColumnFormula>IF(A2="","",IFERROR(Tabela1[[#This Row],[p(H)]]/Tabela1[[#This Row],[FTHG]],1))</calculatedColumnFormula>
    </tableColumn>
    <tableColumn id="14" xr3:uid="{83D5FE35-56BF-4B41-A9C9-1EACE75DF95D}" name="CustGV" dataDxfId="161">
      <calculatedColumnFormula>IF(A2="","",IFERROR(Tabela1[[#This Row],[p(A)]]/Tabela1[[#This Row],[FTAG]],1))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1E2B5-A2E9-4D4B-B28C-74FA726481A8}" name="Tabela2" displayName="Tabela2" ref="AQ1:DP26" totalsRowCount="1" headerRowDxfId="160">
  <autoFilter ref="AQ1:DP25" xr:uid="{DE31E2B5-A2E9-4D4B-B28C-74FA726481A8}"/>
  <tableColumns count="78">
    <tableColumn id="3" xr3:uid="{B587FD22-61B5-41E0-B735-8EB458079C32}" name="T" dataDxfId="159" totalsRowDxfId="158"/>
    <tableColumn id="4" xr3:uid="{43B7E7FB-C790-4567-ACFA-1A6173C388D8}" name="MPTC" dataDxfId="157" totalsRowDxfId="156">
      <calculatedColumnFormula>AVERAGEIF($B$237:$B$1203,#REF!,$J$237:$J$1214)</calculatedColumnFormula>
    </tableColumn>
    <tableColumn id="5" xr3:uid="{424DF6E1-B5E4-4FEE-8C3E-AFD005F454AB}" name="MPTV" dataDxfId="155" totalsRowDxfId="154">
      <calculatedColumnFormula>AVERAGEIF($C$237:$C$1203,#REF!,$K$237:$K$1214)</calculatedColumnFormula>
    </tableColumn>
    <tableColumn id="34" xr3:uid="{57B0D11C-FDC3-4641-8FC7-CB957540CFFD}" name="DPMPTC" dataDxfId="153" totalsRowDxfId="152">
      <calculatedColumnFormula array="1">_xlfn.STDEV.S(IF($B$2:$B$1203=Tabela2[[#This Row],[T]],$J$2:$J$1203))</calculatedColumnFormula>
    </tableColumn>
    <tableColumn id="35" xr3:uid="{D24D17B4-1535-4D94-92BE-265F2AA922BB}" name="DPMPTV" dataDxfId="151" totalsRowDxfId="150">
      <calculatedColumnFormula array="1">_xlfn.STDEV.S(IF($C$2:$C$1203=Tabela2[[#This Row],[T]],$K$2:$K$1203))</calculatedColumnFormula>
    </tableColumn>
    <tableColumn id="37" xr3:uid="{E7FCC8FD-96F2-4238-AE15-DCDE0BD73D7C}" name="CVMPTC" dataDxfId="149" totalsRowDxfId="148">
      <calculatedColumnFormula>Tabela2[[#This Row],[DPMPTC]]/Tabela2[[#This Row],[MPTC]]</calculatedColumnFormula>
    </tableColumn>
    <tableColumn id="36" xr3:uid="{8C9DEB20-3B72-40D7-A8DC-ABE20DBC57FB}" name="CVMPTV" dataDxfId="147" totalsRowDxfId="146">
      <calculatedColumnFormula>Tabela2[[#This Row],[DPMPTV]]/Tabela2[[#This Row],[MPTV]]</calculatedColumnFormula>
    </tableColumn>
    <tableColumn id="10" xr3:uid="{91BD1B4E-C6C7-4F5C-9482-4C716F18507F}" name="T1" dataDxfId="145" totalsRowDxfId="144"/>
    <tableColumn id="11" xr3:uid="{369ED3E2-9B69-421F-8C77-66D0F8AEC5FD}" name="MGOLEFC" dataDxfId="143" totalsRowDxfId="142">
      <calculatedColumnFormula>AVERAGEIF($B$237:$B$1203,#REF!,$U$237:$U$1194)</calculatedColumnFormula>
    </tableColumn>
    <tableColumn id="12" xr3:uid="{B08C1F37-BDF4-47F8-A290-627060590CBF}" name="MGOLESC" dataDxfId="141" totalsRowDxfId="140">
      <calculatedColumnFormula>AVERAGEIF($B$237:$B$1203,#REF!,$V$237:$V$1194)</calculatedColumnFormula>
    </tableColumn>
    <tableColumn id="13" xr3:uid="{BDB210D5-923B-457E-AA3F-9B419C4F258B}" name="MGOLEFV" dataDxfId="139" totalsRowDxfId="138">
      <calculatedColumnFormula>AVERAGEIF($C$237:$C$1203,#REF!,$V$237:$V$1194)</calculatedColumnFormula>
    </tableColumn>
    <tableColumn id="14" xr3:uid="{7C32AB8F-B997-420D-97A6-324F13AC11AA}" name="MGOLESV" dataDxfId="137" totalsRowDxfId="136">
      <calculatedColumnFormula>AVERAGEIF($C$237:$C$1203,#REF!,$U$237:$U$1194)</calculatedColumnFormula>
    </tableColumn>
    <tableColumn id="19" xr3:uid="{206C906E-AA6A-477F-84C4-F56FC5168DE1}" name="T2" dataDxfId="135" totalsRowDxfId="134">
      <calculatedColumnFormula>Tabela2[[#This Row],[T]]</calculatedColumnFormula>
    </tableColumn>
    <tableColumn id="20" xr3:uid="{EFC6B1CC-2CE9-4D27-BA96-2C4980168898}" name="MGC" dataDxfId="133" totalsRowDxfId="132">
      <calculatedColumnFormula>AVERAGEIF($B$237:$B$1203,#REF!,$D$237:$D$1203)</calculatedColumnFormula>
    </tableColumn>
    <tableColumn id="21" xr3:uid="{7ED59149-B051-45D0-88FA-03F1AFDC3BCF}" name="MGV" dataDxfId="131" totalsRowDxfId="130">
      <calculatedColumnFormula>AVERAGEIF($C$237:$C$1203,#REF!,$E$237:$E$1203)</calculatedColumnFormula>
    </tableColumn>
    <tableColumn id="22" xr3:uid="{279B496B-7B01-4661-B79A-61E9E6582D5B}" name="DPMGC" dataDxfId="129" totalsRowDxfId="128">
      <calculatedColumnFormula array="1">_xlfn.STDEV.S(IF($B$237:$B$1203=#REF!,$D$237:$D$1203))</calculatedColumnFormula>
    </tableColumn>
    <tableColumn id="23" xr3:uid="{5ED96AB4-8E9A-4E3B-B04E-5CBEC746E9C5}" name="DPMGV" dataDxfId="127" totalsRowDxfId="126">
      <calculatedColumnFormula array="1">_xlfn.STDEV.S(IF($C$237:$C$1203=#REF!,$E$237:$E$1203))</calculatedColumnFormula>
    </tableColumn>
    <tableColumn id="24" xr3:uid="{10D3FE6B-AD02-439B-86D6-85B34A7A6F9F}" name="CVMGC" dataDxfId="125" totalsRowDxfId="124">
      <calculatedColumnFormula>BF2/BD2</calculatedColumnFormula>
    </tableColumn>
    <tableColumn id="25" xr3:uid="{D828634F-CBE4-4A6F-9576-D121725D23C7}" name="CVMGV" dataDxfId="123" totalsRowDxfId="122">
      <calculatedColumnFormula>BG2/BE2</calculatedColumnFormula>
    </tableColumn>
    <tableColumn id="26" xr3:uid="{3A23B84F-7F4A-4866-86F8-C9FA9AF65F3A}" name="T3" dataDxfId="121" totalsRowDxfId="120">
      <calculatedColumnFormula>Tabela2[[#This Row],[T]]</calculatedColumnFormula>
    </tableColumn>
    <tableColumn id="27" xr3:uid="{BCD32C9E-41B7-4599-8751-86CCAB5234DA}" name="MGSC" dataDxfId="119" totalsRowDxfId="118">
      <calculatedColumnFormula>AVERAGEIF($B$237:$B$1203,#REF!,$E$237:$E$1203)</calculatedColumnFormula>
    </tableColumn>
    <tableColumn id="28" xr3:uid="{DC701429-B24F-4A62-9842-956D243D53F3}" name="MGSV" dataDxfId="117" totalsRowDxfId="116">
      <calculatedColumnFormula>AVERAGEIF($C$237:$C$1203,#REF!,$D$237:$D$1203)</calculatedColumnFormula>
    </tableColumn>
    <tableColumn id="29" xr3:uid="{5DCDBEAE-D773-4DC3-A489-AAE11FEA8CAE}" name="DPMGSC" dataDxfId="115" totalsRowDxfId="114">
      <calculatedColumnFormula array="1">_xlfn.STDEV.S(IF($B$237:$B$1203=#REF!,$E$237:$E$1203))</calculatedColumnFormula>
    </tableColumn>
    <tableColumn id="30" xr3:uid="{811F05E0-37B0-440D-8837-07DF94690B40}" name="DPMGSV" dataDxfId="113" totalsRowDxfId="112">
      <calculatedColumnFormula array="1">_xlfn.STDEV.S(IF($C$237:$C$1203=#REF!,$D$237:$D$1203))</calculatedColumnFormula>
    </tableColumn>
    <tableColumn id="31" xr3:uid="{85920ECC-2D33-4059-884E-685202510C79}" name="CVMGSC" dataDxfId="111" totalsRowDxfId="110">
      <calculatedColumnFormula>BM2/BK2</calculatedColumnFormula>
    </tableColumn>
    <tableColumn id="32" xr3:uid="{CB55503C-450B-41E9-89F2-CF82B032CFBC}" name="CVMGSV" dataDxfId="109" totalsRowDxfId="108">
      <calculatedColumnFormula>BN2/BL2</calculatedColumnFormula>
    </tableColumn>
    <tableColumn id="222" xr3:uid="{D20D3FE6-801E-4621-AAB3-4F8B1334270B}" name="T4" dataDxfId="107" totalsRowDxfId="106">
      <calculatedColumnFormula>Tabela2[[#This Row],[T]]</calculatedColumnFormula>
    </tableColumn>
    <tableColumn id="221" xr3:uid="{D31D1128-68AB-4759-AF46-CDE054F8606B}" name="FCAtC" dataDxfId="105" totalsRowDxfId="104">
      <calculatedColumnFormula>BD2/$BD$22</calculatedColumnFormula>
    </tableColumn>
    <tableColumn id="220" xr3:uid="{E95A3FC7-C7A3-455D-8A62-FE7EB810FF7D}" name="FCAtV" dataDxfId="103" totalsRowDxfId="102">
      <calculatedColumnFormula>BE2/$BE$22</calculatedColumnFormula>
    </tableColumn>
    <tableColumn id="219" xr3:uid="{360679E1-FE82-4964-9CC8-7E8FC60FE09F}" name="FCDfC" dataDxfId="101" totalsRowDxfId="100">
      <calculatedColumnFormula>BK2/$BK$22</calculatedColumnFormula>
    </tableColumn>
    <tableColumn id="218" xr3:uid="{A3C9375A-5A0D-4A46-81D5-EE55563EF441}" name="FCDfV" dataDxfId="99" totalsRowDxfId="98">
      <calculatedColumnFormula>BL2/$BL$22</calculatedColumnFormula>
    </tableColumn>
    <tableColumn id="217" xr3:uid="{1D61C4DF-9FD0-4047-821B-7CA19192C29D}" name="FCSALDC" dataDxfId="97" totalsRowDxfId="96">
      <calculatedColumnFormula>BR2-BT2</calculatedColumnFormula>
    </tableColumn>
    <tableColumn id="216" xr3:uid="{5796385E-4D5B-40DF-B178-A3AFB6A4B91E}" name="FCSALDV" dataDxfId="95" totalsRowDxfId="94">
      <calculatedColumnFormula>BS2-BU2</calculatedColumnFormula>
    </tableColumn>
    <tableColumn id="72" xr3:uid="{8C8ABE06-DB3E-4F6C-9B61-0CDDCD48F1F4}" name="T5" dataDxfId="93" totalsRowDxfId="92">
      <calculatedColumnFormula>Tabela2[[#This Row],[T]]</calculatedColumnFormula>
    </tableColumn>
    <tableColumn id="73" xr3:uid="{5830C387-0778-47D8-A48D-0970583A2CE9}" name="ODDMC" dataDxfId="91" totalsRowDxfId="90">
      <calculatedColumnFormula>AVERAGEIF($B$237:$B$1469,#REF!,$G$237:$G$1214)</calculatedColumnFormula>
    </tableColumn>
    <tableColumn id="74" xr3:uid="{8984175D-7862-4C55-9822-BCE05203006B}" name="ODDMV" dataDxfId="89" totalsRowDxfId="88">
      <calculatedColumnFormula>AVERAGEIF($C$237:$C$1469,#REF!,$I$237:$I$1214)</calculatedColumnFormula>
    </tableColumn>
    <tableColumn id="75" xr3:uid="{81814E3D-0D10-4C6F-B2F6-FD2A3ECDE74E}" name="DPODDMC" dataDxfId="87" totalsRowDxfId="86">
      <calculatedColumnFormula array="1">_xlfn.STDEV.S(IF($B$237:$B$1469=#REF!,$G$237:$G$1183))</calculatedColumnFormula>
    </tableColumn>
    <tableColumn id="76" xr3:uid="{0D3E2B90-95FD-4F3F-BD44-9B17A9E23A47}" name="DPODDMV" dataDxfId="85" totalsRowDxfId="84">
      <calculatedColumnFormula array="1">_xlfn.STDEV.S(IF($C$237:$C1469=#REF!,$I$237:$I$1183))</calculatedColumnFormula>
    </tableColumn>
    <tableColumn id="77" xr3:uid="{024EC517-76ED-485B-9B86-B2232184DD97}" name="CVODDMC" dataDxfId="83" totalsRowDxfId="82">
      <calculatedColumnFormula>CA2/BY2</calculatedColumnFormula>
    </tableColumn>
    <tableColumn id="78" xr3:uid="{F05D8AEA-645B-450C-A501-D6943AAB541F}" name="CVODDMV" dataDxfId="81" totalsRowDxfId="80">
      <calculatedColumnFormula>CB2/BZ2</calculatedColumnFormula>
    </tableColumn>
    <tableColumn id="86" xr3:uid="{2D145194-66F6-4D8E-8010-5202ED92F7B1}" name="T6" dataDxfId="79" totalsRowDxfId="78">
      <calculatedColumnFormula>Tabela2[[#This Row],[T]]</calculatedColumnFormula>
    </tableColumn>
    <tableColumn id="94" xr3:uid="{637E4B64-3672-4F3B-9294-AEEAF96B6586}" name="WR0,5FTC" dataDxfId="77" totalsRowDxfId="76">
      <calculatedColumnFormula>AVERAGEIF($B$237:$B$1469,#REF!,$W$237:$W$1203)</calculatedColumnFormula>
    </tableColumn>
    <tableColumn id="95" xr3:uid="{02DEBE85-7BBD-4B3E-B953-126A5192FA64}" name="WR0,5FTV" dataDxfId="75" totalsRowDxfId="74">
      <calculatedColumnFormula>AVERAGEIF($C$237:$C$1469,#REF!,$W$237:$W$1203)</calculatedColumnFormula>
    </tableColumn>
    <tableColumn id="96" xr3:uid="{AF627509-203F-4B6D-B854-C8948F28FC4A}" name="WR1,5FTC" dataDxfId="73" totalsRowDxfId="72">
      <calculatedColumnFormula>AVERAGEIF($B$237:$B$1469,#REF!,$X$237:$X$1203)</calculatedColumnFormula>
    </tableColumn>
    <tableColumn id="97" xr3:uid="{91A02F82-9890-493C-B358-63B89CD0142E}" name="WR1,5FTV" dataDxfId="71" totalsRowDxfId="70">
      <calculatedColumnFormula>AVERAGEIF($C$237:$C$1469,#REF!,$X$237:$X$1183)</calculatedColumnFormula>
    </tableColumn>
    <tableColumn id="98" xr3:uid="{20CAFDD6-4F36-486D-9D80-BF214DBE393F}" name="WR2,5FTC" dataDxfId="69" totalsRowDxfId="68">
      <calculatedColumnFormula>AVERAGEIF($B$237:$B$1469,#REF!,$Y$237:$Y$1203)</calculatedColumnFormula>
    </tableColumn>
    <tableColumn id="99" xr3:uid="{5F81FD99-78CA-4E99-AC0D-E774B9192E62}" name="WR2,5FTV" dataDxfId="67" totalsRowDxfId="66">
      <calculatedColumnFormula>AVERAGEIF($C$237:$C$1469,#REF!,$Y$237:$Y$1203)</calculatedColumnFormula>
    </tableColumn>
    <tableColumn id="100" xr3:uid="{196AA2AF-6429-4567-B7E1-F8ACB1616C9A}" name="WR3,5FTC" dataDxfId="65" totalsRowDxfId="64">
      <calculatedColumnFormula>AVERAGEIF($B$237:$B$1469,#REF!,$Z$237:$Z$1203)</calculatedColumnFormula>
    </tableColumn>
    <tableColumn id="101" xr3:uid="{10FE890E-84D9-4176-AA8F-55B795210EA9}" name="WR3,5FTV" dataDxfId="63" totalsRowDxfId="62">
      <calculatedColumnFormula>AVERAGEIF($C$237:$C$1469,#REF!,$Z$237:$Z$1183)</calculatedColumnFormula>
    </tableColumn>
    <tableColumn id="102" xr3:uid="{2DA9E842-2879-46CF-ADD2-B9EF059F1774}" name="WR4,5FTC" dataDxfId="61" totalsRowDxfId="60">
      <calculatedColumnFormula>AVERAGEIF($B$237:$B$1469,#REF!,$AA$237:$AA$1203)</calculatedColumnFormula>
    </tableColumn>
    <tableColumn id="103" xr3:uid="{562DB255-A9A7-43F1-B2F0-82DF23C0815F}" name="WR4,5FTV" dataDxfId="59" totalsRowDxfId="58">
      <calculatedColumnFormula>AVERAGEIF($C$237:$C$1469,#REF!,$AA$237:$AA$1203)</calculatedColumnFormula>
    </tableColumn>
    <tableColumn id="104" xr3:uid="{35DAB99C-5D7C-4C6B-80CC-2A08DEA65C13}" name="WR5,5FTC" dataDxfId="57" totalsRowDxfId="56">
      <calculatedColumnFormula>AVERAGEIF($B$237:$B$1469,#REF!,$AB$2:$AB$414)</calculatedColumnFormula>
    </tableColumn>
    <tableColumn id="105" xr3:uid="{A1508BC1-7C3C-4507-8B84-6FAA9CE1FB1B}" name="WR5,5FTV" dataDxfId="55" totalsRowDxfId="54">
      <calculatedColumnFormula>AVERAGEIF($C$237:$C$1469,#REF!,$AB$237:$AB$1183)</calculatedColumnFormula>
    </tableColumn>
    <tableColumn id="106" xr3:uid="{54592EA5-88D9-4266-BCB3-BFEE294BFC1C}" name="T7" dataDxfId="53" totalsRowDxfId="52">
      <calculatedColumnFormula>Tabela2[[#This Row],[T]]</calculatedColumnFormula>
    </tableColumn>
    <tableColumn id="109" xr3:uid="{1DE79701-29C1-4C76-94D7-1524F05DAF2A}" name="AMBFTC" dataDxfId="51" totalsRowDxfId="50">
      <calculatedColumnFormula>AVERAGEIF($B$237:$B$1469,#REF!,$AC$237:$AC$1240)</calculatedColumnFormula>
    </tableColumn>
    <tableColumn id="110" xr3:uid="{A9794968-ECA6-4E8E-9514-8576C2DD9F7A}" name="AMBFTV" dataDxfId="49" totalsRowDxfId="48">
      <calculatedColumnFormula>AVERAGEIF($C$237:$C$1469,#REF!,$AC$237:$AC$1220)</calculatedColumnFormula>
    </tableColumn>
    <tableColumn id="144" xr3:uid="{B5D020C9-60D0-4CB4-84FF-1539772EE378}" name="T8" dataDxfId="47" totalsRowDxfId="46">
      <calculatedColumnFormula>Tabela2[[#This Row],[T]]</calculatedColumnFormula>
    </tableColumn>
    <tableColumn id="145" xr3:uid="{4E039162-DEA7-41D1-A824-5A03F49B9ADB}" name="PESOGC" dataDxfId="45" totalsRowDxfId="44">
      <calculatedColumnFormula>AVERAGEIF($B$237:$B$1240,#REF!,#REF!)</calculatedColumnFormula>
    </tableColumn>
    <tableColumn id="146" xr3:uid="{5097FF8C-6507-4AE7-9023-57C8DDAFA548}" name="PESOGV" dataDxfId="43" totalsRowDxfId="42">
      <calculatedColumnFormula>AVERAGEIF($C$237:$C$1240,#REF!,#REF!)</calculatedColumnFormula>
    </tableColumn>
    <tableColumn id="8" xr3:uid="{FCAE5C08-5C5F-49F9-87DE-BD27BCE20DF5}" name="DPPGC" dataDxfId="41" totalsRowDxfId="40">
      <calculatedColumnFormula array="1">_xlfn.STDEV.S(IF($B$2:$B$1203=Tabela2[[#This Row],[T]],$L$2:$L$1203))</calculatedColumnFormula>
    </tableColumn>
    <tableColumn id="7" xr3:uid="{469AD8C6-E823-4205-8056-16CB5F53C9C5}" name="DPPGV" dataDxfId="39" totalsRowDxfId="38">
      <calculatedColumnFormula array="1">_xlfn.STDEV.S(IF($C$2:$C$1203=Tabela2[[#This Row],[T]],$M$2:$M$1203))</calculatedColumnFormula>
    </tableColumn>
    <tableColumn id="6" xr3:uid="{40A35427-94E7-4A78-A8BE-47CEDFEF3A50}" name="CVPGC" dataDxfId="37" totalsRowDxfId="36">
      <calculatedColumnFormula>Tabela2[[#This Row],[DPPGC]]/Tabela2[[#This Row],[PESOGC]]</calculatedColumnFormula>
    </tableColumn>
    <tableColumn id="2" xr3:uid="{F5DB50F9-8468-46DB-B908-867125BF53A5}" name="CVPGV" dataDxfId="35" totalsRowDxfId="34">
      <calculatedColumnFormula>Tabela2[[#This Row],[DPPGV]]/Tabela2[[#This Row],[PESOGV]]</calculatedColumnFormula>
    </tableColumn>
    <tableColumn id="18" xr3:uid="{B0E3B444-71AF-47C8-99FD-F35B7BA92562}" name="T9" dataDxfId="33" totalsRowDxfId="32">
      <calculatedColumnFormula>Tabela2[[#This Row],[T]]</calculatedColumnFormula>
    </tableColumn>
    <tableColumn id="33" xr3:uid="{1CCD17C1-1316-4752-8489-C5F20C884093}" name="CUSTGC" dataDxfId="31" totalsRowDxfId="30">
      <calculatedColumnFormula>AVERAGEIF($B$2:$B$1240,Tabela2[[#This Row],[T]],$AO$2:$AO$1205)</calculatedColumnFormula>
    </tableColumn>
    <tableColumn id="16" xr3:uid="{38B8BBB9-61E8-425C-B9F3-81C77409A0AD}" name="CUSTGV" dataDxfId="29" totalsRowDxfId="28">
      <calculatedColumnFormula>AVERAGEIF($C$2:$C$1240,Tabela2[[#This Row],[T]],$AP$2:$AP$1205)</calculatedColumnFormula>
    </tableColumn>
    <tableColumn id="17" xr3:uid="{A9227FC5-5884-4625-A187-A9045268F1CE}" name="DPCGC" dataDxfId="27" totalsRowDxfId="26">
      <calculatedColumnFormula array="1">_xlfn.STDEV.S(IF($B$2:$B$1203=Tabela2[[#This Row],[T]],$AO$2:$AO$1203))</calculatedColumnFormula>
    </tableColumn>
    <tableColumn id="15" xr3:uid="{CB5534FB-0FC9-45CC-AE7E-44D47918C842}" name="DPCGV" dataDxfId="25" totalsRowDxfId="24">
      <calculatedColumnFormula array="1">_xlfn.STDEV.S(IF($C$2:$C$1203=Tabela2[[#This Row],[T]],$AP$2:$AP$1203))</calculatedColumnFormula>
    </tableColumn>
    <tableColumn id="38" xr3:uid="{C870A40A-1853-4001-90C9-98956BA7DF63}" name="CVCGC" dataDxfId="23" totalsRowDxfId="22">
      <calculatedColumnFormula>Tabela2[[#This Row],[DPCGC]]/Tabela2[[#This Row],[CUSTGC]]</calculatedColumnFormula>
    </tableColumn>
    <tableColumn id="9" xr3:uid="{DDD99ECE-5D48-4A82-940B-F22094494BD2}" name="CVCGV" dataDxfId="21" totalsRowDxfId="20">
      <calculatedColumnFormula>Tabela2[[#This Row],[DPCGV]]/Tabela2[[#This Row],[CUSTGV]]</calculatedColumnFormula>
    </tableColumn>
    <tableColumn id="39" xr3:uid="{9DBDE594-14CC-464A-B6B8-30BCE8F18BE5}" name="T10" dataDxfId="19" totalsRowDxfId="18">
      <calculatedColumnFormula>Tabela2[[#This Row],[T]]</calculatedColumnFormula>
    </tableColumn>
    <tableColumn id="147" xr3:uid="{F60A99E3-3E97-44A3-A374-2B74CA9A74A6}" name="MPT*ODDC" dataDxfId="17" totalsRowDxfId="16">
      <calculatedColumnFormula>AR2*BY2</calculatedColumnFormula>
    </tableColumn>
    <tableColumn id="148" xr3:uid="{B7720217-218F-48B2-A944-2DAE30AEC8D4}" name="MPT*ODDV" dataDxfId="15" totalsRowDxfId="14">
      <calculatedColumnFormula>AS2*BZ2</calculatedColumnFormula>
    </tableColumn>
    <tableColumn id="1" xr3:uid="{BEF13C4E-E3B9-4E20-9FE6-E3D014E338F9}" name="T11" dataDxfId="13" totalsRowDxfId="12">
      <calculatedColumnFormula>Tabela2[[#This Row],[T]]</calculatedColumnFormula>
    </tableColumn>
    <tableColumn id="149" xr3:uid="{E9DCE34C-BAEE-411B-A053-3E0F95F57DDA}" name="PLTTBCKC" dataDxfId="11" totalsRowDxfId="10" dataCellStyle="Vírgula">
      <calculatedColumnFormula>SUMIF($B$237:$B$1340,#REF!,$R$237:$R$1240)</calculatedColumnFormula>
    </tableColumn>
    <tableColumn id="150" xr3:uid="{ED401AB7-DF79-45F8-82B3-C671F97D9656}" name="PLTTBCKV" dataDxfId="9" totalsRowDxfId="8">
      <calculatedColumnFormula>SUMIF($C$237:$C$1340,#REF!,$S$237:$S$1240)</calculatedColumnFormula>
    </tableColumn>
    <tableColumn id="177" xr3:uid="{5D9692F9-7870-4215-A3F0-B67D16D952D5}" name="PLEMPC" dataDxfId="7" totalsRowDxfId="6">
      <calculatedColumnFormula>SUMIF($B$237:$B$1240,#REF!,Tabela1[PLEMP])</calculatedColumnFormula>
    </tableColumn>
    <tableColumn id="170" xr3:uid="{335E5DDF-D27C-4F01-9B38-0EA2E8EB38BD}" name="PLEMPV" dataDxfId="5" totalsRowDxfId="4">
      <calculatedColumnFormula>SUMIF($C$237:$C$1240,#REF!,Tabela1[PLEMP])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64A763-FE95-4E21-BCC2-EA9F05C08275}" name="BRA" displayName="BRA" ref="A1:I118" tableType="queryTable" totalsRowShown="0">
  <autoFilter ref="A1:I118" xr:uid="{2A64A763-FE95-4E21-BCC2-EA9F05C08275}"/>
  <tableColumns count="9">
    <tableColumn id="4" xr3:uid="{0FA7DF49-D6B0-4608-A724-9E548BE2B28F}" uniqueName="4" name="Date" queryTableFieldId="4" dataDxfId="3"/>
    <tableColumn id="6" xr3:uid="{E671B770-3594-4E72-8200-83AB4F40C381}" uniqueName="6" name="Home" queryTableFieldId="6" dataDxfId="2"/>
    <tableColumn id="7" xr3:uid="{C3DD3491-969E-45A0-9956-4B0CD53186F7}" uniqueName="7" name="Away" queryTableFieldId="7" dataDxfId="1"/>
    <tableColumn id="8" xr3:uid="{0BC7A4B2-B58E-4AC1-9DE7-51A7DD336079}" uniqueName="8" name="HG" queryTableFieldId="8"/>
    <tableColumn id="9" xr3:uid="{D472B169-6E76-4E08-A672-3E696C65D4EC}" uniqueName="9" name="AG" queryTableFieldId="9"/>
    <tableColumn id="10" xr3:uid="{29BADEFF-49E1-4A65-B6D2-13258071422A}" uniqueName="10" name="Res" queryTableFieldId="10" dataDxfId="0"/>
    <tableColumn id="1" xr3:uid="{EF5250D2-8372-4B46-88E5-D72AA3824AF1}" uniqueName="1" name="B365CH" queryTableFieldId="23"/>
    <tableColumn id="2" xr3:uid="{2C0D12F9-601F-4214-B973-E0611AAB5691}" uniqueName="2" name="B365CD" queryTableFieldId="24"/>
    <tableColumn id="3" xr3:uid="{188DE535-F6F7-415E-86E3-2038F0649F92}" uniqueName="3" name="B365CA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66ABD719-5E92-4202-A653-A6EDC54A0E1F}" sourceName="Date">
  <pivotTables>
    <pivotTable tabId="57" name="Tabela dinâmica1"/>
    <pivotTable tabId="57" name="Tabela dinâmica2"/>
  </pivotTables>
  <state minimalRefreshVersion="6" lastRefreshVersion="6" pivotCacheId="115336688" filterType="unknown">
    <bounds startDate="2026-01-01T00:00:00" endDate="2027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1" xr10:uid="{8E12148E-CE9E-45FA-8E26-D5FCDA528C44}" sourceName="Date">
  <pivotTables>
    <pivotTable tabId="73" name="Tabela dinâmica1"/>
  </pivotTables>
  <state minimalRefreshVersion="6" lastRefreshVersion="6" pivotCacheId="1335048987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5F01371E-8B18-4406-B979-480729A44763}" cache="NativeTimeline_Date" caption="Date" showSelectionLabel="0" level="2" selectionLevel="2" scrollPosition="2026-01-01T00:00:00" style="Estilo de Linha do Tempo 3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42A22486-A9BB-43BD-B458-27AE92990FAD}" cache="NativeTimeline_Date1" caption="Date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?phone=5551980163542&amp;text=Ola.%20Quero%20saber%20mais%20sobre%20as%20planilhas%20Big%20Data%20Bet." TargetMode="External"/><Relationship Id="rId2" Type="http://schemas.openxmlformats.org/officeDocument/2006/relationships/hyperlink" Target="https://t.me/bigdatabet" TargetMode="External"/><Relationship Id="rId1" Type="http://schemas.openxmlformats.org/officeDocument/2006/relationships/hyperlink" Target="https://www.youtube.com/channel/UCDRdIUOsnFXVzYWd-8wTE4Q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support.microsoft.com/pt-br/office/macros-em-office-arquivos-12b036fd-d140-4e74-b45e-16fed1a7e5c6" TargetMode="External"/><Relationship Id="rId4" Type="http://schemas.openxmlformats.org/officeDocument/2006/relationships/hyperlink" Target="https://t.me/LucianoZeidle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E0A3-5314-4216-906F-B637992C25B1}">
  <sheetPr codeName="Planilha2"/>
  <dimension ref="B9:D297"/>
  <sheetViews>
    <sheetView showGridLines="0" topLeftCell="A2" workbookViewId="0">
      <selection activeCell="A2" sqref="A2"/>
    </sheetView>
  </sheetViews>
  <sheetFormatPr defaultRowHeight="15" x14ac:dyDescent="0.25"/>
  <cols>
    <col min="1" max="1" width="9.140625" style="16"/>
    <col min="2" max="2" width="70.7109375" style="16" customWidth="1"/>
    <col min="3" max="16384" width="9.140625" style="16"/>
  </cols>
  <sheetData>
    <row r="9" spans="2:2" x14ac:dyDescent="0.25">
      <c r="B9" s="142" t="s">
        <v>218</v>
      </c>
    </row>
    <row r="11" spans="2:2" x14ac:dyDescent="0.25">
      <c r="B11" s="143" t="s">
        <v>219</v>
      </c>
    </row>
    <row r="13" spans="2:2" x14ac:dyDescent="0.25">
      <c r="B13" s="143" t="s">
        <v>220</v>
      </c>
    </row>
    <row r="15" spans="2:2" x14ac:dyDescent="0.25">
      <c r="B15" s="143"/>
    </row>
    <row r="16" spans="2:2" x14ac:dyDescent="0.25">
      <c r="B16" s="16" t="s">
        <v>221</v>
      </c>
    </row>
    <row r="29" spans="2:2" x14ac:dyDescent="0.25">
      <c r="B29" s="144" t="s">
        <v>222</v>
      </c>
    </row>
    <row r="30" spans="2:2" x14ac:dyDescent="0.25">
      <c r="B30" s="143" t="s">
        <v>223</v>
      </c>
    </row>
    <row r="31" spans="2:2" x14ac:dyDescent="0.25">
      <c r="B31" s="144" t="s">
        <v>302</v>
      </c>
    </row>
    <row r="32" spans="2:2" x14ac:dyDescent="0.25">
      <c r="B32" s="143" t="s">
        <v>224</v>
      </c>
    </row>
    <row r="34" spans="2:2" x14ac:dyDescent="0.25">
      <c r="B34" s="143" t="s">
        <v>225</v>
      </c>
    </row>
    <row r="35" spans="2:2" x14ac:dyDescent="0.25">
      <c r="B35" s="16" t="s">
        <v>226</v>
      </c>
    </row>
    <row r="36" spans="2:2" x14ac:dyDescent="0.25">
      <c r="B36" s="16" t="s">
        <v>227</v>
      </c>
    </row>
    <row r="38" spans="2:2" x14ac:dyDescent="0.25">
      <c r="B38" s="16" t="s">
        <v>228</v>
      </c>
    </row>
    <row r="40" spans="2:2" x14ac:dyDescent="0.25">
      <c r="B40" s="16" t="s">
        <v>229</v>
      </c>
    </row>
    <row r="41" spans="2:2" x14ac:dyDescent="0.25">
      <c r="B41" s="16" t="s">
        <v>328</v>
      </c>
    </row>
    <row r="42" spans="2:2" x14ac:dyDescent="0.25">
      <c r="B42" s="16" t="s">
        <v>303</v>
      </c>
    </row>
    <row r="43" spans="2:2" x14ac:dyDescent="0.25">
      <c r="B43" s="16" t="s">
        <v>329</v>
      </c>
    </row>
    <row r="44" spans="2:2" x14ac:dyDescent="0.25">
      <c r="B44" s="16" t="s">
        <v>330</v>
      </c>
    </row>
    <row r="45" spans="2:2" x14ac:dyDescent="0.25">
      <c r="B45" s="16" t="s">
        <v>331</v>
      </c>
    </row>
    <row r="46" spans="2:2" x14ac:dyDescent="0.25">
      <c r="B46" s="16" t="s">
        <v>230</v>
      </c>
    </row>
    <row r="47" spans="2:2" x14ac:dyDescent="0.25">
      <c r="B47" s="16" t="s">
        <v>231</v>
      </c>
    </row>
    <row r="48" spans="2:2" x14ac:dyDescent="0.25">
      <c r="B48" s="16" t="s">
        <v>232</v>
      </c>
    </row>
    <row r="49" spans="2:2" x14ac:dyDescent="0.25">
      <c r="B49" s="16" t="s">
        <v>304</v>
      </c>
    </row>
    <row r="50" spans="2:2" x14ac:dyDescent="0.25">
      <c r="B50" s="16" t="s">
        <v>233</v>
      </c>
    </row>
    <row r="51" spans="2:2" x14ac:dyDescent="0.25">
      <c r="B51" s="16" t="s">
        <v>234</v>
      </c>
    </row>
    <row r="52" spans="2:2" x14ac:dyDescent="0.25">
      <c r="B52" s="16" t="s">
        <v>283</v>
      </c>
    </row>
    <row r="53" spans="2:2" x14ac:dyDescent="0.25">
      <c r="B53" s="16" t="s">
        <v>332</v>
      </c>
    </row>
    <row r="54" spans="2:2" x14ac:dyDescent="0.25">
      <c r="B54" s="16" t="s">
        <v>341</v>
      </c>
    </row>
    <row r="55" spans="2:2" x14ac:dyDescent="0.25">
      <c r="B55" s="16" t="s">
        <v>342</v>
      </c>
    </row>
    <row r="56" spans="2:2" x14ac:dyDescent="0.25">
      <c r="B56" s="16" t="s">
        <v>343</v>
      </c>
    </row>
    <row r="57" spans="2:2" x14ac:dyDescent="0.25">
      <c r="B57" s="16" t="s">
        <v>344</v>
      </c>
    </row>
    <row r="59" spans="2:2" x14ac:dyDescent="0.25">
      <c r="B59" s="229"/>
    </row>
    <row r="60" spans="2:2" x14ac:dyDescent="0.25">
      <c r="B60" s="16" t="s">
        <v>305</v>
      </c>
    </row>
    <row r="61" spans="2:2" x14ac:dyDescent="0.25">
      <c r="B61" s="16" t="s">
        <v>284</v>
      </c>
    </row>
    <row r="62" spans="2:2" x14ac:dyDescent="0.25">
      <c r="B62" s="12"/>
    </row>
    <row r="63" spans="2:2" x14ac:dyDescent="0.25">
      <c r="B63" s="16" t="s">
        <v>333</v>
      </c>
    </row>
    <row r="64" spans="2:2" x14ac:dyDescent="0.25">
      <c r="B64" s="229">
        <v>44985</v>
      </c>
    </row>
    <row r="65" spans="2:2" x14ac:dyDescent="0.25">
      <c r="B65" s="12" t="s">
        <v>345</v>
      </c>
    </row>
    <row r="66" spans="2:2" x14ac:dyDescent="0.25">
      <c r="B66" s="12" t="s">
        <v>334</v>
      </c>
    </row>
    <row r="67" spans="2:2" x14ac:dyDescent="0.25">
      <c r="B67" s="12" t="s">
        <v>335</v>
      </c>
    </row>
    <row r="68" spans="2:2" x14ac:dyDescent="0.25">
      <c r="B68" s="12" t="s">
        <v>336</v>
      </c>
    </row>
    <row r="69" spans="2:2" x14ac:dyDescent="0.25">
      <c r="B69" s="12" t="s">
        <v>337</v>
      </c>
    </row>
    <row r="70" spans="2:2" x14ac:dyDescent="0.25">
      <c r="B70" s="12" t="s">
        <v>338</v>
      </c>
    </row>
    <row r="71" spans="2:2" x14ac:dyDescent="0.25">
      <c r="B71" s="236">
        <v>44869</v>
      </c>
    </row>
    <row r="72" spans="2:2" x14ac:dyDescent="0.25">
      <c r="B72" s="16" t="s">
        <v>339</v>
      </c>
    </row>
    <row r="73" spans="2:2" x14ac:dyDescent="0.25">
      <c r="B73" s="236">
        <v>44846</v>
      </c>
    </row>
    <row r="74" spans="2:2" x14ac:dyDescent="0.25">
      <c r="B74" s="16" t="s">
        <v>300</v>
      </c>
    </row>
    <row r="75" spans="2:2" x14ac:dyDescent="0.25">
      <c r="B75" s="236">
        <v>44791</v>
      </c>
    </row>
    <row r="76" spans="2:2" x14ac:dyDescent="0.25">
      <c r="B76" s="16" t="s">
        <v>278</v>
      </c>
    </row>
    <row r="77" spans="2:2" x14ac:dyDescent="0.25">
      <c r="B77" s="16" t="s">
        <v>279</v>
      </c>
    </row>
    <row r="78" spans="2:2" x14ac:dyDescent="0.25">
      <c r="B78" s="16" t="s">
        <v>280</v>
      </c>
    </row>
    <row r="79" spans="2:2" x14ac:dyDescent="0.25">
      <c r="B79" s="16" t="s">
        <v>281</v>
      </c>
    </row>
    <row r="80" spans="2:2" x14ac:dyDescent="0.25">
      <c r="B80" s="16" t="s">
        <v>282</v>
      </c>
    </row>
    <row r="81" spans="2:2" x14ac:dyDescent="0.25">
      <c r="B81" s="16" t="s">
        <v>306</v>
      </c>
    </row>
    <row r="82" spans="2:2" x14ac:dyDescent="0.25">
      <c r="B82" s="236">
        <v>44770</v>
      </c>
    </row>
    <row r="83" spans="2:2" x14ac:dyDescent="0.25">
      <c r="B83" s="16" t="s">
        <v>259</v>
      </c>
    </row>
    <row r="84" spans="2:2" x14ac:dyDescent="0.25">
      <c r="B84" s="16" t="s">
        <v>258</v>
      </c>
    </row>
    <row r="85" spans="2:2" x14ac:dyDescent="0.25">
      <c r="B85" s="236">
        <v>44697</v>
      </c>
    </row>
    <row r="86" spans="2:2" x14ac:dyDescent="0.25">
      <c r="B86" s="16" t="s">
        <v>235</v>
      </c>
    </row>
    <row r="87" spans="2:2" x14ac:dyDescent="0.25">
      <c r="B87" s="236">
        <v>44696</v>
      </c>
    </row>
    <row r="88" spans="2:2" x14ac:dyDescent="0.25">
      <c r="B88" s="16" t="s">
        <v>236</v>
      </c>
    </row>
    <row r="89" spans="2:2" x14ac:dyDescent="0.25">
      <c r="B89" s="236">
        <v>44674</v>
      </c>
    </row>
    <row r="90" spans="2:2" x14ac:dyDescent="0.25">
      <c r="B90" s="16" t="s">
        <v>237</v>
      </c>
    </row>
    <row r="91" spans="2:2" x14ac:dyDescent="0.25">
      <c r="B91" s="236">
        <v>44673</v>
      </c>
    </row>
    <row r="92" spans="2:2" x14ac:dyDescent="0.25">
      <c r="B92" s="16" t="s">
        <v>238</v>
      </c>
    </row>
    <row r="93" spans="2:2" x14ac:dyDescent="0.25">
      <c r="B93" s="236">
        <v>44655</v>
      </c>
    </row>
    <row r="94" spans="2:2" x14ac:dyDescent="0.25">
      <c r="B94" s="16" t="s">
        <v>239</v>
      </c>
    </row>
    <row r="95" spans="2:2" x14ac:dyDescent="0.25">
      <c r="B95" s="236">
        <v>44640</v>
      </c>
    </row>
    <row r="96" spans="2:2" x14ac:dyDescent="0.25">
      <c r="B96" s="16" t="s">
        <v>240</v>
      </c>
    </row>
    <row r="97" spans="2:2" x14ac:dyDescent="0.25">
      <c r="B97" s="236">
        <v>44639</v>
      </c>
    </row>
    <row r="98" spans="2:2" x14ac:dyDescent="0.25">
      <c r="B98" s="16" t="s">
        <v>241</v>
      </c>
    </row>
    <row r="99" spans="2:2" x14ac:dyDescent="0.25">
      <c r="B99" s="236">
        <v>44621</v>
      </c>
    </row>
    <row r="100" spans="2:2" x14ac:dyDescent="0.25">
      <c r="B100" s="16" t="s">
        <v>242</v>
      </c>
    </row>
    <row r="101" spans="2:2" x14ac:dyDescent="0.25">
      <c r="B101" s="236">
        <v>44611</v>
      </c>
    </row>
    <row r="102" spans="2:2" x14ac:dyDescent="0.25">
      <c r="B102" s="16" t="s">
        <v>243</v>
      </c>
    </row>
    <row r="103" spans="2:2" x14ac:dyDescent="0.25">
      <c r="B103" s="236">
        <v>44563</v>
      </c>
    </row>
    <row r="104" spans="2:2" x14ac:dyDescent="0.25">
      <c r="B104" s="16" t="s">
        <v>244</v>
      </c>
    </row>
    <row r="105" spans="2:2" x14ac:dyDescent="0.25">
      <c r="B105" s="236">
        <v>44480</v>
      </c>
    </row>
    <row r="106" spans="2:2" x14ac:dyDescent="0.25">
      <c r="B106" s="16" t="s">
        <v>245</v>
      </c>
    </row>
    <row r="107" spans="2:2" x14ac:dyDescent="0.25">
      <c r="B107" s="236">
        <v>44336</v>
      </c>
    </row>
    <row r="108" spans="2:2" x14ac:dyDescent="0.25">
      <c r="B108" s="16" t="s">
        <v>246</v>
      </c>
    </row>
    <row r="109" spans="2:2" x14ac:dyDescent="0.25">
      <c r="B109" s="236"/>
    </row>
    <row r="111" spans="2:2" x14ac:dyDescent="0.25">
      <c r="B111" s="236"/>
    </row>
    <row r="297" spans="4:4" x14ac:dyDescent="0.25">
      <c r="D297" s="16" t="s">
        <v>247</v>
      </c>
    </row>
  </sheetData>
  <hyperlinks>
    <hyperlink ref="B11" r:id="rId1" xr:uid="{A2221E76-ED8F-4510-91B0-01E3ECCA638B}"/>
    <hyperlink ref="B13" r:id="rId2" xr:uid="{9B3F7444-9779-4E02-8CC3-258272E1FF4B}"/>
    <hyperlink ref="B30" r:id="rId3" xr:uid="{7812F148-5DAB-4A6D-83A5-1F2BE581D221}"/>
    <hyperlink ref="B32" r:id="rId4" xr:uid="{A8D4B624-38F1-458C-8F39-E74451A016B2}"/>
    <hyperlink ref="B34" r:id="rId5" xr:uid="{A62ED696-2326-4DAD-ABB2-12F10A2D4554}"/>
  </hyperlinks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3FB2-B801-4C15-97F5-341D64EAC6BD}">
  <sheetPr codeName="Planilha3"/>
  <dimension ref="A1:AQ108"/>
  <sheetViews>
    <sheetView showGridLines="0" tabSelected="1" zoomScale="130" zoomScaleNormal="130" workbookViewId="0">
      <selection activeCell="P31" sqref="P31"/>
    </sheetView>
  </sheetViews>
  <sheetFormatPr defaultRowHeight="15" x14ac:dyDescent="0.25"/>
  <cols>
    <col min="1" max="1" width="18" style="5" bestFit="1" customWidth="1"/>
    <col min="2" max="2" width="15.140625" style="5" bestFit="1" customWidth="1"/>
    <col min="3" max="3" width="15" style="5" bestFit="1" customWidth="1"/>
    <col min="4" max="4" width="15.28515625" style="5" bestFit="1" customWidth="1"/>
    <col min="5" max="5" width="13.42578125" style="5" bestFit="1" customWidth="1"/>
    <col min="6" max="6" width="13.5703125" style="5" bestFit="1" customWidth="1"/>
    <col min="7" max="7" width="17" style="5" bestFit="1" customWidth="1"/>
    <col min="8" max="9" width="17.28515625" style="5" bestFit="1" customWidth="1"/>
    <col min="10" max="10" width="17.42578125" style="5" bestFit="1" customWidth="1"/>
    <col min="11" max="11" width="16.28515625" style="5" bestFit="1" customWidth="1"/>
    <col min="12" max="12" width="21.140625" style="5" bestFit="1" customWidth="1"/>
    <col min="13" max="14" width="14" style="5" bestFit="1" customWidth="1"/>
    <col min="15" max="15" width="14.140625" style="5" bestFit="1" customWidth="1"/>
    <col min="16" max="16" width="18.140625" style="5" bestFit="1" customWidth="1"/>
    <col min="17" max="17" width="18.28515625" style="5" bestFit="1" customWidth="1"/>
    <col min="18" max="19" width="14.7109375" style="5" bestFit="1" customWidth="1"/>
    <col min="20" max="21" width="17.7109375" style="5" bestFit="1" customWidth="1"/>
    <col min="22" max="22" width="15.140625" style="5" bestFit="1" customWidth="1"/>
    <col min="23" max="26" width="14.5703125" style="5" bestFit="1" customWidth="1"/>
    <col min="27" max="27" width="18.85546875" style="5" bestFit="1" customWidth="1"/>
    <col min="28" max="28" width="13.42578125" style="5" bestFit="1" customWidth="1"/>
    <col min="29" max="29" width="18.85546875" style="5" bestFit="1" customWidth="1"/>
    <col min="30" max="30" width="18.140625" style="5" bestFit="1" customWidth="1"/>
    <col min="31" max="31" width="16.5703125" style="5" bestFit="1" customWidth="1"/>
    <col min="32" max="32" width="14.5703125" style="5" bestFit="1" customWidth="1"/>
    <col min="33" max="33" width="14.42578125" style="5" bestFit="1" customWidth="1"/>
    <col min="34" max="34" width="14.5703125" style="5" bestFit="1" customWidth="1"/>
    <col min="35" max="35" width="19.42578125" style="5" bestFit="1" customWidth="1"/>
    <col min="36" max="36" width="19.5703125" style="5" bestFit="1" customWidth="1"/>
    <col min="37" max="37" width="16.85546875" style="5" bestFit="1" customWidth="1"/>
    <col min="38" max="38" width="17" style="5" bestFit="1" customWidth="1"/>
    <col min="39" max="39" width="18" style="5" bestFit="1" customWidth="1"/>
    <col min="40" max="40" width="18.140625" style="5" bestFit="1" customWidth="1"/>
    <col min="41" max="42" width="13.28515625" style="5" bestFit="1" customWidth="1"/>
    <col min="43" max="43" width="15.140625" style="5" bestFit="1" customWidth="1"/>
    <col min="44" max="16384" width="9.140625" style="5"/>
  </cols>
  <sheetData>
    <row r="1" spans="2:10" ht="16.5" thickBot="1" x14ac:dyDescent="0.3">
      <c r="B1" s="16"/>
      <c r="C1" s="133" t="s">
        <v>364</v>
      </c>
      <c r="D1" s="29" t="str">
        <f>A53</f>
        <v>Athletico-PR</v>
      </c>
      <c r="E1" s="29" t="str">
        <f>A82</f>
        <v>Athletico-PR</v>
      </c>
      <c r="F1" s="29" t="s">
        <v>90</v>
      </c>
      <c r="G1" s="28"/>
      <c r="H1" s="29" t="s">
        <v>131</v>
      </c>
      <c r="I1" s="28"/>
      <c r="J1" s="28"/>
    </row>
    <row r="2" spans="2:10" ht="16.5" thickBot="1" x14ac:dyDescent="0.35">
      <c r="B2" s="16"/>
      <c r="C2" s="28" t="s">
        <v>89</v>
      </c>
      <c r="D2" s="30">
        <v>3.4</v>
      </c>
      <c r="E2" s="31">
        <v>2.4</v>
      </c>
      <c r="F2" s="139">
        <v>3.3</v>
      </c>
      <c r="G2" s="40" t="s">
        <v>213</v>
      </c>
      <c r="H2" s="140">
        <f>(100/D2)+(100/E2)+(100/F2)-100</f>
        <v>1.3814616755793452</v>
      </c>
      <c r="I2" s="28"/>
      <c r="J2" s="28"/>
    </row>
    <row r="3" spans="2:10" ht="15.75" x14ac:dyDescent="0.3">
      <c r="B3" s="16"/>
      <c r="C3" s="28" t="s">
        <v>91</v>
      </c>
      <c r="D3" s="32">
        <f>IFERROR(1/((A29+B33)/2),"N/D")</f>
        <v>2.0172413793103448</v>
      </c>
      <c r="E3" s="32">
        <f>IFERROR(1/((B29+A33)/2),"N/D")</f>
        <v>4.1785714285714288</v>
      </c>
      <c r="F3" s="32">
        <f>IFERROR(1/((A31+B31)/2),"N/D")</f>
        <v>3.7741935483870965</v>
      </c>
      <c r="G3" s="41" t="s">
        <v>214</v>
      </c>
      <c r="H3" s="18">
        <v>100</v>
      </c>
      <c r="I3" s="28"/>
      <c r="J3" s="28"/>
    </row>
    <row r="4" spans="2:10" ht="16.5" thickBot="1" x14ac:dyDescent="0.35">
      <c r="B4" s="16"/>
      <c r="C4" s="28" t="s">
        <v>134</v>
      </c>
      <c r="D4" s="19">
        <f>IFERROR((D2/D3)-1,"N/D")</f>
        <v>0.68547008547008548</v>
      </c>
      <c r="E4" s="19">
        <f>IFERROR((E2/E3)-1,"N/D")</f>
        <v>-0.42564102564102568</v>
      </c>
      <c r="F4" s="20">
        <f>IFERROR((F2/F3)-1,"N/D")</f>
        <v>-0.12564102564102564</v>
      </c>
      <c r="G4" s="151" t="s">
        <v>215</v>
      </c>
      <c r="H4" s="20">
        <f>-H2</f>
        <v>-1.3814616755793452</v>
      </c>
      <c r="I4" s="28"/>
      <c r="J4" s="28"/>
    </row>
    <row r="5" spans="2:10" ht="15.75" thickBot="1" x14ac:dyDescent="0.3">
      <c r="B5" s="16"/>
      <c r="C5" s="53" t="s">
        <v>92</v>
      </c>
      <c r="D5" s="18">
        <f>SUMIF(A53:A73,A53,P53:P73)</f>
        <v>6</v>
      </c>
      <c r="E5" s="54">
        <f>SUMIF(A82:A102,A82,Q82:Q102)</f>
        <v>6</v>
      </c>
      <c r="F5" s="55" t="s">
        <v>143</v>
      </c>
      <c r="G5" s="21">
        <f>D5+E5</f>
        <v>12</v>
      </c>
      <c r="H5" s="28"/>
      <c r="I5" s="28"/>
      <c r="J5" s="28"/>
    </row>
    <row r="6" spans="2:10" ht="15.75" thickBot="1" x14ac:dyDescent="0.3">
      <c r="B6" s="16"/>
      <c r="C6" s="56" t="s">
        <v>132</v>
      </c>
      <c r="D6" s="57" t="s">
        <v>72</v>
      </c>
      <c r="E6" s="57" t="s">
        <v>113</v>
      </c>
      <c r="F6" s="58" t="s">
        <v>111</v>
      </c>
      <c r="G6" s="33" t="s">
        <v>142</v>
      </c>
      <c r="H6" s="33" t="s">
        <v>124</v>
      </c>
      <c r="I6" s="28"/>
      <c r="J6" s="28"/>
    </row>
    <row r="7" spans="2:10" ht="15.75" thickBot="1" x14ac:dyDescent="0.3">
      <c r="B7" s="16"/>
      <c r="C7" s="36" t="s">
        <v>133</v>
      </c>
      <c r="D7" s="32">
        <f>(A35+B37)/2</f>
        <v>1.5726495726495726</v>
      </c>
      <c r="E7" s="32">
        <f>(B35+A37)/2</f>
        <v>1.0512820512820513</v>
      </c>
      <c r="F7" s="59">
        <f>D7+E7</f>
        <v>2.6239316239316239</v>
      </c>
      <c r="G7" s="34" t="s">
        <v>135</v>
      </c>
      <c r="H7" s="35">
        <f>GETPIVOTDATA("Média de ODDC",$A$52)</f>
        <v>2.2068376068376061</v>
      </c>
      <c r="I7" s="28"/>
      <c r="J7" s="28"/>
    </row>
    <row r="8" spans="2:10" x14ac:dyDescent="0.25">
      <c r="B8" s="16"/>
      <c r="C8" s="36" t="s">
        <v>110</v>
      </c>
      <c r="D8" s="22">
        <f>((C29+D31)/2)-((C35+D37)/2)</f>
        <v>5.9331328555849883E-2</v>
      </c>
      <c r="E8" s="23">
        <f>((D29+C31)/2)-((D35+C37)/2)</f>
        <v>0.10748305794888124</v>
      </c>
      <c r="F8" s="60">
        <f>(D8+E8)/2</f>
        <v>8.3407193252365563E-2</v>
      </c>
      <c r="G8" s="36" t="s">
        <v>136</v>
      </c>
      <c r="H8" s="37">
        <f>GETPIVOTDATA("Média de ODDV",$A$81)</f>
        <v>4.2301709401709404</v>
      </c>
      <c r="I8" s="28"/>
      <c r="J8" s="28"/>
    </row>
    <row r="9" spans="2:10" ht="15.75" thickBot="1" x14ac:dyDescent="0.3">
      <c r="B9" s="16"/>
      <c r="C9" s="36" t="s">
        <v>109</v>
      </c>
      <c r="D9" s="24">
        <f>((E29+F31)/2)-((E35+F37)/2)</f>
        <v>1.1417668120132785E-2</v>
      </c>
      <c r="E9" s="20">
        <f>((F29+E31)/2)-((F35+E37)/2)</f>
        <v>-1.3193754092840737E-2</v>
      </c>
      <c r="F9" s="61">
        <f>(D9+E9)/2</f>
        <v>-8.8804298635397627E-4</v>
      </c>
      <c r="G9" s="36" t="s">
        <v>137</v>
      </c>
      <c r="H9" s="37">
        <f>(GETPIVOTDATA("Média de ODDE",$A$52)+GETPIVOTDATA("Média de ODDE",$A$81))/2</f>
        <v>3.4776068376068379</v>
      </c>
      <c r="I9" s="28"/>
      <c r="J9" s="28"/>
    </row>
    <row r="10" spans="2:10" ht="15.75" thickBot="1" x14ac:dyDescent="0.3">
      <c r="B10" s="16"/>
      <c r="C10" s="36" t="s">
        <v>112</v>
      </c>
      <c r="D10" s="25">
        <f>(D8+D9)/2</f>
        <v>3.5374498337991334E-2</v>
      </c>
      <c r="E10" s="26">
        <f>(E8+E9)/2</f>
        <v>4.7144651928020254E-2</v>
      </c>
      <c r="F10" s="148">
        <f>(F8+F9)/2</f>
        <v>4.1259575133005794E-2</v>
      </c>
      <c r="G10" s="149"/>
      <c r="H10" s="150"/>
      <c r="I10" s="33" t="s">
        <v>141</v>
      </c>
      <c r="J10" s="28"/>
    </row>
    <row r="11" spans="2:10" ht="15.75" x14ac:dyDescent="0.3">
      <c r="B11" s="16"/>
      <c r="C11" s="36" t="s">
        <v>121</v>
      </c>
      <c r="D11" s="39">
        <f>GETPIVOTDATA("Média de 0,5FT",$A$52)</f>
        <v>0.94871794871794868</v>
      </c>
      <c r="E11" s="39">
        <f>GETPIVOTDATA("Média de 0,5FT",$A$81)</f>
        <v>0.94871794871794868</v>
      </c>
      <c r="F11" s="62">
        <f>((D11*D5)+(E11*E5))/(G5*2)*2</f>
        <v>0.94871794871794857</v>
      </c>
      <c r="G11" s="36" t="s">
        <v>138</v>
      </c>
      <c r="H11" s="66">
        <f>G31</f>
        <v>-1.8399999999999967</v>
      </c>
      <c r="I11" s="40">
        <f>H11/GETPIVOTDATA("Contagem de FAVC",$A$52)</f>
        <v>-4.4552058111380069E-3</v>
      </c>
      <c r="J11" s="28"/>
    </row>
    <row r="12" spans="2:10" ht="15.75" x14ac:dyDescent="0.3">
      <c r="B12" s="16"/>
      <c r="C12" s="36" t="s">
        <v>117</v>
      </c>
      <c r="D12" s="39">
        <f>GETPIVOTDATA("Média de 1,5FT",$A$52)</f>
        <v>0.77777777777777779</v>
      </c>
      <c r="E12" s="39">
        <f>GETPIVOTDATA("Média de 1,5FT",$A$81)</f>
        <v>0.77777777777777779</v>
      </c>
      <c r="F12" s="62">
        <f>((D12*D5)+(E12*E5))/(G5*2)*2</f>
        <v>0.77777777777777779</v>
      </c>
      <c r="G12" s="36" t="s">
        <v>139</v>
      </c>
      <c r="H12" s="66">
        <f>GETPIVOTDATA("Soma de PLBACKV",$A$81)</f>
        <v>-19.850000000000001</v>
      </c>
      <c r="I12" s="41">
        <f>H12/GETPIVOTDATA("Contagem de FAVV",$A$81)</f>
        <v>-4.8062953995157386E-2</v>
      </c>
      <c r="J12" s="28"/>
    </row>
    <row r="13" spans="2:10" ht="16.5" thickBot="1" x14ac:dyDescent="0.35">
      <c r="B13" s="16"/>
      <c r="C13" s="36" t="s">
        <v>118</v>
      </c>
      <c r="D13" s="39">
        <f>GETPIVOTDATA("Média de 2,5FT",$A$52)</f>
        <v>0.47863247863247865</v>
      </c>
      <c r="E13" s="39">
        <f>GETPIVOTDATA("Média de 2,5FT",$A$81)</f>
        <v>0.47863247863247865</v>
      </c>
      <c r="F13" s="63">
        <f>((D13*D5)+(E13*E5))/(G5*2)*2</f>
        <v>0.47863247863247865</v>
      </c>
      <c r="G13" s="38" t="s">
        <v>140</v>
      </c>
      <c r="H13" s="67">
        <f>(G33+G35)/2</f>
        <v>-12.7</v>
      </c>
      <c r="I13" s="42">
        <f>H13/((GETPIVOTDATA("Contagem de FAVC",$A$52)+GETPIVOTDATA("Contagem de FAVV",$A$81))/2)</f>
        <v>-3.0750605326876512E-2</v>
      </c>
      <c r="J13" s="28"/>
    </row>
    <row r="14" spans="2:10" ht="16.5" thickBot="1" x14ac:dyDescent="0.35">
      <c r="B14" s="16"/>
      <c r="C14" s="36" t="s">
        <v>119</v>
      </c>
      <c r="D14" s="39">
        <f>GETPIVOTDATA("Média de 3,5FT",$A$52)</f>
        <v>0.21367521367521367</v>
      </c>
      <c r="E14" s="39">
        <f>GETPIVOTDATA("Média de 3,5FT",$A$81)</f>
        <v>0.21367521367521367</v>
      </c>
      <c r="F14" s="62">
        <f>((D14*D5)+(E14*E5))/(G5*2)*2</f>
        <v>0.21367521367521367</v>
      </c>
      <c r="G14" s="137" t="s">
        <v>210</v>
      </c>
      <c r="H14" s="27"/>
      <c r="I14" s="52"/>
      <c r="J14" s="28"/>
    </row>
    <row r="15" spans="2:10" x14ac:dyDescent="0.25">
      <c r="B15" s="16"/>
      <c r="C15" s="36" t="s">
        <v>120</v>
      </c>
      <c r="D15" s="39">
        <f>GETPIVOTDATA("Média de AMBFT",$A$52)</f>
        <v>0.5641025641025641</v>
      </c>
      <c r="E15" s="39">
        <f>GETPIVOTDATA("Média de AMBFT",$A$81)</f>
        <v>0.5641025641025641</v>
      </c>
      <c r="F15" s="63">
        <f>((D15*D5)+(E15*E5))/(G5*2)*2</f>
        <v>0.5641025641025641</v>
      </c>
      <c r="G15" s="34" t="s">
        <v>120</v>
      </c>
      <c r="H15" s="141">
        <f>1/((D15+E15)/2)</f>
        <v>1.7727272727272727</v>
      </c>
      <c r="I15" s="152" t="s">
        <v>252</v>
      </c>
      <c r="J15" s="28"/>
    </row>
    <row r="16" spans="2:10" ht="15.75" x14ac:dyDescent="0.25">
      <c r="B16" s="16"/>
      <c r="C16" s="36" t="s">
        <v>122</v>
      </c>
      <c r="D16" s="39">
        <f>GETPIVOTDATA("Média de GOLEAC",$A$52)</f>
        <v>6.8376068376068383E-2</v>
      </c>
      <c r="E16" s="39">
        <f>GETPIVOTDATA("Média de GOLEAC",$A$81)</f>
        <v>6.8376068376068383E-2</v>
      </c>
      <c r="F16" s="62">
        <f>((D16*D5)+(E16*E5))/(G5*2)*2</f>
        <v>6.8376068376068383E-2</v>
      </c>
      <c r="G16" s="36" t="s">
        <v>211</v>
      </c>
      <c r="H16" s="61">
        <f>1/((D12+E12)/2)</f>
        <v>1.2857142857142856</v>
      </c>
      <c r="I16" s="153">
        <f>COUNT(BDBRA1!D2:D1094)</f>
        <v>117</v>
      </c>
      <c r="J16" s="28"/>
    </row>
    <row r="17" spans="1:10" ht="15.75" thickBot="1" x14ac:dyDescent="0.3">
      <c r="B17" s="17"/>
      <c r="C17" s="38" t="s">
        <v>123</v>
      </c>
      <c r="D17" s="64">
        <f>GETPIVOTDATA("Média de GOLEAV",$A$52)</f>
        <v>1.7094017094017096E-2</v>
      </c>
      <c r="E17" s="64">
        <f>GETPIVOTDATA("Média de GOLEAV",$A$81)</f>
        <v>1.7094017094017096E-2</v>
      </c>
      <c r="F17" s="65">
        <f>((D17*D5)+(E17*E5))/(G5*2)*2</f>
        <v>1.7094017094017096E-2</v>
      </c>
      <c r="G17" s="38" t="s">
        <v>212</v>
      </c>
      <c r="H17" s="136">
        <f>1/((D13+E13)/2)</f>
        <v>2.0892857142857144</v>
      </c>
      <c r="I17" s="154"/>
      <c r="J17" s="28"/>
    </row>
    <row r="18" spans="1:10" ht="15.75" thickBot="1" x14ac:dyDescent="0.3">
      <c r="B18" s="16"/>
      <c r="C18" s="28"/>
      <c r="D18" s="28"/>
      <c r="E18" s="28"/>
      <c r="F18" s="33" t="s">
        <v>209</v>
      </c>
      <c r="G18" s="28"/>
      <c r="H18" s="27"/>
      <c r="I18" s="28"/>
      <c r="J18" s="28"/>
    </row>
    <row r="19" spans="1:10" x14ac:dyDescent="0.25">
      <c r="B19" s="16"/>
      <c r="C19" s="134" t="s">
        <v>207</v>
      </c>
      <c r="D19" s="138">
        <f>GETPIVOTDATA("Média de PTC",$A$52)</f>
        <v>1.7521367521367521</v>
      </c>
      <c r="E19" s="138">
        <f>GETPIVOTDATA("Média de PTV",$A$81)</f>
        <v>0.98290598290598286</v>
      </c>
      <c r="F19" s="141">
        <f>(BDBRA1!AR22+BDBRA1!AS22)/2</f>
        <v>1.3746428571428568</v>
      </c>
      <c r="G19" s="18"/>
      <c r="H19" s="18"/>
      <c r="I19" s="28"/>
      <c r="J19" s="28"/>
    </row>
    <row r="20" spans="1:10" x14ac:dyDescent="0.25">
      <c r="B20" s="16"/>
      <c r="C20" s="36" t="s">
        <v>208</v>
      </c>
      <c r="D20" s="20">
        <f>GETPIVOTDATA("Média de PESOPTC",$A$52)</f>
        <v>3.5661538461538456</v>
      </c>
      <c r="E20" s="20">
        <f>GETPIVOTDATA("Média de PESOPTV",$A$81)</f>
        <v>3.485042735042736</v>
      </c>
      <c r="F20" s="135">
        <f ca="1">(BDBRA1!DJ22+BDBRA1!DK22)/2</f>
        <v>3.7633580286281179</v>
      </c>
      <c r="G20" s="28"/>
      <c r="H20" s="28"/>
      <c r="I20" s="28"/>
      <c r="J20" s="28"/>
    </row>
    <row r="21" spans="1:10" x14ac:dyDescent="0.25">
      <c r="B21" s="17"/>
      <c r="C21" s="36" t="s">
        <v>202</v>
      </c>
      <c r="D21" s="20">
        <f>GETPIVOTDATA("Média de GC/ODDV",$A$52)</f>
        <v>0.41567657713659606</v>
      </c>
      <c r="E21" s="20">
        <f>GETPIVOTDATA("Média de GV/ODDC",$A$81)</f>
        <v>0.47714790076011021</v>
      </c>
      <c r="F21" s="135">
        <f ca="1">(BDBRA1!CV22+BDBRA1!CW22)/2</f>
        <v>0.44901813418299891</v>
      </c>
      <c r="G21" s="18"/>
      <c r="H21" s="18"/>
      <c r="I21" s="28"/>
      <c r="J21" s="28"/>
    </row>
    <row r="22" spans="1:10" ht="15.75" thickBot="1" x14ac:dyDescent="0.3">
      <c r="B22" s="18"/>
      <c r="C22" s="38" t="s">
        <v>285</v>
      </c>
      <c r="D22" s="156">
        <f>GETPIVOTDATA("Média de CustGC",$A$52)</f>
        <v>0.44215448886555841</v>
      </c>
      <c r="E22" s="156">
        <f>GETPIVOTDATA("Média de CustGV",$A$81)</f>
        <v>0.47176409003286285</v>
      </c>
      <c r="F22" s="146">
        <f ca="1">(Tabela2[[#This Row],[CUSTGC]]+Tabela2[[#This Row],[CUSTGV]])/2</f>
        <v>0.45374418202750444</v>
      </c>
      <c r="G22" s="18"/>
      <c r="H22" s="18"/>
      <c r="I22" s="28"/>
      <c r="J22" s="28"/>
    </row>
    <row r="23" spans="1:10" x14ac:dyDescent="0.25">
      <c r="B23" s="17"/>
      <c r="C23" s="155"/>
      <c r="D23" s="20"/>
      <c r="E23" s="20"/>
      <c r="F23" s="145"/>
      <c r="G23" s="18"/>
      <c r="H23" s="18"/>
      <c r="I23" s="28"/>
      <c r="J23" s="28"/>
    </row>
    <row r="24" spans="1:10" x14ac:dyDescent="0.25">
      <c r="B24" s="17"/>
      <c r="C24" s="28"/>
      <c r="D24" s="20"/>
      <c r="E24" s="20"/>
      <c r="F24" s="20"/>
      <c r="G24" s="18"/>
      <c r="H24" s="18"/>
      <c r="I24" s="28"/>
      <c r="J24" s="28"/>
    </row>
    <row r="25" spans="1:10" x14ac:dyDescent="0.25">
      <c r="B25" s="17"/>
      <c r="E25" s="7"/>
      <c r="F25" s="7"/>
      <c r="G25" s="7"/>
      <c r="H25" s="7"/>
    </row>
    <row r="26" spans="1:10" x14ac:dyDescent="0.25">
      <c r="E26" s="7"/>
      <c r="F26" s="7"/>
      <c r="G26" s="7"/>
      <c r="H26" s="7"/>
    </row>
    <row r="28" spans="1:10" x14ac:dyDescent="0.25">
      <c r="A28" s="7" t="s">
        <v>79</v>
      </c>
      <c r="B28" s="7" t="s">
        <v>84</v>
      </c>
      <c r="C28" s="7" t="s">
        <v>99</v>
      </c>
      <c r="D28" s="7" t="s">
        <v>100</v>
      </c>
      <c r="E28" s="7" t="s">
        <v>101</v>
      </c>
      <c r="F28" s="7" t="s">
        <v>102</v>
      </c>
      <c r="G28" s="7"/>
      <c r="H28" s="7"/>
      <c r="I28" s="7"/>
      <c r="J28" s="7"/>
    </row>
    <row r="29" spans="1:10" x14ac:dyDescent="0.25">
      <c r="A29" s="8">
        <f>GETPIVOTDATA("Média de VITC",$A$52)</f>
        <v>0.49572649572649574</v>
      </c>
      <c r="B29" s="9">
        <f>GETPIVOTDATA("Média de VITV",$A$81)</f>
        <v>0.23931623931623933</v>
      </c>
      <c r="C29" s="6">
        <f>GETPIVOTDATA("DesvPad de FTHG2",$A$52)</f>
        <v>1.1470820500689274</v>
      </c>
      <c r="D29" s="6">
        <f>GETPIVOTDATA("DesvPad de FTAG2",$A$81)</f>
        <v>0.9545368424290267</v>
      </c>
      <c r="E29" s="6">
        <f>C29/A35</f>
        <v>0.7293945644460027</v>
      </c>
      <c r="F29" s="6">
        <f>IFERROR(D29/B35,0)</f>
        <v>0.90797406962761074</v>
      </c>
      <c r="G29" s="6"/>
      <c r="H29" s="6"/>
      <c r="I29" s="6"/>
      <c r="J29" s="6"/>
    </row>
    <row r="30" spans="1:10" x14ac:dyDescent="0.25">
      <c r="A30" s="7" t="s">
        <v>85</v>
      </c>
      <c r="B30" s="7" t="s">
        <v>87</v>
      </c>
      <c r="C30" s="7" t="s">
        <v>148</v>
      </c>
      <c r="D30" s="7" t="s">
        <v>149</v>
      </c>
      <c r="E30" s="6" t="s">
        <v>103</v>
      </c>
      <c r="F30" s="6" t="s">
        <v>104</v>
      </c>
      <c r="G30" s="7" t="s">
        <v>129</v>
      </c>
      <c r="H30" s="7"/>
      <c r="I30" s="7"/>
      <c r="J30" s="7"/>
    </row>
    <row r="31" spans="1:10" x14ac:dyDescent="0.25">
      <c r="A31" s="6">
        <f>GETPIVOTDATA("Média de EMP",$A$52)</f>
        <v>0.26495726495726496</v>
      </c>
      <c r="B31" s="6">
        <f>GETPIVOTDATA("Média de EMP",$A$81)</f>
        <v>0.26495726495726496</v>
      </c>
      <c r="C31" s="6">
        <f>GETPIVOTDATA("DesvPad de FTAG2",$A$52)</f>
        <v>0.9545368424290267</v>
      </c>
      <c r="D31" s="6">
        <f>GETPIVOTDATA("DesvPad de FTHG2",$A$81)</f>
        <v>1.1470820500689274</v>
      </c>
      <c r="E31" s="6">
        <f>C31/A37</f>
        <v>0.90797406962761074</v>
      </c>
      <c r="F31" s="6">
        <f>D31/B37</f>
        <v>0.7293945644460027</v>
      </c>
      <c r="G31" s="6">
        <f>GETPIVOTDATA("Soma de PLBACKC",$A$52)</f>
        <v>-1.8399999999999967</v>
      </c>
      <c r="H31" s="6"/>
      <c r="I31" s="6"/>
      <c r="J31" s="6"/>
    </row>
    <row r="32" spans="1:10" x14ac:dyDescent="0.25">
      <c r="A32" s="7" t="s">
        <v>86</v>
      </c>
      <c r="B32" s="7" t="s">
        <v>88</v>
      </c>
      <c r="C32" s="5" t="s">
        <v>105</v>
      </c>
      <c r="D32" s="5" t="s">
        <v>106</v>
      </c>
      <c r="E32" s="5" t="s">
        <v>107</v>
      </c>
      <c r="F32" s="5" t="s">
        <v>108</v>
      </c>
      <c r="G32" s="7" t="s">
        <v>130</v>
      </c>
      <c r="H32" s="7"/>
    </row>
    <row r="33" spans="1:10" x14ac:dyDescent="0.25">
      <c r="A33" s="6">
        <f>GETPIVOTDATA("Média de VITV",$A$52)</f>
        <v>0.23931623931623933</v>
      </c>
      <c r="B33" s="6">
        <f>GETPIVOTDATA("Média de VITC",$A$81)</f>
        <v>0.49572649572649574</v>
      </c>
      <c r="C33" s="6">
        <f>(C29+D31)/2</f>
        <v>1.1470820500689274</v>
      </c>
      <c r="D33" s="6">
        <f>(D29+C31)/2</f>
        <v>0.9545368424290267</v>
      </c>
      <c r="E33" s="6">
        <f>(E29+F31)/2</f>
        <v>0.7293945644460027</v>
      </c>
      <c r="F33" s="6">
        <f>(F29+E31)/2</f>
        <v>0.90797406962761074</v>
      </c>
      <c r="G33" s="6">
        <f>GETPIVOTDATA("Soma de PLEMP",$A$52)</f>
        <v>-12.7</v>
      </c>
      <c r="H33" s="6"/>
      <c r="I33" s="6"/>
      <c r="J33" s="6"/>
    </row>
    <row r="34" spans="1:10" x14ac:dyDescent="0.25">
      <c r="A34" s="7" t="s">
        <v>95</v>
      </c>
      <c r="B34" s="7" t="s">
        <v>96</v>
      </c>
      <c r="C34" s="5" t="s">
        <v>150</v>
      </c>
      <c r="D34" s="5" t="s">
        <v>151</v>
      </c>
      <c r="E34" s="5" t="s">
        <v>154</v>
      </c>
      <c r="F34" s="5" t="s">
        <v>155</v>
      </c>
      <c r="G34" s="7" t="s">
        <v>250</v>
      </c>
      <c r="H34" s="7"/>
    </row>
    <row r="35" spans="1:10" x14ac:dyDescent="0.25">
      <c r="A35" s="8">
        <f>GETPIVOTDATA("Média de FTHG",$A$52)</f>
        <v>1.5726495726495726</v>
      </c>
      <c r="B35" s="9">
        <f>GETPIVOTDATA("Média de FTAG",$A$81)</f>
        <v>1.0512820512820513</v>
      </c>
      <c r="C35" s="6">
        <f>BDBRA1!BF22</f>
        <v>1.1358431590071016</v>
      </c>
      <c r="D35" s="6">
        <f>BDBRA1!BG22</f>
        <v>0.82577659514127788</v>
      </c>
      <c r="E35" s="6">
        <f>BDBRA1!BH22</f>
        <v>0.75832865716859721</v>
      </c>
      <c r="F35" s="6">
        <f>BDBRA1!BI22</f>
        <v>0.9063826423545821</v>
      </c>
      <c r="G35" s="6">
        <f>GETPIVOTDATA("Soma de PLEMP",$A$81)</f>
        <v>-12.7</v>
      </c>
      <c r="H35" s="6"/>
      <c r="I35" s="6"/>
      <c r="J35" s="6"/>
    </row>
    <row r="36" spans="1:10" x14ac:dyDescent="0.25">
      <c r="A36" s="7" t="s">
        <v>146</v>
      </c>
      <c r="B36" s="7" t="s">
        <v>147</v>
      </c>
      <c r="C36" s="5" t="s">
        <v>152</v>
      </c>
      <c r="D36" s="5" t="s">
        <v>153</v>
      </c>
      <c r="E36" s="5" t="s">
        <v>156</v>
      </c>
      <c r="F36" s="5" t="s">
        <v>157</v>
      </c>
      <c r="G36" s="7" t="s">
        <v>251</v>
      </c>
      <c r="H36" s="7"/>
    </row>
    <row r="37" spans="1:10" x14ac:dyDescent="0.25">
      <c r="A37" s="6">
        <f>GETPIVOTDATA("Média de FTAG",$A$52)</f>
        <v>1.0512820512820513</v>
      </c>
      <c r="B37" s="6">
        <f>GETPIVOTDATA("Média de FTHG",$A$81)</f>
        <v>1.5726495726495726</v>
      </c>
      <c r="C37" s="6">
        <f>BDBRA1!BM22</f>
        <v>0.86833097381901303</v>
      </c>
      <c r="D37" s="6">
        <f>BDBRA1!BN22</f>
        <v>1.0396582840190534</v>
      </c>
      <c r="E37" s="6">
        <f>BDBRA1!BO22</f>
        <v>0.93595300508632095</v>
      </c>
      <c r="F37" s="6">
        <f>BDBRA1!BP22</f>
        <v>0.67762513548314263</v>
      </c>
      <c r="G37" s="6">
        <f>GETPIVOTDATA("Soma de PLBACKV",$A$81)</f>
        <v>-19.850000000000001</v>
      </c>
      <c r="H37" s="6"/>
    </row>
    <row r="38" spans="1:10" x14ac:dyDescent="0.25">
      <c r="A38" s="7"/>
      <c r="B38" s="7"/>
    </row>
    <row r="39" spans="1:10" x14ac:dyDescent="0.25">
      <c r="A39" s="7"/>
      <c r="B39" s="7"/>
    </row>
    <row r="40" spans="1:10" x14ac:dyDescent="0.25">
      <c r="A40" s="7"/>
      <c r="B40" s="7"/>
    </row>
    <row r="41" spans="1:10" x14ac:dyDescent="0.25">
      <c r="A41" s="7"/>
      <c r="B41" s="7"/>
    </row>
    <row r="42" spans="1:10" x14ac:dyDescent="0.25">
      <c r="A42" s="7"/>
      <c r="B42" s="7"/>
    </row>
    <row r="43" spans="1:10" x14ac:dyDescent="0.25">
      <c r="A43" s="7"/>
      <c r="B43" s="7"/>
    </row>
    <row r="44" spans="1:10" x14ac:dyDescent="0.25">
      <c r="A44" s="7"/>
      <c r="B44" s="7"/>
    </row>
    <row r="45" spans="1:10" x14ac:dyDescent="0.25">
      <c r="A45" s="7"/>
      <c r="B45" s="7"/>
    </row>
    <row r="46" spans="1:10" x14ac:dyDescent="0.25">
      <c r="A46" s="7"/>
      <c r="B46" s="7"/>
    </row>
    <row r="47" spans="1:10" x14ac:dyDescent="0.25">
      <c r="A47" s="7"/>
      <c r="B47" s="7"/>
    </row>
    <row r="48" spans="1:10" x14ac:dyDescent="0.25">
      <c r="A48" s="7"/>
      <c r="B48" s="7"/>
    </row>
    <row r="49" spans="1:43" x14ac:dyDescent="0.25">
      <c r="A49" s="7"/>
      <c r="B49" s="7"/>
    </row>
    <row r="50" spans="1:43" x14ac:dyDescent="0.25">
      <c r="A50" s="6"/>
      <c r="B50" s="6"/>
    </row>
    <row r="51" spans="1:43" x14ac:dyDescent="0.25">
      <c r="E51" s="7"/>
      <c r="F51" s="7"/>
      <c r="G51" s="7"/>
      <c r="H51" s="7"/>
    </row>
    <row r="52" spans="1:43" x14ac:dyDescent="0.25">
      <c r="A52" s="5" t="s">
        <v>35</v>
      </c>
      <c r="B52" s="5" t="s">
        <v>125</v>
      </c>
      <c r="C52" s="5" t="s">
        <v>126</v>
      </c>
      <c r="D52" s="5" t="s">
        <v>127</v>
      </c>
      <c r="E52" s="5" t="s">
        <v>73</v>
      </c>
      <c r="F52" s="5" t="s">
        <v>74</v>
      </c>
      <c r="G52" s="5" t="s">
        <v>75</v>
      </c>
      <c r="H52" s="5" t="s">
        <v>76</v>
      </c>
      <c r="I52" s="5" t="s">
        <v>114</v>
      </c>
      <c r="J52" s="5" t="s">
        <v>115</v>
      </c>
      <c r="K52" s="5" t="s">
        <v>116</v>
      </c>
      <c r="L52" s="5" t="s">
        <v>83</v>
      </c>
      <c r="M52" s="5" t="s">
        <v>80</v>
      </c>
      <c r="N52" s="5" t="s">
        <v>81</v>
      </c>
      <c r="O52" s="5" t="s">
        <v>82</v>
      </c>
      <c r="P52" s="5" t="s">
        <v>77</v>
      </c>
      <c r="Q52" s="5" t="s">
        <v>78</v>
      </c>
      <c r="R52" s="5" t="s">
        <v>97</v>
      </c>
      <c r="S52" s="5" t="s">
        <v>98</v>
      </c>
      <c r="T52" s="5" t="s">
        <v>93</v>
      </c>
      <c r="U52" s="5" t="s">
        <v>94</v>
      </c>
      <c r="V52" s="5" t="s">
        <v>128</v>
      </c>
      <c r="W52" s="5" t="s">
        <v>198</v>
      </c>
      <c r="X52" s="5" t="s">
        <v>199</v>
      </c>
      <c r="Y52" s="5" t="s">
        <v>200</v>
      </c>
      <c r="Z52" s="5" t="s">
        <v>201</v>
      </c>
      <c r="AA52" s="5" t="s">
        <v>206</v>
      </c>
      <c r="AB52" s="5" t="s">
        <v>204</v>
      </c>
      <c r="AC52" s="5" t="s">
        <v>249</v>
      </c>
      <c r="AD52" s="232" t="s">
        <v>286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x14ac:dyDescent="0.25">
      <c r="A53" s="233" t="s">
        <v>388</v>
      </c>
      <c r="B53" s="232">
        <v>1.9733333333333334</v>
      </c>
      <c r="C53" s="232">
        <v>3.3249999999999993</v>
      </c>
      <c r="D53" s="232">
        <v>4.1416666666666666</v>
      </c>
      <c r="E53" s="5">
        <v>8</v>
      </c>
      <c r="F53" s="5">
        <v>-8</v>
      </c>
      <c r="G53" s="5">
        <v>3.2699999999999996</v>
      </c>
      <c r="H53" s="5">
        <v>-3.15</v>
      </c>
      <c r="I53" s="232">
        <v>0.16666666666666666</v>
      </c>
      <c r="J53" s="232">
        <v>0</v>
      </c>
      <c r="K53" s="232">
        <v>0.5</v>
      </c>
      <c r="L53" s="5">
        <v>6</v>
      </c>
      <c r="M53" s="232">
        <v>0.83333333333333337</v>
      </c>
      <c r="N53" s="232">
        <v>0</v>
      </c>
      <c r="O53" s="232">
        <v>0.16666666666666666</v>
      </c>
      <c r="P53" s="5">
        <v>6</v>
      </c>
      <c r="Q53" s="5">
        <v>6</v>
      </c>
      <c r="R53" s="232">
        <v>2</v>
      </c>
      <c r="S53" s="232">
        <v>0.66666666666666663</v>
      </c>
      <c r="T53" s="232">
        <v>1.2649110640673518</v>
      </c>
      <c r="U53" s="232">
        <v>0.51639777949432231</v>
      </c>
      <c r="V53" s="5">
        <v>-6</v>
      </c>
      <c r="W53" s="232">
        <v>1</v>
      </c>
      <c r="X53" s="232">
        <v>0.83333333333333337</v>
      </c>
      <c r="Y53" s="232">
        <v>0.5</v>
      </c>
      <c r="Z53" s="232">
        <v>0.16666666666666666</v>
      </c>
      <c r="AA53" s="232">
        <v>0.4750125499553417</v>
      </c>
      <c r="AB53" s="232">
        <v>2.5</v>
      </c>
      <c r="AC53" s="232">
        <v>4.6350000000000007</v>
      </c>
      <c r="AD53" s="232">
        <v>0.3742632776992425</v>
      </c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x14ac:dyDescent="0.25">
      <c r="A54" s="233" t="s">
        <v>359</v>
      </c>
      <c r="B54" s="232">
        <v>2.1639999999999997</v>
      </c>
      <c r="C54" s="232">
        <v>3.44</v>
      </c>
      <c r="D54" s="232">
        <v>4.08</v>
      </c>
      <c r="E54" s="5">
        <v>3</v>
      </c>
      <c r="F54" s="5">
        <v>-3</v>
      </c>
      <c r="G54" s="5">
        <v>1.4099999999999997</v>
      </c>
      <c r="H54" s="5">
        <v>-5</v>
      </c>
      <c r="I54" s="232">
        <v>0</v>
      </c>
      <c r="J54" s="232">
        <v>0</v>
      </c>
      <c r="K54" s="232">
        <v>0.6</v>
      </c>
      <c r="L54" s="5">
        <v>5</v>
      </c>
      <c r="M54" s="232">
        <v>0.6</v>
      </c>
      <c r="N54" s="232">
        <v>0.4</v>
      </c>
      <c r="O54" s="232">
        <v>0</v>
      </c>
      <c r="P54" s="5">
        <v>5</v>
      </c>
      <c r="Q54" s="5">
        <v>5</v>
      </c>
      <c r="R54" s="232">
        <v>1.8</v>
      </c>
      <c r="S54" s="232">
        <v>1.2</v>
      </c>
      <c r="T54" s="232">
        <v>0.83666002653407567</v>
      </c>
      <c r="U54" s="232">
        <v>1.3038404810405297</v>
      </c>
      <c r="V54" s="5">
        <v>2.5999999999999996</v>
      </c>
      <c r="W54" s="232">
        <v>1</v>
      </c>
      <c r="X54" s="232">
        <v>0.6</v>
      </c>
      <c r="Y54" s="232">
        <v>0.6</v>
      </c>
      <c r="Z54" s="232">
        <v>0.4</v>
      </c>
      <c r="AA54" s="232">
        <v>0.47408970467794004</v>
      </c>
      <c r="AB54" s="232">
        <v>2.2000000000000002</v>
      </c>
      <c r="AC54" s="232">
        <v>4.7279999999999998</v>
      </c>
      <c r="AD54" s="232">
        <v>0.31469271413076905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 x14ac:dyDescent="0.25">
      <c r="A55" s="233" t="s">
        <v>356</v>
      </c>
      <c r="B55" s="232">
        <v>1.9079999999999999</v>
      </c>
      <c r="C55" s="232">
        <v>3.46</v>
      </c>
      <c r="D55" s="232">
        <v>4.3400000000000007</v>
      </c>
      <c r="E55" s="5">
        <v>4</v>
      </c>
      <c r="F55" s="5">
        <v>-4</v>
      </c>
      <c r="G55" s="5">
        <v>-1.6300000000000001</v>
      </c>
      <c r="H55" s="5">
        <v>-2.15</v>
      </c>
      <c r="I55" s="232">
        <v>0</v>
      </c>
      <c r="J55" s="232">
        <v>0</v>
      </c>
      <c r="K55" s="232">
        <v>0.6</v>
      </c>
      <c r="L55" s="5">
        <v>5</v>
      </c>
      <c r="M55" s="232">
        <v>0.4</v>
      </c>
      <c r="N55" s="232">
        <v>0.4</v>
      </c>
      <c r="O55" s="232">
        <v>0.2</v>
      </c>
      <c r="P55" s="5">
        <v>5</v>
      </c>
      <c r="Q55" s="5">
        <v>5</v>
      </c>
      <c r="R55" s="232">
        <v>1.6</v>
      </c>
      <c r="S55" s="232">
        <v>0.8</v>
      </c>
      <c r="T55" s="232">
        <v>0.89442719099991574</v>
      </c>
      <c r="U55" s="232">
        <v>0.83666002653407556</v>
      </c>
      <c r="V55" s="5">
        <v>1.9000000000000004</v>
      </c>
      <c r="W55" s="232">
        <v>1</v>
      </c>
      <c r="X55" s="232">
        <v>1</v>
      </c>
      <c r="Y55" s="232">
        <v>0.4</v>
      </c>
      <c r="Z55" s="232">
        <v>0</v>
      </c>
      <c r="AA55" s="232">
        <v>0.36633249791144523</v>
      </c>
      <c r="AB55" s="232">
        <v>1.6</v>
      </c>
      <c r="AC55" s="232">
        <v>2.7559999999999993</v>
      </c>
      <c r="AD55" s="232">
        <v>0.39921173390428261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 x14ac:dyDescent="0.25">
      <c r="A56" s="233" t="s">
        <v>350</v>
      </c>
      <c r="B56" s="232">
        <v>2.6449999999999996</v>
      </c>
      <c r="C56" s="232">
        <v>3.25</v>
      </c>
      <c r="D56" s="232">
        <v>3.1274999999999995</v>
      </c>
      <c r="E56" s="5">
        <v>2</v>
      </c>
      <c r="F56" s="5">
        <v>-2</v>
      </c>
      <c r="G56" s="5">
        <v>0.61999999999999966</v>
      </c>
      <c r="H56" s="5">
        <v>-2.09</v>
      </c>
      <c r="I56" s="232">
        <v>0.25</v>
      </c>
      <c r="J56" s="232">
        <v>0</v>
      </c>
      <c r="K56" s="232">
        <v>0.5</v>
      </c>
      <c r="L56" s="5">
        <v>4</v>
      </c>
      <c r="M56" s="232">
        <v>0.5</v>
      </c>
      <c r="N56" s="232">
        <v>0.25</v>
      </c>
      <c r="O56" s="232">
        <v>0.25</v>
      </c>
      <c r="P56" s="5">
        <v>4</v>
      </c>
      <c r="Q56" s="5">
        <v>4</v>
      </c>
      <c r="R56" s="232">
        <v>2.25</v>
      </c>
      <c r="S56" s="232">
        <v>1.75</v>
      </c>
      <c r="T56" s="232">
        <v>1.707825127659933</v>
      </c>
      <c r="U56" s="232">
        <v>1.2583057392117916</v>
      </c>
      <c r="V56" s="5">
        <v>-0.60000000000000009</v>
      </c>
      <c r="W56" s="232">
        <v>1</v>
      </c>
      <c r="X56" s="232">
        <v>1</v>
      </c>
      <c r="Y56" s="232">
        <v>1</v>
      </c>
      <c r="Z56" s="232">
        <v>0.75</v>
      </c>
      <c r="AA56" s="232">
        <v>0.66316526610644266</v>
      </c>
      <c r="AB56" s="232">
        <v>1.75</v>
      </c>
      <c r="AC56" s="232">
        <v>3.9299999999999997</v>
      </c>
      <c r="AD56" s="232">
        <v>0.38029775434863217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 x14ac:dyDescent="0.25">
      <c r="A57" s="233" t="s">
        <v>355</v>
      </c>
      <c r="B57" s="232">
        <v>2.253333333333333</v>
      </c>
      <c r="C57" s="232">
        <v>3.3499999999999996</v>
      </c>
      <c r="D57" s="232">
        <v>3.9750000000000001</v>
      </c>
      <c r="E57" s="5">
        <v>4</v>
      </c>
      <c r="F57" s="5">
        <v>-4</v>
      </c>
      <c r="G57" s="5">
        <v>1.2999999999999996</v>
      </c>
      <c r="H57" s="5">
        <v>1.4000000000000004</v>
      </c>
      <c r="I57" s="232">
        <v>0.16666666666666666</v>
      </c>
      <c r="J57" s="232">
        <v>0</v>
      </c>
      <c r="K57" s="232">
        <v>0.66666666666666663</v>
      </c>
      <c r="L57" s="5">
        <v>6</v>
      </c>
      <c r="M57" s="232">
        <v>0.5</v>
      </c>
      <c r="N57" s="232">
        <v>0.16666666666666666</v>
      </c>
      <c r="O57" s="232">
        <v>0.33333333333333331</v>
      </c>
      <c r="P57" s="5">
        <v>6</v>
      </c>
      <c r="Q57" s="5">
        <v>6</v>
      </c>
      <c r="R57" s="232">
        <v>1.8333333333333333</v>
      </c>
      <c r="S57" s="232">
        <v>1.1666666666666667</v>
      </c>
      <c r="T57" s="232">
        <v>1.3291601358251257</v>
      </c>
      <c r="U57" s="232">
        <v>0.98319208025017513</v>
      </c>
      <c r="V57" s="5">
        <v>-2.7</v>
      </c>
      <c r="W57" s="232">
        <v>1</v>
      </c>
      <c r="X57" s="232">
        <v>0.83333333333333337</v>
      </c>
      <c r="Y57" s="232">
        <v>0.66666666666666663</v>
      </c>
      <c r="Z57" s="232">
        <v>0.16666666666666666</v>
      </c>
      <c r="AA57" s="232">
        <v>0.52263412400607534</v>
      </c>
      <c r="AB57" s="232">
        <v>1.6666666666666667</v>
      </c>
      <c r="AC57" s="232">
        <v>3.9849999999999994</v>
      </c>
      <c r="AD57" s="232">
        <v>0.36894928871043348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 x14ac:dyDescent="0.25">
      <c r="A58" s="233" t="s">
        <v>390</v>
      </c>
      <c r="B58" s="232">
        <v>3.0785714285714287</v>
      </c>
      <c r="C58" s="232">
        <v>3.2571428571428571</v>
      </c>
      <c r="D58" s="232">
        <v>2.3728571428571428</v>
      </c>
      <c r="E58" s="5">
        <v>-5</v>
      </c>
      <c r="F58" s="5">
        <v>5</v>
      </c>
      <c r="G58" s="5">
        <v>-4</v>
      </c>
      <c r="H58" s="5">
        <v>-2.84</v>
      </c>
      <c r="I58" s="232">
        <v>0.14285714285714285</v>
      </c>
      <c r="J58" s="232">
        <v>0.2857142857142857</v>
      </c>
      <c r="K58" s="232">
        <v>0.7142857142857143</v>
      </c>
      <c r="L58" s="5">
        <v>7</v>
      </c>
      <c r="M58" s="232">
        <v>0.14285714285714285</v>
      </c>
      <c r="N58" s="232">
        <v>0.5714285714285714</v>
      </c>
      <c r="O58" s="232">
        <v>0.2857142857142857</v>
      </c>
      <c r="P58" s="5">
        <v>7</v>
      </c>
      <c r="Q58" s="5">
        <v>7</v>
      </c>
      <c r="R58" s="232">
        <v>1.4285714285714286</v>
      </c>
      <c r="S58" s="232">
        <v>2.1428571428571428</v>
      </c>
      <c r="T58" s="232">
        <v>1.5118578920369088</v>
      </c>
      <c r="U58" s="232">
        <v>1.5735915849388862</v>
      </c>
      <c r="V58" s="5">
        <v>5.9</v>
      </c>
      <c r="W58" s="232">
        <v>0.8571428571428571</v>
      </c>
      <c r="X58" s="232">
        <v>0.8571428571428571</v>
      </c>
      <c r="Y58" s="232">
        <v>0.5714285714285714</v>
      </c>
      <c r="Z58" s="232">
        <v>0.5714285714285714</v>
      </c>
      <c r="AA58" s="232">
        <v>0.57724264652325463</v>
      </c>
      <c r="AB58" s="232">
        <v>1</v>
      </c>
      <c r="AC58" s="232">
        <v>2.9214285714285713</v>
      </c>
      <c r="AD58" s="232">
        <v>0.46113394095850235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 spans="1:43" x14ac:dyDescent="0.25">
      <c r="A59" s="233" t="s">
        <v>357</v>
      </c>
      <c r="B59" s="232">
        <v>2.3050000000000002</v>
      </c>
      <c r="C59" s="232">
        <v>3.2583333333333329</v>
      </c>
      <c r="D59" s="232">
        <v>3.625</v>
      </c>
      <c r="E59" s="5">
        <v>-2</v>
      </c>
      <c r="F59" s="5">
        <v>2</v>
      </c>
      <c r="G59" s="5">
        <v>-4.1399999999999997</v>
      </c>
      <c r="H59" s="5">
        <v>5.9</v>
      </c>
      <c r="I59" s="232">
        <v>0</v>
      </c>
      <c r="J59" s="232">
        <v>0</v>
      </c>
      <c r="K59" s="232">
        <v>0.33333333333333331</v>
      </c>
      <c r="L59" s="5">
        <v>6</v>
      </c>
      <c r="M59" s="232">
        <v>0.16666666666666666</v>
      </c>
      <c r="N59" s="232">
        <v>0.33333333333333331</v>
      </c>
      <c r="O59" s="232">
        <v>0.5</v>
      </c>
      <c r="P59" s="5">
        <v>6</v>
      </c>
      <c r="Q59" s="5">
        <v>6</v>
      </c>
      <c r="R59" s="232">
        <v>0.66666666666666663</v>
      </c>
      <c r="S59" s="232">
        <v>1</v>
      </c>
      <c r="T59" s="232">
        <v>0.81649658092772603</v>
      </c>
      <c r="U59" s="232">
        <v>0.89442719099991586</v>
      </c>
      <c r="V59" s="5">
        <v>0.10000000000000009</v>
      </c>
      <c r="W59" s="232">
        <v>0.83333333333333337</v>
      </c>
      <c r="X59" s="232">
        <v>0.66666666666666663</v>
      </c>
      <c r="Y59" s="232">
        <v>0.16666666666666666</v>
      </c>
      <c r="Z59" s="232">
        <v>0</v>
      </c>
      <c r="AA59" s="232">
        <v>0.19633284600389864</v>
      </c>
      <c r="AB59" s="232">
        <v>0.83333333333333337</v>
      </c>
      <c r="AC59" s="232">
        <v>1.9383333333333335</v>
      </c>
      <c r="AD59" s="232">
        <v>0.66958005098422557</v>
      </c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 spans="1:43" x14ac:dyDescent="0.25">
      <c r="A60" s="233" t="s">
        <v>387</v>
      </c>
      <c r="B60" s="232">
        <v>2.4849999999999999</v>
      </c>
      <c r="C60" s="232">
        <v>3.1033333333333335</v>
      </c>
      <c r="D60" s="232">
        <v>3.2449999999999997</v>
      </c>
      <c r="E60" s="5">
        <v>1</v>
      </c>
      <c r="F60" s="5">
        <v>-1</v>
      </c>
      <c r="G60" s="5">
        <v>-2.1399999999999997</v>
      </c>
      <c r="H60" s="5">
        <v>-0.18000000000000016</v>
      </c>
      <c r="I60" s="232">
        <v>0</v>
      </c>
      <c r="J60" s="232">
        <v>0</v>
      </c>
      <c r="K60" s="232">
        <v>0.33333333333333331</v>
      </c>
      <c r="L60" s="5">
        <v>6</v>
      </c>
      <c r="M60" s="232">
        <v>0.33333333333333331</v>
      </c>
      <c r="N60" s="232">
        <v>0.33333333333333331</v>
      </c>
      <c r="O60" s="232">
        <v>0.33333333333333331</v>
      </c>
      <c r="P60" s="5">
        <v>6</v>
      </c>
      <c r="Q60" s="5">
        <v>6</v>
      </c>
      <c r="R60" s="232">
        <v>0.83333333333333337</v>
      </c>
      <c r="S60" s="232">
        <v>0.66666666666666663</v>
      </c>
      <c r="T60" s="232">
        <v>0.752772652709081</v>
      </c>
      <c r="U60" s="232">
        <v>0.51639777949432231</v>
      </c>
      <c r="V60" s="5">
        <v>0</v>
      </c>
      <c r="W60" s="232">
        <v>1</v>
      </c>
      <c r="X60" s="232">
        <v>0.5</v>
      </c>
      <c r="Y60" s="232">
        <v>0</v>
      </c>
      <c r="Z60" s="232">
        <v>0</v>
      </c>
      <c r="AA60" s="232">
        <v>0.25864527629233514</v>
      </c>
      <c r="AB60" s="232">
        <v>1.3333333333333333</v>
      </c>
      <c r="AC60" s="232">
        <v>2.9049999999999998</v>
      </c>
      <c r="AD60" s="232">
        <v>0.58598322910409972</v>
      </c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 spans="1:43" x14ac:dyDescent="0.25">
      <c r="A61" s="233" t="s">
        <v>358</v>
      </c>
      <c r="B61" s="232">
        <v>1.6642857142857146</v>
      </c>
      <c r="C61" s="232">
        <v>3.7328571428571427</v>
      </c>
      <c r="D61" s="232">
        <v>5.6571428571428575</v>
      </c>
      <c r="E61" s="5">
        <v>5</v>
      </c>
      <c r="F61" s="5">
        <v>-5</v>
      </c>
      <c r="G61" s="5">
        <v>-1.9299999999999997</v>
      </c>
      <c r="H61" s="5">
        <v>2.5</v>
      </c>
      <c r="I61" s="232">
        <v>0</v>
      </c>
      <c r="J61" s="232">
        <v>0</v>
      </c>
      <c r="K61" s="232">
        <v>0.5714285714285714</v>
      </c>
      <c r="L61" s="5">
        <v>7</v>
      </c>
      <c r="M61" s="232">
        <v>0.42857142857142855</v>
      </c>
      <c r="N61" s="232">
        <v>0.42857142857142855</v>
      </c>
      <c r="O61" s="232">
        <v>0.14285714285714285</v>
      </c>
      <c r="P61" s="5">
        <v>7</v>
      </c>
      <c r="Q61" s="5">
        <v>7</v>
      </c>
      <c r="R61" s="232">
        <v>1.7142857142857142</v>
      </c>
      <c r="S61" s="232">
        <v>1</v>
      </c>
      <c r="T61" s="232">
        <v>1.1126972805283735</v>
      </c>
      <c r="U61" s="232">
        <v>1.1547005383792515</v>
      </c>
      <c r="V61" s="5">
        <v>3.5</v>
      </c>
      <c r="W61" s="232">
        <v>0.8571428571428571</v>
      </c>
      <c r="X61" s="232">
        <v>0.8571428571428571</v>
      </c>
      <c r="Y61" s="232">
        <v>0.5714285714285714</v>
      </c>
      <c r="Z61" s="232">
        <v>0.14285714285714285</v>
      </c>
      <c r="AA61" s="232">
        <v>0.34216284968164673</v>
      </c>
      <c r="AB61" s="232">
        <v>1.7142857142857142</v>
      </c>
      <c r="AC61" s="232">
        <v>2.9199999999999995</v>
      </c>
      <c r="AD61" s="232">
        <v>0.47216115882291326</v>
      </c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 x14ac:dyDescent="0.25">
      <c r="A62" s="233" t="s">
        <v>363</v>
      </c>
      <c r="B62" s="232">
        <v>1.3420000000000001</v>
      </c>
      <c r="C62" s="232">
        <v>5.09</v>
      </c>
      <c r="D62" s="232">
        <v>9.6999999999999993</v>
      </c>
      <c r="E62" s="5">
        <v>9</v>
      </c>
      <c r="F62" s="5">
        <v>-9</v>
      </c>
      <c r="G62" s="5">
        <v>0.29999999999999982</v>
      </c>
      <c r="H62" s="5">
        <v>-5</v>
      </c>
      <c r="I62" s="232">
        <v>0</v>
      </c>
      <c r="J62" s="232">
        <v>0</v>
      </c>
      <c r="K62" s="232">
        <v>0.4</v>
      </c>
      <c r="L62" s="5">
        <v>5</v>
      </c>
      <c r="M62" s="232">
        <v>0.8</v>
      </c>
      <c r="N62" s="232">
        <v>0.2</v>
      </c>
      <c r="O62" s="232">
        <v>0</v>
      </c>
      <c r="P62" s="5">
        <v>5</v>
      </c>
      <c r="Q62" s="5">
        <v>5</v>
      </c>
      <c r="R62" s="232">
        <v>2.2000000000000002</v>
      </c>
      <c r="S62" s="232">
        <v>0.4</v>
      </c>
      <c r="T62" s="232">
        <v>0.83666002653407567</v>
      </c>
      <c r="U62" s="232">
        <v>0.54772255750516607</v>
      </c>
      <c r="V62" s="5">
        <v>-0.5</v>
      </c>
      <c r="W62" s="232">
        <v>1</v>
      </c>
      <c r="X62" s="232">
        <v>1</v>
      </c>
      <c r="Y62" s="232">
        <v>0.4</v>
      </c>
      <c r="Z62" s="232">
        <v>0.2</v>
      </c>
      <c r="AA62" s="232">
        <v>0.23958316193610313</v>
      </c>
      <c r="AB62" s="232">
        <v>2.6</v>
      </c>
      <c r="AC62" s="232">
        <v>3.4619999999999997</v>
      </c>
      <c r="AD62" s="232">
        <v>0.39151112551339645</v>
      </c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 spans="1:43" x14ac:dyDescent="0.25">
      <c r="A63" s="233" t="s">
        <v>352</v>
      </c>
      <c r="B63" s="232">
        <v>1.95</v>
      </c>
      <c r="C63" s="232">
        <v>3.4666666666666668</v>
      </c>
      <c r="D63" s="232">
        <v>4.8916666666666666</v>
      </c>
      <c r="E63" s="5">
        <v>5</v>
      </c>
      <c r="F63" s="5">
        <v>-5</v>
      </c>
      <c r="G63" s="5">
        <v>2.5000000000000004</v>
      </c>
      <c r="H63" s="5">
        <v>-3.65</v>
      </c>
      <c r="I63" s="232">
        <v>0</v>
      </c>
      <c r="J63" s="232">
        <v>0</v>
      </c>
      <c r="K63" s="232">
        <v>0.66666666666666663</v>
      </c>
      <c r="L63" s="5">
        <v>6</v>
      </c>
      <c r="M63" s="232">
        <v>0.83333333333333337</v>
      </c>
      <c r="N63" s="232">
        <v>0</v>
      </c>
      <c r="O63" s="232">
        <v>0.16666666666666666</v>
      </c>
      <c r="P63" s="5">
        <v>6</v>
      </c>
      <c r="Q63" s="5">
        <v>6</v>
      </c>
      <c r="R63" s="232">
        <v>1.8333333333333333</v>
      </c>
      <c r="S63" s="232">
        <v>1</v>
      </c>
      <c r="T63" s="232">
        <v>0.9831920802501749</v>
      </c>
      <c r="U63" s="232">
        <v>0.89442719099991586</v>
      </c>
      <c r="V63" s="5">
        <v>-6</v>
      </c>
      <c r="W63" s="232">
        <v>1</v>
      </c>
      <c r="X63" s="232">
        <v>0.66666666666666663</v>
      </c>
      <c r="Y63" s="232">
        <v>0.66666666666666663</v>
      </c>
      <c r="Z63" s="232">
        <v>0.33333333333333331</v>
      </c>
      <c r="AA63" s="232">
        <v>0.39508466524144015</v>
      </c>
      <c r="AB63" s="232">
        <v>2.5</v>
      </c>
      <c r="AC63" s="232">
        <v>4.25</v>
      </c>
      <c r="AD63" s="232">
        <v>0.3664965030220933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3" x14ac:dyDescent="0.25">
      <c r="A64" s="233" t="s">
        <v>361</v>
      </c>
      <c r="B64" s="232">
        <v>1.998</v>
      </c>
      <c r="C64" s="232">
        <v>3.3600000000000003</v>
      </c>
      <c r="D64" s="232">
        <v>3.9</v>
      </c>
      <c r="E64" s="5">
        <v>5</v>
      </c>
      <c r="F64" s="5">
        <v>-5</v>
      </c>
      <c r="G64" s="5">
        <v>1.1600000000000001</v>
      </c>
      <c r="H64" s="5">
        <v>-5</v>
      </c>
      <c r="I64" s="232">
        <v>0.2</v>
      </c>
      <c r="J64" s="232">
        <v>0</v>
      </c>
      <c r="K64" s="232">
        <v>0.6</v>
      </c>
      <c r="L64" s="5">
        <v>5</v>
      </c>
      <c r="M64" s="232">
        <v>0.6</v>
      </c>
      <c r="N64" s="232">
        <v>0.4</v>
      </c>
      <c r="O64" s="232">
        <v>0</v>
      </c>
      <c r="P64" s="5">
        <v>5</v>
      </c>
      <c r="Q64" s="5">
        <v>5</v>
      </c>
      <c r="R64" s="232">
        <v>2</v>
      </c>
      <c r="S64" s="232">
        <v>1</v>
      </c>
      <c r="T64" s="232">
        <v>1.8708286933869707</v>
      </c>
      <c r="U64" s="232">
        <v>1.2247448713915889</v>
      </c>
      <c r="V64" s="5">
        <v>2.1</v>
      </c>
      <c r="W64" s="232">
        <v>0.8</v>
      </c>
      <c r="X64" s="232">
        <v>0.8</v>
      </c>
      <c r="Y64" s="232">
        <v>0.4</v>
      </c>
      <c r="Z64" s="232">
        <v>0.2</v>
      </c>
      <c r="AA64" s="232">
        <v>0.55847523219814244</v>
      </c>
      <c r="AB64" s="232">
        <v>2.2000000000000002</v>
      </c>
      <c r="AC64" s="232">
        <v>4.4619999999999997</v>
      </c>
      <c r="AD64" s="232">
        <v>0.41485178959900904</v>
      </c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 spans="1:43" x14ac:dyDescent="0.25">
      <c r="A65" s="233" t="s">
        <v>354</v>
      </c>
      <c r="B65" s="232">
        <v>1.9871428571428571</v>
      </c>
      <c r="C65" s="232">
        <v>3.6285714285714286</v>
      </c>
      <c r="D65" s="232">
        <v>4.347142857142857</v>
      </c>
      <c r="E65" s="5">
        <v>-3</v>
      </c>
      <c r="F65" s="5">
        <v>3</v>
      </c>
      <c r="G65" s="5">
        <v>-5.63</v>
      </c>
      <c r="H65" s="5">
        <v>7.58</v>
      </c>
      <c r="I65" s="232">
        <v>0</v>
      </c>
      <c r="J65" s="232">
        <v>0</v>
      </c>
      <c r="K65" s="232">
        <v>0.42857142857142855</v>
      </c>
      <c r="L65" s="5">
        <v>7</v>
      </c>
      <c r="M65" s="232">
        <v>0.14285714285714285</v>
      </c>
      <c r="N65" s="232">
        <v>0.2857142857142857</v>
      </c>
      <c r="O65" s="232">
        <v>0.5714285714285714</v>
      </c>
      <c r="P65" s="5">
        <v>7</v>
      </c>
      <c r="Q65" s="5">
        <v>7</v>
      </c>
      <c r="R65" s="232">
        <v>0.7142857142857143</v>
      </c>
      <c r="S65" s="232">
        <v>1.1428571428571428</v>
      </c>
      <c r="T65" s="232">
        <v>0.7559289460184544</v>
      </c>
      <c r="U65" s="232">
        <v>1.0690449676496976</v>
      </c>
      <c r="V65" s="5">
        <v>-0.39999999999999991</v>
      </c>
      <c r="W65" s="232">
        <v>0.8571428571428571</v>
      </c>
      <c r="X65" s="232">
        <v>0.5714285714285714</v>
      </c>
      <c r="Y65" s="232">
        <v>0.2857142857142857</v>
      </c>
      <c r="Z65" s="232">
        <v>0.14285714285714285</v>
      </c>
      <c r="AA65" s="232">
        <v>0.17611304684475418</v>
      </c>
      <c r="AB65" s="232">
        <v>0.7142857142857143</v>
      </c>
      <c r="AC65" s="232">
        <v>1.1385714285714286</v>
      </c>
      <c r="AD65" s="232">
        <v>0.6700421194975491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3" x14ac:dyDescent="0.25">
      <c r="A66" s="233" t="s">
        <v>382</v>
      </c>
      <c r="B66" s="232">
        <v>1.9450000000000001</v>
      </c>
      <c r="C66" s="232">
        <v>3.3666666666666667</v>
      </c>
      <c r="D66" s="232">
        <v>4.2833333333333332</v>
      </c>
      <c r="E66" s="5">
        <v>-2</v>
      </c>
      <c r="F66" s="5">
        <v>2</v>
      </c>
      <c r="G66" s="5">
        <v>-4.21</v>
      </c>
      <c r="H66" s="5">
        <v>7.25</v>
      </c>
      <c r="I66" s="232">
        <v>0</v>
      </c>
      <c r="J66" s="232">
        <v>0</v>
      </c>
      <c r="K66" s="232">
        <v>0.66666666666666663</v>
      </c>
      <c r="L66" s="5">
        <v>6</v>
      </c>
      <c r="M66" s="232">
        <v>0.16666666666666666</v>
      </c>
      <c r="N66" s="232">
        <v>0.33333333333333331</v>
      </c>
      <c r="O66" s="232">
        <v>0.5</v>
      </c>
      <c r="P66" s="5">
        <v>6</v>
      </c>
      <c r="Q66" s="5">
        <v>6</v>
      </c>
      <c r="R66" s="232">
        <v>1.1666666666666667</v>
      </c>
      <c r="S66" s="232">
        <v>1.5</v>
      </c>
      <c r="T66" s="232">
        <v>0.98319208025017513</v>
      </c>
      <c r="U66" s="232">
        <v>0.54772255750516607</v>
      </c>
      <c r="V66" s="5">
        <v>0.70000000000000018</v>
      </c>
      <c r="W66" s="232">
        <v>1</v>
      </c>
      <c r="X66" s="232">
        <v>0.66666666666666663</v>
      </c>
      <c r="Y66" s="232">
        <v>0.66666666666666663</v>
      </c>
      <c r="Z66" s="232">
        <v>0.33333333333333331</v>
      </c>
      <c r="AA66" s="232">
        <v>0.29743578718036923</v>
      </c>
      <c r="AB66" s="232">
        <v>0.83333333333333337</v>
      </c>
      <c r="AC66" s="232">
        <v>1.5716666666666665</v>
      </c>
      <c r="AD66" s="232">
        <v>0.54233067343645935</v>
      </c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 spans="1:43" x14ac:dyDescent="0.25">
      <c r="A67" s="233" t="s">
        <v>353</v>
      </c>
      <c r="B67" s="232">
        <v>1.5183333333333333</v>
      </c>
      <c r="C67" s="232">
        <v>4.0549999999999997</v>
      </c>
      <c r="D67" s="232">
        <v>6.541666666666667</v>
      </c>
      <c r="E67" s="5">
        <v>9</v>
      </c>
      <c r="F67" s="5">
        <v>-9</v>
      </c>
      <c r="G67" s="5">
        <v>3.11</v>
      </c>
      <c r="H67" s="5">
        <v>-6</v>
      </c>
      <c r="I67" s="232">
        <v>0.16666666666666666</v>
      </c>
      <c r="J67" s="232">
        <v>0</v>
      </c>
      <c r="K67" s="232">
        <v>0.66666666666666663</v>
      </c>
      <c r="L67" s="5">
        <v>6</v>
      </c>
      <c r="M67" s="232">
        <v>1</v>
      </c>
      <c r="N67" s="232">
        <v>0</v>
      </c>
      <c r="O67" s="232">
        <v>0</v>
      </c>
      <c r="P67" s="5">
        <v>6</v>
      </c>
      <c r="Q67" s="5">
        <v>6</v>
      </c>
      <c r="R67" s="232">
        <v>2.1666666666666665</v>
      </c>
      <c r="S67" s="232">
        <v>0.66666666666666663</v>
      </c>
      <c r="T67" s="232">
        <v>1.4719601443879744</v>
      </c>
      <c r="U67" s="232">
        <v>0.51639777949432231</v>
      </c>
      <c r="V67" s="5">
        <v>-6</v>
      </c>
      <c r="W67" s="232">
        <v>1</v>
      </c>
      <c r="X67" s="232">
        <v>0.66666666666666663</v>
      </c>
      <c r="Y67" s="232">
        <v>0.66666666666666663</v>
      </c>
      <c r="Z67" s="232">
        <v>0.16666666666666666</v>
      </c>
      <c r="AA67" s="232">
        <v>0.31483294483294483</v>
      </c>
      <c r="AB67" s="232">
        <v>3</v>
      </c>
      <c r="AC67" s="232">
        <v>4.5550000000000006</v>
      </c>
      <c r="AD67" s="232">
        <v>0.39781390637198927</v>
      </c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 spans="1:43" x14ac:dyDescent="0.25">
      <c r="A68" s="233" t="s">
        <v>389</v>
      </c>
      <c r="B68" s="232">
        <v>3.2399999999999998</v>
      </c>
      <c r="C68" s="232">
        <v>3.28</v>
      </c>
      <c r="D68" s="232">
        <v>2.2519999999999998</v>
      </c>
      <c r="E68" s="5">
        <v>1</v>
      </c>
      <c r="F68" s="5">
        <v>-1</v>
      </c>
      <c r="G68" s="5">
        <v>-2</v>
      </c>
      <c r="H68" s="5">
        <v>-3.1399999999999997</v>
      </c>
      <c r="I68" s="232">
        <v>0.2</v>
      </c>
      <c r="J68" s="232">
        <v>0</v>
      </c>
      <c r="K68" s="232">
        <v>0.8</v>
      </c>
      <c r="L68" s="5">
        <v>5</v>
      </c>
      <c r="M68" s="232">
        <v>0.2</v>
      </c>
      <c r="N68" s="232">
        <v>0.6</v>
      </c>
      <c r="O68" s="232">
        <v>0.2</v>
      </c>
      <c r="P68" s="5">
        <v>5</v>
      </c>
      <c r="Q68" s="5">
        <v>5</v>
      </c>
      <c r="R68" s="232">
        <v>1.6</v>
      </c>
      <c r="S68" s="232">
        <v>1.4</v>
      </c>
      <c r="T68" s="232">
        <v>1.51657508881031</v>
      </c>
      <c r="U68" s="232">
        <v>0.54772255750516596</v>
      </c>
      <c r="V68" s="5">
        <v>4.7</v>
      </c>
      <c r="W68" s="232">
        <v>1</v>
      </c>
      <c r="X68" s="232">
        <v>1</v>
      </c>
      <c r="Y68" s="232">
        <v>0.4</v>
      </c>
      <c r="Z68" s="232">
        <v>0.4</v>
      </c>
      <c r="AA68" s="232">
        <v>0.6801154543955138</v>
      </c>
      <c r="AB68" s="232">
        <v>1.2</v>
      </c>
      <c r="AC68" s="232">
        <v>3.6399999999999997</v>
      </c>
      <c r="AD68" s="232">
        <v>0.38063863131774844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 spans="1:43" x14ac:dyDescent="0.25">
      <c r="A69" s="233" t="s">
        <v>362</v>
      </c>
      <c r="B69" s="232">
        <v>2.0985714285714283</v>
      </c>
      <c r="C69" s="232">
        <v>3.2714285714285714</v>
      </c>
      <c r="D69" s="232">
        <v>3.7857142857142856</v>
      </c>
      <c r="E69" s="5">
        <v>2</v>
      </c>
      <c r="F69" s="5">
        <v>-2</v>
      </c>
      <c r="G69" s="5">
        <v>-1.28</v>
      </c>
      <c r="H69" s="5">
        <v>0.20000000000000018</v>
      </c>
      <c r="I69" s="232">
        <v>0</v>
      </c>
      <c r="J69" s="232">
        <v>0</v>
      </c>
      <c r="K69" s="232">
        <v>0.7142857142857143</v>
      </c>
      <c r="L69" s="5">
        <v>7</v>
      </c>
      <c r="M69" s="232">
        <v>0.42857142857142855</v>
      </c>
      <c r="N69" s="232">
        <v>0.2857142857142857</v>
      </c>
      <c r="O69" s="232">
        <v>0.2857142857142857</v>
      </c>
      <c r="P69" s="5">
        <v>7</v>
      </c>
      <c r="Q69" s="5">
        <v>7</v>
      </c>
      <c r="R69" s="232">
        <v>1.4285714285714286</v>
      </c>
      <c r="S69" s="232">
        <v>1.1428571428571428</v>
      </c>
      <c r="T69" s="232">
        <v>0.53452248382484868</v>
      </c>
      <c r="U69" s="232">
        <v>1.0690449676496976</v>
      </c>
      <c r="V69" s="5">
        <v>-0.89999999999999991</v>
      </c>
      <c r="W69" s="232">
        <v>1</v>
      </c>
      <c r="X69" s="232">
        <v>0.8571428571428571</v>
      </c>
      <c r="Y69" s="232">
        <v>0.42857142857142855</v>
      </c>
      <c r="Z69" s="232">
        <v>0.14285714285714285</v>
      </c>
      <c r="AA69" s="232">
        <v>0.37784802629523118</v>
      </c>
      <c r="AB69" s="232">
        <v>1.5714285714285714</v>
      </c>
      <c r="AC69" s="232">
        <v>3.132857142857143</v>
      </c>
      <c r="AD69" s="232">
        <v>0.37135989025742949</v>
      </c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 spans="1:43" x14ac:dyDescent="0.25">
      <c r="A70" s="233" t="s">
        <v>351</v>
      </c>
      <c r="B70" s="232">
        <v>2.3440000000000003</v>
      </c>
      <c r="C70" s="232">
        <v>3.38</v>
      </c>
      <c r="D70" s="232">
        <v>4.05</v>
      </c>
      <c r="E70" s="5">
        <v>7</v>
      </c>
      <c r="F70" s="5">
        <v>-7</v>
      </c>
      <c r="G70" s="5">
        <v>4.1500000000000004</v>
      </c>
      <c r="H70" s="5">
        <v>-2.15</v>
      </c>
      <c r="I70" s="232">
        <v>0.2</v>
      </c>
      <c r="J70" s="232">
        <v>0</v>
      </c>
      <c r="K70" s="232">
        <v>0.4</v>
      </c>
      <c r="L70" s="5">
        <v>5</v>
      </c>
      <c r="M70" s="232">
        <v>0.8</v>
      </c>
      <c r="N70" s="232">
        <v>0</v>
      </c>
      <c r="O70" s="232">
        <v>0.2</v>
      </c>
      <c r="P70" s="5">
        <v>5</v>
      </c>
      <c r="Q70" s="5">
        <v>5</v>
      </c>
      <c r="R70" s="232">
        <v>2</v>
      </c>
      <c r="S70" s="232">
        <v>0.6</v>
      </c>
      <c r="T70" s="232">
        <v>1.4142135623730951</v>
      </c>
      <c r="U70" s="232">
        <v>0.54772255750516607</v>
      </c>
      <c r="V70" s="5">
        <v>-5</v>
      </c>
      <c r="W70" s="232">
        <v>1</v>
      </c>
      <c r="X70" s="232">
        <v>0.8</v>
      </c>
      <c r="Y70" s="232">
        <v>0.4</v>
      </c>
      <c r="Z70" s="232">
        <v>0.2</v>
      </c>
      <c r="AA70" s="232">
        <v>0.55896103896103888</v>
      </c>
      <c r="AB70" s="232">
        <v>2.4</v>
      </c>
      <c r="AC70" s="232">
        <v>5.49</v>
      </c>
      <c r="AD70" s="232">
        <v>0.37458130796608924</v>
      </c>
      <c r="AE70"/>
      <c r="AF70"/>
      <c r="AG70"/>
      <c r="AH70"/>
      <c r="AI70"/>
      <c r="AJ70"/>
      <c r="AK70"/>
      <c r="AL70"/>
      <c r="AM70"/>
      <c r="AN70"/>
      <c r="AO70"/>
      <c r="AP70"/>
      <c r="AQ70"/>
    </row>
    <row r="71" spans="1:43" x14ac:dyDescent="0.25">
      <c r="A71" s="233" t="s">
        <v>360</v>
      </c>
      <c r="B71" s="232">
        <v>2.322857142857143</v>
      </c>
      <c r="C71" s="232">
        <v>3.3928571428571423</v>
      </c>
      <c r="D71" s="232">
        <v>3.6471428571428572</v>
      </c>
      <c r="E71" s="5">
        <v>2</v>
      </c>
      <c r="F71" s="5">
        <v>-2</v>
      </c>
      <c r="G71" s="5">
        <v>3.62</v>
      </c>
      <c r="H71" s="5">
        <v>0.10000000000000009</v>
      </c>
      <c r="I71" s="232">
        <v>0</v>
      </c>
      <c r="J71" s="232">
        <v>0</v>
      </c>
      <c r="K71" s="232">
        <v>0.8571428571428571</v>
      </c>
      <c r="L71" s="5">
        <v>7</v>
      </c>
      <c r="M71" s="232">
        <v>0.5714285714285714</v>
      </c>
      <c r="N71" s="232">
        <v>0.14285714285714285</v>
      </c>
      <c r="O71" s="232">
        <v>0.2857142857142857</v>
      </c>
      <c r="P71" s="5">
        <v>7</v>
      </c>
      <c r="Q71" s="5">
        <v>7</v>
      </c>
      <c r="R71" s="232">
        <v>1.5714285714285714</v>
      </c>
      <c r="S71" s="232">
        <v>1.2857142857142858</v>
      </c>
      <c r="T71" s="232">
        <v>0.97590007294853331</v>
      </c>
      <c r="U71" s="232">
        <v>0.48795003647426666</v>
      </c>
      <c r="V71" s="5">
        <v>-3.1</v>
      </c>
      <c r="W71" s="232">
        <v>1</v>
      </c>
      <c r="X71" s="232">
        <v>0.8571428571428571</v>
      </c>
      <c r="Y71" s="232">
        <v>0.7142857142857143</v>
      </c>
      <c r="Z71" s="232">
        <v>0.14285714285714285</v>
      </c>
      <c r="AA71" s="232">
        <v>0.52800296408016645</v>
      </c>
      <c r="AB71" s="232">
        <v>1.8571428571428572</v>
      </c>
      <c r="AC71" s="232">
        <v>4.7700000000000005</v>
      </c>
      <c r="AD71" s="232">
        <v>0.42193352945211055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</row>
    <row r="72" spans="1:43" x14ac:dyDescent="0.25">
      <c r="A72" s="233" t="s">
        <v>381</v>
      </c>
      <c r="B72" s="232">
        <v>3</v>
      </c>
      <c r="C72" s="232">
        <v>3.2166666666666663</v>
      </c>
      <c r="D72" s="232">
        <v>2.9866666666666668</v>
      </c>
      <c r="E72" s="5">
        <v>6</v>
      </c>
      <c r="F72" s="5">
        <v>-6</v>
      </c>
      <c r="G72" s="5">
        <v>3.6799999999999997</v>
      </c>
      <c r="H72" s="5">
        <v>-4.43</v>
      </c>
      <c r="I72" s="232">
        <v>0</v>
      </c>
      <c r="J72" s="232">
        <v>0</v>
      </c>
      <c r="K72" s="232">
        <v>0.16666666666666666</v>
      </c>
      <c r="L72" s="5">
        <v>6</v>
      </c>
      <c r="M72" s="232">
        <v>0.66666666666666663</v>
      </c>
      <c r="N72" s="232">
        <v>0.16666666666666666</v>
      </c>
      <c r="O72" s="232">
        <v>0.16666666666666666</v>
      </c>
      <c r="P72" s="5">
        <v>6</v>
      </c>
      <c r="Q72" s="5">
        <v>6</v>
      </c>
      <c r="R72" s="232">
        <v>1.3333333333333333</v>
      </c>
      <c r="S72" s="232">
        <v>0.33333333333333331</v>
      </c>
      <c r="T72" s="232">
        <v>0.81649658092772603</v>
      </c>
      <c r="U72" s="232">
        <v>0.81649658092772603</v>
      </c>
      <c r="V72" s="5">
        <v>-3</v>
      </c>
      <c r="W72" s="232">
        <v>0.83333333333333337</v>
      </c>
      <c r="X72" s="232">
        <v>0.66666666666666663</v>
      </c>
      <c r="Y72" s="232">
        <v>0.16666666666666666</v>
      </c>
      <c r="Z72" s="232">
        <v>0</v>
      </c>
      <c r="AA72" s="232">
        <v>0.47070951918420906</v>
      </c>
      <c r="AB72" s="232">
        <v>2.1666666666666665</v>
      </c>
      <c r="AC72" s="232">
        <v>5.2683333333333335</v>
      </c>
      <c r="AD72" s="232">
        <v>0.37075526980475737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</row>
    <row r="73" spans="1:43" x14ac:dyDescent="0.25">
      <c r="A73" s="233" t="s">
        <v>253</v>
      </c>
      <c r="B73" s="232"/>
      <c r="C73" s="232"/>
      <c r="D73" s="232"/>
      <c r="E73" s="5">
        <v>0</v>
      </c>
      <c r="F73" s="5">
        <v>0</v>
      </c>
      <c r="G73" s="5">
        <v>0</v>
      </c>
      <c r="H73" s="5">
        <v>0</v>
      </c>
      <c r="I73" s="232" t="e">
        <v>#DIV/0!</v>
      </c>
      <c r="J73" s="232" t="e">
        <v>#DIV/0!</v>
      </c>
      <c r="K73" s="232" t="e">
        <v>#DIV/0!</v>
      </c>
      <c r="L73" s="5">
        <v>296</v>
      </c>
      <c r="M73" s="232" t="e">
        <v>#DIV/0!</v>
      </c>
      <c r="N73" s="232" t="e">
        <v>#DIV/0!</v>
      </c>
      <c r="O73" s="232" t="e">
        <v>#DIV/0!</v>
      </c>
      <c r="P73" s="5">
        <v>296</v>
      </c>
      <c r="Q73" s="5">
        <v>296</v>
      </c>
      <c r="R73" s="232"/>
      <c r="S73" s="232"/>
      <c r="T73" s="232"/>
      <c r="U73" s="232"/>
      <c r="V73" s="5">
        <v>0</v>
      </c>
      <c r="W73" s="232" t="e">
        <v>#DIV/0!</v>
      </c>
      <c r="X73" s="232" t="e">
        <v>#DIV/0!</v>
      </c>
      <c r="Y73" s="232" t="e">
        <v>#DIV/0!</v>
      </c>
      <c r="Z73" s="232" t="e">
        <v>#DIV/0!</v>
      </c>
      <c r="AA73" s="232" t="e">
        <v>#DIV/0!</v>
      </c>
      <c r="AB73" s="232" t="e">
        <v>#DIV/0!</v>
      </c>
      <c r="AC73" s="232" t="e">
        <v>#DIV/0!</v>
      </c>
      <c r="AD73" s="232" t="e">
        <v>#DIV/0!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</row>
    <row r="74" spans="1:43" x14ac:dyDescent="0.25">
      <c r="A74" s="233" t="s">
        <v>36</v>
      </c>
      <c r="B74" s="232">
        <v>2.2068376068376061</v>
      </c>
      <c r="C74" s="232">
        <v>3.4776068376068374</v>
      </c>
      <c r="D74" s="232">
        <v>4.2301709401709404</v>
      </c>
      <c r="E74" s="5">
        <v>61</v>
      </c>
      <c r="F74" s="5">
        <v>-61</v>
      </c>
      <c r="G74" s="5">
        <v>-1.8399999999999967</v>
      </c>
      <c r="H74" s="5">
        <v>-19.850000000000009</v>
      </c>
      <c r="I74" s="232">
        <v>6.8376068376068383E-2</v>
      </c>
      <c r="J74" s="232">
        <v>1.7094017094017096E-2</v>
      </c>
      <c r="K74" s="232">
        <v>0.5641025641025641</v>
      </c>
      <c r="L74" s="5">
        <v>413</v>
      </c>
      <c r="M74" s="232">
        <v>0.49572649572649574</v>
      </c>
      <c r="N74" s="232">
        <v>0.26495726495726496</v>
      </c>
      <c r="O74" s="232">
        <v>0.23931623931623933</v>
      </c>
      <c r="P74" s="5">
        <v>413</v>
      </c>
      <c r="Q74" s="5">
        <v>413</v>
      </c>
      <c r="R74" s="232">
        <v>1.5726495726495726</v>
      </c>
      <c r="S74" s="232">
        <v>1.0512820512820513</v>
      </c>
      <c r="T74" s="232">
        <v>1.1470820500689274</v>
      </c>
      <c r="U74" s="232">
        <v>0.9545368424290267</v>
      </c>
      <c r="V74" s="5">
        <v>-12.7</v>
      </c>
      <c r="W74" s="232">
        <v>0.94871794871794868</v>
      </c>
      <c r="X74" s="232">
        <v>0.77777777777777779</v>
      </c>
      <c r="Y74" s="232">
        <v>0.47863247863247865</v>
      </c>
      <c r="Z74" s="232">
        <v>0.21367521367521367</v>
      </c>
      <c r="AA74" s="232">
        <v>0.41567657713659606</v>
      </c>
      <c r="AB74" s="232">
        <v>1.7521367521367521</v>
      </c>
      <c r="AC74" s="232">
        <v>3.5661538461538456</v>
      </c>
      <c r="AD74" s="232">
        <v>0.44215448886555841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</row>
    <row r="76" spans="1:43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</row>
    <row r="77" spans="1:43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</row>
    <row r="78" spans="1:43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</row>
    <row r="79" spans="1:43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1" spans="1:42" x14ac:dyDescent="0.25">
      <c r="A81" s="5" t="s">
        <v>35</v>
      </c>
      <c r="B81" s="5" t="s">
        <v>125</v>
      </c>
      <c r="C81" s="5" t="s">
        <v>126</v>
      </c>
      <c r="D81" s="5" t="s">
        <v>127</v>
      </c>
      <c r="E81" s="5" t="s">
        <v>73</v>
      </c>
      <c r="F81" s="5" t="s">
        <v>74</v>
      </c>
      <c r="G81" s="5" t="s">
        <v>75</v>
      </c>
      <c r="H81" s="5" t="s">
        <v>76</v>
      </c>
      <c r="I81" s="5" t="s">
        <v>114</v>
      </c>
      <c r="J81" s="5" t="s">
        <v>115</v>
      </c>
      <c r="K81" s="5" t="s">
        <v>116</v>
      </c>
      <c r="L81" s="5" t="s">
        <v>83</v>
      </c>
      <c r="M81" s="5" t="s">
        <v>80</v>
      </c>
      <c r="N81" s="5" t="s">
        <v>81</v>
      </c>
      <c r="O81" s="5" t="s">
        <v>82</v>
      </c>
      <c r="P81" s="5" t="s">
        <v>77</v>
      </c>
      <c r="Q81" s="5" t="s">
        <v>78</v>
      </c>
      <c r="R81" s="5" t="s">
        <v>97</v>
      </c>
      <c r="S81" s="5" t="s">
        <v>98</v>
      </c>
      <c r="T81" s="5" t="s">
        <v>93</v>
      </c>
      <c r="U81" s="5" t="s">
        <v>94</v>
      </c>
      <c r="V81" s="5" t="s">
        <v>128</v>
      </c>
      <c r="W81" s="5" t="s">
        <v>198</v>
      </c>
      <c r="X81" s="5" t="s">
        <v>199</v>
      </c>
      <c r="Y81" s="5" t="s">
        <v>200</v>
      </c>
      <c r="Z81" s="5" t="s">
        <v>201</v>
      </c>
      <c r="AA81" s="5" t="s">
        <v>206</v>
      </c>
      <c r="AB81" s="5" t="s">
        <v>203</v>
      </c>
      <c r="AC81" s="5" t="s">
        <v>205</v>
      </c>
      <c r="AD81" s="5" t="s">
        <v>248</v>
      </c>
      <c r="AE81" s="232" t="s">
        <v>287</v>
      </c>
      <c r="AF81"/>
      <c r="AG81"/>
      <c r="AH81"/>
      <c r="AI81"/>
      <c r="AJ81"/>
      <c r="AK81"/>
      <c r="AL81"/>
      <c r="AM81"/>
      <c r="AN81"/>
      <c r="AO81"/>
      <c r="AP81"/>
    </row>
    <row r="82" spans="1:42" x14ac:dyDescent="0.25">
      <c r="A82" s="233" t="s">
        <v>388</v>
      </c>
      <c r="B82" s="232">
        <v>1.8550000000000002</v>
      </c>
      <c r="C82" s="232">
        <v>3.3916666666666671</v>
      </c>
      <c r="D82" s="232">
        <v>4.5166666666666666</v>
      </c>
      <c r="E82" s="5">
        <v>5</v>
      </c>
      <c r="F82" s="5">
        <v>-5</v>
      </c>
      <c r="G82" s="5">
        <v>1.1600000000000001</v>
      </c>
      <c r="H82" s="5">
        <v>-2.1</v>
      </c>
      <c r="I82" s="232">
        <v>0</v>
      </c>
      <c r="J82" s="232">
        <v>0</v>
      </c>
      <c r="K82" s="232">
        <v>0.5</v>
      </c>
      <c r="L82" s="5">
        <v>6</v>
      </c>
      <c r="M82" s="232">
        <v>0.66666666666666663</v>
      </c>
      <c r="N82" s="232">
        <v>0.16666666666666666</v>
      </c>
      <c r="O82" s="232">
        <v>0.16666666666666666</v>
      </c>
      <c r="P82" s="5">
        <v>6</v>
      </c>
      <c r="Q82" s="5">
        <v>6</v>
      </c>
      <c r="R82" s="232">
        <v>1.6666666666666667</v>
      </c>
      <c r="S82" s="232">
        <v>0.83333333333333337</v>
      </c>
      <c r="T82" s="232">
        <v>1.2110601416389966</v>
      </c>
      <c r="U82" s="232">
        <v>0.752772652709081</v>
      </c>
      <c r="V82" s="5">
        <v>-2.7</v>
      </c>
      <c r="W82" s="232">
        <v>1</v>
      </c>
      <c r="X82" s="232">
        <v>0.66666666666666663</v>
      </c>
      <c r="Y82" s="232">
        <v>0.5</v>
      </c>
      <c r="Z82" s="232">
        <v>0.16666666666666666</v>
      </c>
      <c r="AA82" s="232">
        <v>0.37991248517564302</v>
      </c>
      <c r="AB82" s="232">
        <v>0.66666666666666663</v>
      </c>
      <c r="AC82" s="232">
        <v>0.43353757189804409</v>
      </c>
      <c r="AD82" s="232">
        <v>2.6</v>
      </c>
      <c r="AE82" s="232">
        <v>0.48685232895759212</v>
      </c>
      <c r="AF82"/>
      <c r="AG82"/>
      <c r="AH82"/>
      <c r="AI82"/>
      <c r="AJ82"/>
      <c r="AK82"/>
      <c r="AL82"/>
      <c r="AM82"/>
      <c r="AN82"/>
      <c r="AO82"/>
      <c r="AP82"/>
    </row>
    <row r="83" spans="1:42" x14ac:dyDescent="0.25">
      <c r="A83" s="233" t="s">
        <v>359</v>
      </c>
      <c r="B83" s="232">
        <v>2.2485714285714282</v>
      </c>
      <c r="C83" s="232">
        <v>3.2571428571428567</v>
      </c>
      <c r="D83" s="232">
        <v>3.6785714285714279</v>
      </c>
      <c r="E83" s="5">
        <v>4</v>
      </c>
      <c r="F83" s="5">
        <v>-4</v>
      </c>
      <c r="G83" s="5">
        <v>5.3400000000000007</v>
      </c>
      <c r="H83" s="5">
        <v>-4.8</v>
      </c>
      <c r="I83" s="232">
        <v>0</v>
      </c>
      <c r="J83" s="232">
        <v>0.14285714285714285</v>
      </c>
      <c r="K83" s="232">
        <v>0.14285714285714285</v>
      </c>
      <c r="L83" s="5">
        <v>7</v>
      </c>
      <c r="M83" s="232">
        <v>0.8571428571428571</v>
      </c>
      <c r="N83" s="232">
        <v>0</v>
      </c>
      <c r="O83" s="232">
        <v>0.14285714285714285</v>
      </c>
      <c r="P83" s="5">
        <v>7</v>
      </c>
      <c r="Q83" s="5">
        <v>7</v>
      </c>
      <c r="R83" s="232">
        <v>1.2857142857142858</v>
      </c>
      <c r="S83" s="232">
        <v>0.7142857142857143</v>
      </c>
      <c r="T83" s="232">
        <v>0.75592894601845451</v>
      </c>
      <c r="U83" s="232">
        <v>1.4960264830861913</v>
      </c>
      <c r="V83" s="5">
        <v>-7</v>
      </c>
      <c r="W83" s="232">
        <v>1</v>
      </c>
      <c r="X83" s="232">
        <v>0.5714285714285714</v>
      </c>
      <c r="Y83" s="232">
        <v>0.2857142857142857</v>
      </c>
      <c r="Z83" s="232">
        <v>0.14285714285714285</v>
      </c>
      <c r="AA83" s="232">
        <v>0.35631945085726607</v>
      </c>
      <c r="AB83" s="232">
        <v>0.42857142857142855</v>
      </c>
      <c r="AC83" s="232">
        <v>0.23609443777511002</v>
      </c>
      <c r="AD83" s="232">
        <v>0.94285714285714295</v>
      </c>
      <c r="AE83" s="232">
        <v>0.77253628724216961</v>
      </c>
      <c r="AF83"/>
      <c r="AG83"/>
      <c r="AH83"/>
      <c r="AI83"/>
      <c r="AJ83"/>
      <c r="AK83"/>
      <c r="AL83"/>
      <c r="AM83"/>
      <c r="AN83"/>
      <c r="AO83"/>
      <c r="AP83"/>
    </row>
    <row r="84" spans="1:42" x14ac:dyDescent="0.25">
      <c r="A84" s="233" t="s">
        <v>356</v>
      </c>
      <c r="B84" s="232">
        <v>2.1216666666666666</v>
      </c>
      <c r="C84" s="232">
        <v>3.5916666666666668</v>
      </c>
      <c r="D84" s="232">
        <v>3.813333333333333</v>
      </c>
      <c r="E84" s="5">
        <v>1</v>
      </c>
      <c r="F84" s="5">
        <v>-1</v>
      </c>
      <c r="G84" s="5">
        <v>-1.58</v>
      </c>
      <c r="H84" s="5">
        <v>8.0300000000000011</v>
      </c>
      <c r="I84" s="232">
        <v>0.16666666666666666</v>
      </c>
      <c r="J84" s="232">
        <v>0</v>
      </c>
      <c r="K84" s="232">
        <v>0.5</v>
      </c>
      <c r="L84" s="5">
        <v>6</v>
      </c>
      <c r="M84" s="232">
        <v>0.33333333333333331</v>
      </c>
      <c r="N84" s="232">
        <v>0</v>
      </c>
      <c r="O84" s="232">
        <v>0.66666666666666663</v>
      </c>
      <c r="P84" s="5">
        <v>6</v>
      </c>
      <c r="Q84" s="5">
        <v>6</v>
      </c>
      <c r="R84" s="232">
        <v>1.3333333333333333</v>
      </c>
      <c r="S84" s="232">
        <v>1.1666666666666667</v>
      </c>
      <c r="T84" s="232">
        <v>1.505545305418162</v>
      </c>
      <c r="U84" s="232">
        <v>0.75277265270908111</v>
      </c>
      <c r="V84" s="5">
        <v>-6</v>
      </c>
      <c r="W84" s="232">
        <v>1</v>
      </c>
      <c r="X84" s="232">
        <v>0.66666666666666663</v>
      </c>
      <c r="Y84" s="232">
        <v>0.5</v>
      </c>
      <c r="Z84" s="232">
        <v>0.16666666666666666</v>
      </c>
      <c r="AA84" s="232">
        <v>0.43607293572093314</v>
      </c>
      <c r="AB84" s="232">
        <v>2</v>
      </c>
      <c r="AC84" s="232">
        <v>0.53256401221517502</v>
      </c>
      <c r="AD84" s="232">
        <v>7.0150000000000006</v>
      </c>
      <c r="AE84" s="232">
        <v>0.38039471096690153</v>
      </c>
      <c r="AF84"/>
      <c r="AG84"/>
      <c r="AH84"/>
      <c r="AI84"/>
      <c r="AJ84"/>
      <c r="AK84"/>
      <c r="AL84"/>
      <c r="AM84"/>
      <c r="AN84"/>
      <c r="AO84"/>
      <c r="AP84"/>
    </row>
    <row r="85" spans="1:42" x14ac:dyDescent="0.25">
      <c r="A85" s="233" t="s">
        <v>350</v>
      </c>
      <c r="B85" s="232">
        <v>2.1357142857142857</v>
      </c>
      <c r="C85" s="232">
        <v>3.4285714285714284</v>
      </c>
      <c r="D85" s="232">
        <v>4.1728571428571426</v>
      </c>
      <c r="E85" s="5">
        <v>2</v>
      </c>
      <c r="F85" s="5">
        <v>-2</v>
      </c>
      <c r="G85" s="5">
        <v>0.47999999999999954</v>
      </c>
      <c r="H85" s="5">
        <v>3.16</v>
      </c>
      <c r="I85" s="232">
        <v>0.2857142857142857</v>
      </c>
      <c r="J85" s="232">
        <v>0.14285714285714285</v>
      </c>
      <c r="K85" s="232">
        <v>0.8571428571428571</v>
      </c>
      <c r="L85" s="5">
        <v>7</v>
      </c>
      <c r="M85" s="232">
        <v>0.5714285714285714</v>
      </c>
      <c r="N85" s="232">
        <v>0</v>
      </c>
      <c r="O85" s="232">
        <v>0.42857142857142855</v>
      </c>
      <c r="P85" s="5">
        <v>7</v>
      </c>
      <c r="Q85" s="5">
        <v>7</v>
      </c>
      <c r="R85" s="232">
        <v>2.1428571428571428</v>
      </c>
      <c r="S85" s="232">
        <v>1.8571428571428572</v>
      </c>
      <c r="T85" s="232">
        <v>1.6761634196950514</v>
      </c>
      <c r="U85" s="232">
        <v>1.3451854182690985</v>
      </c>
      <c r="V85" s="5">
        <v>-7</v>
      </c>
      <c r="W85" s="232">
        <v>1</v>
      </c>
      <c r="X85" s="232">
        <v>0.8571428571428571</v>
      </c>
      <c r="Y85" s="232">
        <v>0.8571428571428571</v>
      </c>
      <c r="Z85" s="232">
        <v>0.42857142857142855</v>
      </c>
      <c r="AA85" s="232">
        <v>0.57090668035445946</v>
      </c>
      <c r="AB85" s="232">
        <v>1.2857142857142858</v>
      </c>
      <c r="AC85" s="232">
        <v>0.81337571546767562</v>
      </c>
      <c r="AD85" s="232">
        <v>4.3542857142857141</v>
      </c>
      <c r="AE85" s="232">
        <v>0.26943544450747331</v>
      </c>
      <c r="AF85"/>
      <c r="AG85"/>
      <c r="AH85"/>
      <c r="AI85"/>
      <c r="AJ85"/>
      <c r="AK85"/>
      <c r="AL85"/>
      <c r="AM85"/>
      <c r="AN85"/>
      <c r="AO85"/>
      <c r="AP85"/>
    </row>
    <row r="86" spans="1:42" x14ac:dyDescent="0.25">
      <c r="A86" s="233" t="s">
        <v>355</v>
      </c>
      <c r="B86" s="232">
        <v>2.0716666666666668</v>
      </c>
      <c r="C86" s="232">
        <v>3.3033333333333332</v>
      </c>
      <c r="D86" s="232">
        <v>3.92</v>
      </c>
      <c r="E86" s="5">
        <v>3</v>
      </c>
      <c r="F86" s="5">
        <v>-3</v>
      </c>
      <c r="G86" s="5">
        <v>-0.52</v>
      </c>
      <c r="H86" s="5">
        <v>0.41999999999999993</v>
      </c>
      <c r="I86" s="232">
        <v>0</v>
      </c>
      <c r="J86" s="232">
        <v>0</v>
      </c>
      <c r="K86" s="232">
        <v>0.33333333333333331</v>
      </c>
      <c r="L86" s="5">
        <v>6</v>
      </c>
      <c r="M86" s="232">
        <v>0.5</v>
      </c>
      <c r="N86" s="232">
        <v>0.16666666666666666</v>
      </c>
      <c r="O86" s="232">
        <v>0.33333333333333331</v>
      </c>
      <c r="P86" s="5">
        <v>6</v>
      </c>
      <c r="Q86" s="5">
        <v>6</v>
      </c>
      <c r="R86" s="232">
        <v>1.1666666666666667</v>
      </c>
      <c r="S86" s="232">
        <v>0.66666666666666663</v>
      </c>
      <c r="T86" s="232">
        <v>0.98319208025017513</v>
      </c>
      <c r="U86" s="232">
        <v>0.51639777949432231</v>
      </c>
      <c r="V86" s="5">
        <v>-2.6</v>
      </c>
      <c r="W86" s="232">
        <v>1</v>
      </c>
      <c r="X86" s="232">
        <v>0.66666666666666663</v>
      </c>
      <c r="Y86" s="232">
        <v>0.16666666666666666</v>
      </c>
      <c r="Z86" s="232">
        <v>0</v>
      </c>
      <c r="AA86" s="232">
        <v>0.27122092089197353</v>
      </c>
      <c r="AB86" s="232">
        <v>1.1666666666666667</v>
      </c>
      <c r="AC86" s="232">
        <v>0.30364686787721112</v>
      </c>
      <c r="AD86" s="232">
        <v>3.7433333333333336</v>
      </c>
      <c r="AE86" s="232">
        <v>0.53354966054434139</v>
      </c>
      <c r="AF86"/>
      <c r="AG86"/>
      <c r="AH86"/>
      <c r="AI86"/>
      <c r="AJ86"/>
      <c r="AK86"/>
      <c r="AL86"/>
      <c r="AM86"/>
      <c r="AN86"/>
      <c r="AO86"/>
      <c r="AP86"/>
    </row>
    <row r="87" spans="1:42" x14ac:dyDescent="0.25">
      <c r="A87" s="233" t="s">
        <v>390</v>
      </c>
      <c r="B87" s="232">
        <v>1.42</v>
      </c>
      <c r="C87" s="232">
        <v>4.375</v>
      </c>
      <c r="D87" s="232">
        <v>6.6875</v>
      </c>
      <c r="E87" s="5">
        <v>6</v>
      </c>
      <c r="F87" s="5">
        <v>-6</v>
      </c>
      <c r="G87" s="5">
        <v>0.14999999999999991</v>
      </c>
      <c r="H87" s="5">
        <v>-4</v>
      </c>
      <c r="I87" s="232">
        <v>0</v>
      </c>
      <c r="J87" s="232">
        <v>0</v>
      </c>
      <c r="K87" s="232">
        <v>0.25</v>
      </c>
      <c r="L87" s="5">
        <v>4</v>
      </c>
      <c r="M87" s="232">
        <v>0.75</v>
      </c>
      <c r="N87" s="232">
        <v>0.25</v>
      </c>
      <c r="O87" s="232">
        <v>0</v>
      </c>
      <c r="P87" s="5">
        <v>4</v>
      </c>
      <c r="Q87" s="5">
        <v>4</v>
      </c>
      <c r="R87" s="232">
        <v>1.75</v>
      </c>
      <c r="S87" s="232">
        <v>0.25</v>
      </c>
      <c r="T87" s="232">
        <v>0.5</v>
      </c>
      <c r="U87" s="232">
        <v>0.5</v>
      </c>
      <c r="V87" s="5">
        <v>-0.10000000000000009</v>
      </c>
      <c r="W87" s="232">
        <v>1</v>
      </c>
      <c r="X87" s="232">
        <v>1</v>
      </c>
      <c r="Y87" s="232">
        <v>0</v>
      </c>
      <c r="Z87" s="232">
        <v>0</v>
      </c>
      <c r="AA87" s="232">
        <v>0.26195652173913042</v>
      </c>
      <c r="AB87" s="232">
        <v>0.25</v>
      </c>
      <c r="AC87" s="232">
        <v>0.16339869281045752</v>
      </c>
      <c r="AD87" s="232">
        <v>1.5</v>
      </c>
      <c r="AE87" s="232">
        <v>0.79166666666666674</v>
      </c>
      <c r="AF87"/>
      <c r="AG87"/>
      <c r="AH87"/>
      <c r="AI87"/>
      <c r="AJ87"/>
      <c r="AK87"/>
      <c r="AL87"/>
      <c r="AM87"/>
      <c r="AN87"/>
      <c r="AO87"/>
      <c r="AP87"/>
    </row>
    <row r="88" spans="1:42" x14ac:dyDescent="0.25">
      <c r="A88" s="233" t="s">
        <v>357</v>
      </c>
      <c r="B88" s="232">
        <v>2.4300000000000002</v>
      </c>
      <c r="C88" s="232">
        <v>3.15</v>
      </c>
      <c r="D88" s="232">
        <v>3.5583333333333336</v>
      </c>
      <c r="E88" s="5">
        <v>1</v>
      </c>
      <c r="F88" s="5">
        <v>-1</v>
      </c>
      <c r="G88" s="5">
        <v>-4.1899999999999995</v>
      </c>
      <c r="H88" s="5">
        <v>-3.15</v>
      </c>
      <c r="I88" s="232">
        <v>0</v>
      </c>
      <c r="J88" s="232">
        <v>0</v>
      </c>
      <c r="K88" s="232">
        <v>0.5</v>
      </c>
      <c r="L88" s="5">
        <v>6</v>
      </c>
      <c r="M88" s="232">
        <v>0.16666666666666666</v>
      </c>
      <c r="N88" s="232">
        <v>0.66666666666666663</v>
      </c>
      <c r="O88" s="232">
        <v>0.16666666666666666</v>
      </c>
      <c r="P88" s="5">
        <v>6</v>
      </c>
      <c r="Q88" s="5">
        <v>6</v>
      </c>
      <c r="R88" s="232">
        <v>0.83333333333333337</v>
      </c>
      <c r="S88" s="232">
        <v>0.66666666666666663</v>
      </c>
      <c r="T88" s="232">
        <v>1.1690451944500122</v>
      </c>
      <c r="U88" s="232">
        <v>0.51639777949432231</v>
      </c>
      <c r="V88" s="5">
        <v>6.6</v>
      </c>
      <c r="W88" s="232">
        <v>0.66666666666666663</v>
      </c>
      <c r="X88" s="232">
        <v>0.5</v>
      </c>
      <c r="Y88" s="232">
        <v>0.16666666666666666</v>
      </c>
      <c r="Z88" s="232">
        <v>0.16666666666666666</v>
      </c>
      <c r="AA88" s="232">
        <v>0.19112174375332269</v>
      </c>
      <c r="AB88" s="232">
        <v>1.1666666666666667</v>
      </c>
      <c r="AC88" s="232">
        <v>0.32218432385517309</v>
      </c>
      <c r="AD88" s="232">
        <v>3.7166666666666668</v>
      </c>
      <c r="AE88" s="232">
        <v>0.51275917065390753</v>
      </c>
      <c r="AF88"/>
      <c r="AG88"/>
      <c r="AH88"/>
      <c r="AI88"/>
      <c r="AJ88"/>
      <c r="AK88"/>
      <c r="AL88"/>
      <c r="AM88"/>
      <c r="AN88"/>
      <c r="AO88"/>
      <c r="AP88"/>
    </row>
    <row r="89" spans="1:42" x14ac:dyDescent="0.25">
      <c r="A89" s="233" t="s">
        <v>387</v>
      </c>
      <c r="B89" s="232">
        <v>1.835</v>
      </c>
      <c r="C89" s="232">
        <v>3.563333333333333</v>
      </c>
      <c r="D89" s="232">
        <v>5.3916666666666666</v>
      </c>
      <c r="E89" s="5">
        <v>-2</v>
      </c>
      <c r="F89" s="5">
        <v>2</v>
      </c>
      <c r="G89" s="5">
        <v>-4.09</v>
      </c>
      <c r="H89" s="5">
        <v>14.75</v>
      </c>
      <c r="I89" s="232">
        <v>0</v>
      </c>
      <c r="J89" s="232">
        <v>0</v>
      </c>
      <c r="K89" s="232">
        <v>0.5</v>
      </c>
      <c r="L89" s="5">
        <v>6</v>
      </c>
      <c r="M89" s="232">
        <v>0.16666666666666666</v>
      </c>
      <c r="N89" s="232">
        <v>0.33333333333333331</v>
      </c>
      <c r="O89" s="232">
        <v>0.5</v>
      </c>
      <c r="P89" s="5">
        <v>6</v>
      </c>
      <c r="Q89" s="5">
        <v>6</v>
      </c>
      <c r="R89" s="232">
        <v>1.3333333333333333</v>
      </c>
      <c r="S89" s="232">
        <v>1.6666666666666667</v>
      </c>
      <c r="T89" s="232">
        <v>1.2110601416389968</v>
      </c>
      <c r="U89" s="232">
        <v>1.0327955589886444</v>
      </c>
      <c r="V89" s="5">
        <v>0.60000000000000009</v>
      </c>
      <c r="W89" s="232">
        <v>1</v>
      </c>
      <c r="X89" s="232">
        <v>0.83333333333333337</v>
      </c>
      <c r="Y89" s="232">
        <v>0.5</v>
      </c>
      <c r="Z89" s="232">
        <v>0.33333333333333331</v>
      </c>
      <c r="AA89" s="232">
        <v>0.35576362289371227</v>
      </c>
      <c r="AB89" s="232">
        <v>1.8333333333333333</v>
      </c>
      <c r="AC89" s="232">
        <v>0.92322866436511619</v>
      </c>
      <c r="AD89" s="232">
        <v>11.516666666666667</v>
      </c>
      <c r="AE89" s="232">
        <v>0.25957756025283335</v>
      </c>
      <c r="AF89"/>
      <c r="AG89"/>
      <c r="AH89"/>
      <c r="AI89"/>
      <c r="AJ89"/>
      <c r="AK89"/>
      <c r="AL89"/>
      <c r="AM89"/>
      <c r="AN89"/>
      <c r="AO89"/>
      <c r="AP89"/>
    </row>
    <row r="90" spans="1:42" x14ac:dyDescent="0.25">
      <c r="A90" s="233" t="s">
        <v>358</v>
      </c>
      <c r="B90" s="232">
        <v>2.08</v>
      </c>
      <c r="C90" s="232">
        <v>3.3199999999999994</v>
      </c>
      <c r="D90" s="232">
        <v>4.04</v>
      </c>
      <c r="E90" s="5">
        <v>10</v>
      </c>
      <c r="F90" s="5">
        <v>-10</v>
      </c>
      <c r="G90" s="5">
        <v>3</v>
      </c>
      <c r="H90" s="5">
        <v>-5</v>
      </c>
      <c r="I90" s="232">
        <v>0.4</v>
      </c>
      <c r="J90" s="232">
        <v>0</v>
      </c>
      <c r="K90" s="232">
        <v>0.6</v>
      </c>
      <c r="L90" s="5">
        <v>5</v>
      </c>
      <c r="M90" s="232">
        <v>0.8</v>
      </c>
      <c r="N90" s="232">
        <v>0.2</v>
      </c>
      <c r="O90" s="232">
        <v>0</v>
      </c>
      <c r="P90" s="5">
        <v>5</v>
      </c>
      <c r="Q90" s="5">
        <v>5</v>
      </c>
      <c r="R90" s="232">
        <v>2.8</v>
      </c>
      <c r="S90" s="232">
        <v>0.8</v>
      </c>
      <c r="T90" s="232">
        <v>1.0954451150103319</v>
      </c>
      <c r="U90" s="232">
        <v>0.83666002653407556</v>
      </c>
      <c r="V90" s="5">
        <v>-2</v>
      </c>
      <c r="W90" s="232">
        <v>1</v>
      </c>
      <c r="X90" s="232">
        <v>1</v>
      </c>
      <c r="Y90" s="232">
        <v>0.8</v>
      </c>
      <c r="Z90" s="232">
        <v>0.6</v>
      </c>
      <c r="AA90" s="232">
        <v>0.76151511886806</v>
      </c>
      <c r="AB90" s="232">
        <v>0.2</v>
      </c>
      <c r="AC90" s="232">
        <v>0.35492801771871541</v>
      </c>
      <c r="AD90" s="232">
        <v>0.64</v>
      </c>
      <c r="AE90" s="232">
        <v>0.54394841269841265</v>
      </c>
      <c r="AF90"/>
      <c r="AG90"/>
      <c r="AH90"/>
      <c r="AI90"/>
      <c r="AJ90"/>
      <c r="AK90"/>
      <c r="AL90"/>
      <c r="AM90"/>
      <c r="AN90"/>
      <c r="AO90"/>
      <c r="AP90"/>
    </row>
    <row r="91" spans="1:42" x14ac:dyDescent="0.25">
      <c r="A91" s="233" t="s">
        <v>363</v>
      </c>
      <c r="B91" s="232">
        <v>3.9916666666666667</v>
      </c>
      <c r="C91" s="232">
        <v>3.25</v>
      </c>
      <c r="D91" s="232">
        <v>2.0550000000000002</v>
      </c>
      <c r="E91" s="5">
        <v>-1</v>
      </c>
      <c r="F91" s="5">
        <v>1</v>
      </c>
      <c r="G91" s="5">
        <v>1.5</v>
      </c>
      <c r="H91" s="5">
        <v>-0.16999999999999993</v>
      </c>
      <c r="I91" s="232">
        <v>0</v>
      </c>
      <c r="J91" s="232">
        <v>0</v>
      </c>
      <c r="K91" s="232">
        <v>0.66666666666666663</v>
      </c>
      <c r="L91" s="5">
        <v>6</v>
      </c>
      <c r="M91" s="232">
        <v>0.33333333333333331</v>
      </c>
      <c r="N91" s="232">
        <v>0.16666666666666666</v>
      </c>
      <c r="O91" s="232">
        <v>0.5</v>
      </c>
      <c r="P91" s="5">
        <v>6</v>
      </c>
      <c r="Q91" s="5">
        <v>6</v>
      </c>
      <c r="R91" s="232">
        <v>1.3333333333333333</v>
      </c>
      <c r="S91" s="232">
        <v>1.5</v>
      </c>
      <c r="T91" s="232">
        <v>1.0327955589886446</v>
      </c>
      <c r="U91" s="232">
        <v>1.0488088481701516</v>
      </c>
      <c r="V91" s="5">
        <v>-2.9</v>
      </c>
      <c r="W91" s="232">
        <v>1</v>
      </c>
      <c r="X91" s="232">
        <v>1</v>
      </c>
      <c r="Y91" s="232">
        <v>0.83333333333333337</v>
      </c>
      <c r="Z91" s="232">
        <v>0</v>
      </c>
      <c r="AA91" s="232">
        <v>0.64657076295575799</v>
      </c>
      <c r="AB91" s="232">
        <v>1.6666666666666667</v>
      </c>
      <c r="AC91" s="232">
        <v>0.37815355355979774</v>
      </c>
      <c r="AD91" s="232">
        <v>3.2900000000000005</v>
      </c>
      <c r="AE91" s="232">
        <v>0.43412454397072553</v>
      </c>
      <c r="AF91"/>
      <c r="AG91"/>
      <c r="AH91"/>
      <c r="AI91"/>
      <c r="AJ91"/>
      <c r="AK91"/>
      <c r="AL91"/>
      <c r="AM91"/>
      <c r="AN91"/>
      <c r="AO91"/>
      <c r="AP91"/>
    </row>
    <row r="92" spans="1:42" x14ac:dyDescent="0.25">
      <c r="A92" s="233" t="s">
        <v>352</v>
      </c>
      <c r="B92" s="232">
        <v>2.7633333333333332</v>
      </c>
      <c r="C92" s="232">
        <v>3.3333333333333326</v>
      </c>
      <c r="D92" s="232">
        <v>3.0933333333333333</v>
      </c>
      <c r="E92" s="5">
        <v>-1</v>
      </c>
      <c r="F92" s="5">
        <v>1</v>
      </c>
      <c r="G92" s="5">
        <v>-0.67999999999999972</v>
      </c>
      <c r="H92" s="5">
        <v>-0.63999999999999968</v>
      </c>
      <c r="I92" s="232">
        <v>0</v>
      </c>
      <c r="J92" s="232">
        <v>0</v>
      </c>
      <c r="K92" s="232">
        <v>0.83333333333333337</v>
      </c>
      <c r="L92" s="5">
        <v>6</v>
      </c>
      <c r="M92" s="232">
        <v>0.33333333333333331</v>
      </c>
      <c r="N92" s="232">
        <v>0.33333333333333331</v>
      </c>
      <c r="O92" s="232">
        <v>0.33333333333333331</v>
      </c>
      <c r="P92" s="5">
        <v>6</v>
      </c>
      <c r="Q92" s="5">
        <v>6</v>
      </c>
      <c r="R92" s="232">
        <v>1.5</v>
      </c>
      <c r="S92" s="232">
        <v>1.6666666666666667</v>
      </c>
      <c r="T92" s="232">
        <v>1.0488088481701516</v>
      </c>
      <c r="U92" s="232">
        <v>0.81649658092772592</v>
      </c>
      <c r="V92" s="5">
        <v>0.29999999999999982</v>
      </c>
      <c r="W92" s="232">
        <v>1</v>
      </c>
      <c r="X92" s="232">
        <v>1</v>
      </c>
      <c r="Y92" s="232">
        <v>0.5</v>
      </c>
      <c r="Z92" s="232">
        <v>0.33333333333333331</v>
      </c>
      <c r="AA92" s="232">
        <v>0.51296296296296295</v>
      </c>
      <c r="AB92" s="232">
        <v>1.3333333333333333</v>
      </c>
      <c r="AC92" s="232">
        <v>0.64554440188989382</v>
      </c>
      <c r="AD92" s="232">
        <v>3.6966666666666668</v>
      </c>
      <c r="AE92" s="232">
        <v>0.24665471923536444</v>
      </c>
      <c r="AF92"/>
      <c r="AG92"/>
      <c r="AH92"/>
      <c r="AI92"/>
      <c r="AJ92"/>
      <c r="AK92"/>
      <c r="AL92"/>
      <c r="AM92"/>
      <c r="AN92"/>
      <c r="AO92"/>
      <c r="AP92"/>
    </row>
    <row r="93" spans="1:42" x14ac:dyDescent="0.25">
      <c r="A93" s="233" t="s">
        <v>361</v>
      </c>
      <c r="B93" s="232">
        <v>1.8485714285714288</v>
      </c>
      <c r="C93" s="232">
        <v>3.7042857142857146</v>
      </c>
      <c r="D93" s="232">
        <v>4.6899999999999995</v>
      </c>
      <c r="E93" s="5">
        <v>7</v>
      </c>
      <c r="F93" s="5">
        <v>-7</v>
      </c>
      <c r="G93" s="5">
        <v>1.3800000000000001</v>
      </c>
      <c r="H93" s="5">
        <v>-7</v>
      </c>
      <c r="I93" s="232">
        <v>0</v>
      </c>
      <c r="J93" s="232">
        <v>0</v>
      </c>
      <c r="K93" s="232">
        <v>0.5714285714285714</v>
      </c>
      <c r="L93" s="5">
        <v>7</v>
      </c>
      <c r="M93" s="232">
        <v>0.7142857142857143</v>
      </c>
      <c r="N93" s="232">
        <v>0.2857142857142857</v>
      </c>
      <c r="O93" s="232">
        <v>0</v>
      </c>
      <c r="P93" s="5">
        <v>7</v>
      </c>
      <c r="Q93" s="5">
        <v>7</v>
      </c>
      <c r="R93" s="232">
        <v>1.5714285714285714</v>
      </c>
      <c r="S93" s="232">
        <v>0.5714285714285714</v>
      </c>
      <c r="T93" s="232">
        <v>0.7867957924694432</v>
      </c>
      <c r="U93" s="232">
        <v>0.53452248382484879</v>
      </c>
      <c r="V93" s="5">
        <v>0</v>
      </c>
      <c r="W93" s="232">
        <v>0.8571428571428571</v>
      </c>
      <c r="X93" s="232">
        <v>0.8571428571428571</v>
      </c>
      <c r="Y93" s="232">
        <v>0.42857142857142855</v>
      </c>
      <c r="Z93" s="232">
        <v>0</v>
      </c>
      <c r="AA93" s="232">
        <v>0.34578369956276511</v>
      </c>
      <c r="AB93" s="232">
        <v>0.2857142857142857</v>
      </c>
      <c r="AC93" s="232">
        <v>0.31702997252838994</v>
      </c>
      <c r="AD93" s="232">
        <v>1.0071428571428571</v>
      </c>
      <c r="AE93" s="232">
        <v>0.57129468917801085</v>
      </c>
      <c r="AF93"/>
      <c r="AG93"/>
      <c r="AH93"/>
      <c r="AI93"/>
      <c r="AJ93"/>
      <c r="AK93"/>
      <c r="AL93"/>
      <c r="AM93"/>
      <c r="AN93"/>
      <c r="AO93"/>
      <c r="AP93"/>
    </row>
    <row r="94" spans="1:42" x14ac:dyDescent="0.25">
      <c r="A94" s="233" t="s">
        <v>354</v>
      </c>
      <c r="B94" s="232">
        <v>2.1639999999999997</v>
      </c>
      <c r="C94" s="232">
        <v>3.5200000000000005</v>
      </c>
      <c r="D94" s="232">
        <v>4.1500000000000004</v>
      </c>
      <c r="E94" s="5">
        <v>-1</v>
      </c>
      <c r="F94" s="5">
        <v>1</v>
      </c>
      <c r="G94" s="5">
        <v>-2.99</v>
      </c>
      <c r="H94" s="5">
        <v>2.4000000000000004</v>
      </c>
      <c r="I94" s="232">
        <v>0</v>
      </c>
      <c r="J94" s="232">
        <v>0</v>
      </c>
      <c r="K94" s="232">
        <v>0.6</v>
      </c>
      <c r="L94" s="5">
        <v>5</v>
      </c>
      <c r="M94" s="232">
        <v>0.2</v>
      </c>
      <c r="N94" s="232">
        <v>0.4</v>
      </c>
      <c r="O94" s="232">
        <v>0.4</v>
      </c>
      <c r="P94" s="5">
        <v>5</v>
      </c>
      <c r="Q94" s="5">
        <v>5</v>
      </c>
      <c r="R94" s="232">
        <v>0.8</v>
      </c>
      <c r="S94" s="232">
        <v>1</v>
      </c>
      <c r="T94" s="232">
        <v>0.44721359549995787</v>
      </c>
      <c r="U94" s="232">
        <v>0.70710678118654757</v>
      </c>
      <c r="V94" s="5">
        <v>2.9000000000000004</v>
      </c>
      <c r="W94" s="232">
        <v>1</v>
      </c>
      <c r="X94" s="232">
        <v>0.6</v>
      </c>
      <c r="Y94" s="232">
        <v>0.2</v>
      </c>
      <c r="Z94" s="232">
        <v>0</v>
      </c>
      <c r="AA94" s="232">
        <v>0.22779803058872825</v>
      </c>
      <c r="AB94" s="232">
        <v>1.6</v>
      </c>
      <c r="AC94" s="232">
        <v>0.49374247962727463</v>
      </c>
      <c r="AD94" s="232">
        <v>6.37</v>
      </c>
      <c r="AE94" s="232">
        <v>0.4007710035617012</v>
      </c>
      <c r="AF94"/>
      <c r="AG94"/>
      <c r="AH94"/>
      <c r="AI94"/>
      <c r="AJ94"/>
      <c r="AK94"/>
      <c r="AL94"/>
      <c r="AM94"/>
      <c r="AN94"/>
      <c r="AO94"/>
      <c r="AP94"/>
    </row>
    <row r="95" spans="1:42" x14ac:dyDescent="0.25">
      <c r="A95" s="233" t="s">
        <v>382</v>
      </c>
      <c r="B95" s="232">
        <v>2.2919999999999998</v>
      </c>
      <c r="C95" s="232">
        <v>3.3099999999999996</v>
      </c>
      <c r="D95" s="232">
        <v>3.5700000000000003</v>
      </c>
      <c r="E95" s="5">
        <v>2</v>
      </c>
      <c r="F95" s="5">
        <v>-2</v>
      </c>
      <c r="G95" s="5">
        <v>1.5</v>
      </c>
      <c r="H95" s="5">
        <v>-0.90000000000000036</v>
      </c>
      <c r="I95" s="232">
        <v>0</v>
      </c>
      <c r="J95" s="232">
        <v>0</v>
      </c>
      <c r="K95" s="232">
        <v>0.6</v>
      </c>
      <c r="L95" s="5">
        <v>5</v>
      </c>
      <c r="M95" s="232">
        <v>0.6</v>
      </c>
      <c r="N95" s="232">
        <v>0.2</v>
      </c>
      <c r="O95" s="232">
        <v>0.2</v>
      </c>
      <c r="P95" s="5">
        <v>5</v>
      </c>
      <c r="Q95" s="5">
        <v>5</v>
      </c>
      <c r="R95" s="232">
        <v>1.6</v>
      </c>
      <c r="S95" s="232">
        <v>1.2</v>
      </c>
      <c r="T95" s="232">
        <v>0.89442719099991574</v>
      </c>
      <c r="U95" s="232">
        <v>1.0954451150103321</v>
      </c>
      <c r="V95" s="5">
        <v>-1.9</v>
      </c>
      <c r="W95" s="232">
        <v>1</v>
      </c>
      <c r="X95" s="232">
        <v>0.6</v>
      </c>
      <c r="Y95" s="232">
        <v>0.6</v>
      </c>
      <c r="Z95" s="232">
        <v>0.4</v>
      </c>
      <c r="AA95" s="232">
        <v>0.52198622943167228</v>
      </c>
      <c r="AB95" s="232">
        <v>0.8</v>
      </c>
      <c r="AC95" s="232">
        <v>0.51649981460882466</v>
      </c>
      <c r="AD95" s="232">
        <v>2.94</v>
      </c>
      <c r="AE95" s="232">
        <v>0.49939024390243897</v>
      </c>
      <c r="AF95"/>
      <c r="AG95"/>
      <c r="AH95"/>
      <c r="AI95"/>
      <c r="AJ95"/>
      <c r="AK95"/>
      <c r="AL95"/>
      <c r="AM95"/>
      <c r="AN95"/>
      <c r="AO95"/>
      <c r="AP95"/>
    </row>
    <row r="96" spans="1:42" x14ac:dyDescent="0.25">
      <c r="A96" s="233" t="s">
        <v>353</v>
      </c>
      <c r="B96" s="232">
        <v>2.82</v>
      </c>
      <c r="C96" s="232">
        <v>3.1416666666666671</v>
      </c>
      <c r="D96" s="232">
        <v>2.6166666666666667</v>
      </c>
      <c r="E96" s="5">
        <v>-3</v>
      </c>
      <c r="F96" s="5">
        <v>3</v>
      </c>
      <c r="G96" s="5">
        <v>-2.9</v>
      </c>
      <c r="H96" s="5">
        <v>1.9500000000000002</v>
      </c>
      <c r="I96" s="232">
        <v>0</v>
      </c>
      <c r="J96" s="232">
        <v>0</v>
      </c>
      <c r="K96" s="232">
        <v>0.66666666666666663</v>
      </c>
      <c r="L96" s="5">
        <v>6</v>
      </c>
      <c r="M96" s="232">
        <v>0.16666666666666666</v>
      </c>
      <c r="N96" s="232">
        <v>0.33333333333333331</v>
      </c>
      <c r="O96" s="232">
        <v>0.5</v>
      </c>
      <c r="P96" s="5">
        <v>6</v>
      </c>
      <c r="Q96" s="5">
        <v>6</v>
      </c>
      <c r="R96" s="232">
        <v>1</v>
      </c>
      <c r="S96" s="232">
        <v>1.5</v>
      </c>
      <c r="T96" s="232">
        <v>0.89442719099991586</v>
      </c>
      <c r="U96" s="232">
        <v>1.0488088481701516</v>
      </c>
      <c r="V96" s="5">
        <v>0.10000000000000009</v>
      </c>
      <c r="W96" s="232">
        <v>0.83333333333333337</v>
      </c>
      <c r="X96" s="232">
        <v>0.66666666666666663</v>
      </c>
      <c r="Y96" s="232">
        <v>0.66666666666666663</v>
      </c>
      <c r="Z96" s="232">
        <v>0.33333333333333331</v>
      </c>
      <c r="AA96" s="232">
        <v>0.40477582846003896</v>
      </c>
      <c r="AB96" s="232">
        <v>1.8333333333333333</v>
      </c>
      <c r="AC96" s="232">
        <v>0.52434905094626449</v>
      </c>
      <c r="AD96" s="232">
        <v>4.8666666666666671</v>
      </c>
      <c r="AE96" s="232">
        <v>0.38185510071474987</v>
      </c>
      <c r="AF96"/>
      <c r="AG96"/>
      <c r="AH96"/>
      <c r="AI96"/>
      <c r="AJ96"/>
      <c r="AK96"/>
      <c r="AL96"/>
      <c r="AM96"/>
      <c r="AN96"/>
      <c r="AO96"/>
      <c r="AP96"/>
    </row>
    <row r="97" spans="1:42" x14ac:dyDescent="0.25">
      <c r="A97" s="233" t="s">
        <v>389</v>
      </c>
      <c r="B97" s="232">
        <v>1.5385714285714287</v>
      </c>
      <c r="C97" s="232">
        <v>4.3142857142857141</v>
      </c>
      <c r="D97" s="232">
        <v>7.3214285714285712</v>
      </c>
      <c r="E97" s="5">
        <v>10</v>
      </c>
      <c r="F97" s="5">
        <v>-10</v>
      </c>
      <c r="G97" s="5">
        <v>0.67999999999999994</v>
      </c>
      <c r="H97" s="5">
        <v>-7</v>
      </c>
      <c r="I97" s="232">
        <v>0.14285714285714285</v>
      </c>
      <c r="J97" s="232">
        <v>0</v>
      </c>
      <c r="K97" s="232">
        <v>0.2857142857142857</v>
      </c>
      <c r="L97" s="5">
        <v>7</v>
      </c>
      <c r="M97" s="232">
        <v>0.7142857142857143</v>
      </c>
      <c r="N97" s="232">
        <v>0.2857142857142857</v>
      </c>
      <c r="O97" s="232">
        <v>0</v>
      </c>
      <c r="P97" s="5">
        <v>7</v>
      </c>
      <c r="Q97" s="5">
        <v>7</v>
      </c>
      <c r="R97" s="232">
        <v>2.1428571428571428</v>
      </c>
      <c r="S97" s="232">
        <v>0.7142857142857143</v>
      </c>
      <c r="T97" s="232">
        <v>1.3451854182690983</v>
      </c>
      <c r="U97" s="232">
        <v>1.2535663410560174</v>
      </c>
      <c r="V97" s="5">
        <v>1.2000000000000002</v>
      </c>
      <c r="W97" s="232">
        <v>0.8571428571428571</v>
      </c>
      <c r="X97" s="232">
        <v>0.7142857142857143</v>
      </c>
      <c r="Y97" s="232">
        <v>0.42857142857142855</v>
      </c>
      <c r="Z97" s="232">
        <v>0.2857142857142857</v>
      </c>
      <c r="AA97" s="232">
        <v>0.30867627459362551</v>
      </c>
      <c r="AB97" s="232">
        <v>0.2857142857142857</v>
      </c>
      <c r="AC97" s="232">
        <v>0.49570592195181656</v>
      </c>
      <c r="AD97" s="232">
        <v>1.75</v>
      </c>
      <c r="AE97" s="232">
        <v>0.73162393162393158</v>
      </c>
      <c r="AF97"/>
      <c r="AG97"/>
      <c r="AH97"/>
      <c r="AI97"/>
      <c r="AJ97"/>
      <c r="AK97"/>
      <c r="AL97"/>
      <c r="AM97"/>
      <c r="AN97"/>
      <c r="AO97"/>
      <c r="AP97"/>
    </row>
    <row r="98" spans="1:42" x14ac:dyDescent="0.25">
      <c r="A98" s="233" t="s">
        <v>362</v>
      </c>
      <c r="B98" s="232">
        <v>1.9159999999999999</v>
      </c>
      <c r="C98" s="232">
        <v>3.6799999999999997</v>
      </c>
      <c r="D98" s="232">
        <v>5.5</v>
      </c>
      <c r="E98" s="5">
        <v>5</v>
      </c>
      <c r="F98" s="5">
        <v>-5</v>
      </c>
      <c r="G98" s="5">
        <v>1.26</v>
      </c>
      <c r="H98" s="5">
        <v>-5</v>
      </c>
      <c r="I98" s="232">
        <v>0.2</v>
      </c>
      <c r="J98" s="232">
        <v>0</v>
      </c>
      <c r="K98" s="232">
        <v>0.8</v>
      </c>
      <c r="L98" s="5">
        <v>5</v>
      </c>
      <c r="M98" s="232">
        <v>0.6</v>
      </c>
      <c r="N98" s="232">
        <v>0.4</v>
      </c>
      <c r="O98" s="232">
        <v>0</v>
      </c>
      <c r="P98" s="5">
        <v>5</v>
      </c>
      <c r="Q98" s="5">
        <v>5</v>
      </c>
      <c r="R98" s="232">
        <v>2.2000000000000002</v>
      </c>
      <c r="S98" s="232">
        <v>1.2</v>
      </c>
      <c r="T98" s="232">
        <v>1.4832396974191326</v>
      </c>
      <c r="U98" s="232">
        <v>0.83666002653407556</v>
      </c>
      <c r="V98" s="5">
        <v>2.3000000000000003</v>
      </c>
      <c r="W98" s="232">
        <v>0.8</v>
      </c>
      <c r="X98" s="232">
        <v>0.8</v>
      </c>
      <c r="Y98" s="232">
        <v>0.8</v>
      </c>
      <c r="Z98" s="232">
        <v>0.6</v>
      </c>
      <c r="AA98" s="232">
        <v>0.55875598086124401</v>
      </c>
      <c r="AB98" s="232">
        <v>0.4</v>
      </c>
      <c r="AC98" s="232">
        <v>0.63018415892770452</v>
      </c>
      <c r="AD98" s="232">
        <v>2</v>
      </c>
      <c r="AE98" s="232">
        <v>0.32923444976076555</v>
      </c>
      <c r="AF98"/>
      <c r="AG98"/>
      <c r="AH98"/>
      <c r="AI98"/>
      <c r="AJ98"/>
      <c r="AK98"/>
      <c r="AL98"/>
      <c r="AM98"/>
      <c r="AN98"/>
      <c r="AO98"/>
      <c r="AP98"/>
    </row>
    <row r="99" spans="1:42" x14ac:dyDescent="0.25">
      <c r="A99" s="233" t="s">
        <v>351</v>
      </c>
      <c r="B99" s="232">
        <v>2.358571428571429</v>
      </c>
      <c r="C99" s="232">
        <v>3.0857142857142859</v>
      </c>
      <c r="D99" s="232">
        <v>3.2285714285714286</v>
      </c>
      <c r="E99" s="5">
        <v>2</v>
      </c>
      <c r="F99" s="5">
        <v>-2</v>
      </c>
      <c r="G99" s="5">
        <v>0.30999999999999961</v>
      </c>
      <c r="H99" s="5">
        <v>-0.79999999999999982</v>
      </c>
      <c r="I99" s="232">
        <v>0</v>
      </c>
      <c r="J99" s="232">
        <v>0</v>
      </c>
      <c r="K99" s="232">
        <v>0.5714285714285714</v>
      </c>
      <c r="L99" s="5">
        <v>7</v>
      </c>
      <c r="M99" s="232">
        <v>0.42857142857142855</v>
      </c>
      <c r="N99" s="232">
        <v>0.2857142857142857</v>
      </c>
      <c r="O99" s="232">
        <v>0.2857142857142857</v>
      </c>
      <c r="P99" s="5">
        <v>7</v>
      </c>
      <c r="Q99" s="5">
        <v>7</v>
      </c>
      <c r="R99" s="232">
        <v>1.1428571428571428</v>
      </c>
      <c r="S99" s="232">
        <v>0.8571428571428571</v>
      </c>
      <c r="T99" s="232">
        <v>0.69006555934235425</v>
      </c>
      <c r="U99" s="232">
        <v>0.69006555934235414</v>
      </c>
      <c r="V99" s="5">
        <v>-0.89999999999999991</v>
      </c>
      <c r="W99" s="232">
        <v>1</v>
      </c>
      <c r="X99" s="232">
        <v>0.7142857142857143</v>
      </c>
      <c r="Y99" s="232">
        <v>0.2857142857142857</v>
      </c>
      <c r="Z99" s="232">
        <v>0</v>
      </c>
      <c r="AA99" s="232">
        <v>0.36328304048892285</v>
      </c>
      <c r="AB99" s="232">
        <v>1.1428571428571428</v>
      </c>
      <c r="AC99" s="232">
        <v>0.38117685731620016</v>
      </c>
      <c r="AD99" s="232">
        <v>3.6428571428571432</v>
      </c>
      <c r="AE99" s="232">
        <v>0.47830988455988449</v>
      </c>
      <c r="AF99"/>
      <c r="AG99"/>
      <c r="AH99"/>
      <c r="AI99"/>
      <c r="AJ99"/>
      <c r="AK99"/>
      <c r="AL99"/>
      <c r="AM99"/>
      <c r="AN99"/>
      <c r="AO99"/>
      <c r="AP99"/>
    </row>
    <row r="100" spans="1:42" x14ac:dyDescent="0.25">
      <c r="A100" s="233" t="s">
        <v>360</v>
      </c>
      <c r="B100" s="232">
        <v>2.262</v>
      </c>
      <c r="C100" s="232">
        <v>3.2600000000000002</v>
      </c>
      <c r="D100" s="232">
        <v>3.54</v>
      </c>
      <c r="E100" s="5">
        <v>2</v>
      </c>
      <c r="F100" s="5">
        <v>-2</v>
      </c>
      <c r="G100" s="5">
        <v>-1.2000000000000002</v>
      </c>
      <c r="H100" s="5">
        <v>-5</v>
      </c>
      <c r="I100" s="232">
        <v>0</v>
      </c>
      <c r="J100" s="232">
        <v>0</v>
      </c>
      <c r="K100" s="232">
        <v>1</v>
      </c>
      <c r="L100" s="5">
        <v>5</v>
      </c>
      <c r="M100" s="232">
        <v>0.4</v>
      </c>
      <c r="N100" s="232">
        <v>0.6</v>
      </c>
      <c r="O100" s="232">
        <v>0</v>
      </c>
      <c r="P100" s="5">
        <v>5</v>
      </c>
      <c r="Q100" s="5">
        <v>5</v>
      </c>
      <c r="R100" s="232">
        <v>1.8</v>
      </c>
      <c r="S100" s="232">
        <v>1.4</v>
      </c>
      <c r="T100" s="232">
        <v>0.83666002653407567</v>
      </c>
      <c r="U100" s="232">
        <v>0.89442719099991574</v>
      </c>
      <c r="V100" s="5">
        <v>4.5999999999999996</v>
      </c>
      <c r="W100" s="232">
        <v>1</v>
      </c>
      <c r="X100" s="232">
        <v>1</v>
      </c>
      <c r="Y100" s="232">
        <v>0.6</v>
      </c>
      <c r="Z100" s="232">
        <v>0.2</v>
      </c>
      <c r="AA100" s="232">
        <v>0.4911399711399711</v>
      </c>
      <c r="AB100" s="232">
        <v>0.6</v>
      </c>
      <c r="AC100" s="232">
        <v>0.66827316811582238</v>
      </c>
      <c r="AD100" s="232">
        <v>1.89</v>
      </c>
      <c r="AE100" s="232">
        <v>0.26637806637806638</v>
      </c>
      <c r="AF100"/>
      <c r="AG100"/>
      <c r="AH100"/>
      <c r="AI100"/>
      <c r="AJ100"/>
      <c r="AK100"/>
      <c r="AL100"/>
      <c r="AM100"/>
      <c r="AN100"/>
      <c r="AO100"/>
      <c r="AP100"/>
    </row>
    <row r="101" spans="1:42" x14ac:dyDescent="0.25">
      <c r="A101" s="233" t="s">
        <v>381</v>
      </c>
      <c r="B101" s="232">
        <v>1.7420000000000002</v>
      </c>
      <c r="C101" s="232">
        <v>3.81</v>
      </c>
      <c r="D101" s="232">
        <v>5.75</v>
      </c>
      <c r="E101" s="5">
        <v>9</v>
      </c>
      <c r="F101" s="5">
        <v>-9</v>
      </c>
      <c r="G101" s="5">
        <v>-0.44999999999999996</v>
      </c>
      <c r="H101" s="5">
        <v>-5</v>
      </c>
      <c r="I101" s="232">
        <v>0.2</v>
      </c>
      <c r="J101" s="232">
        <v>0</v>
      </c>
      <c r="K101" s="232">
        <v>0.6</v>
      </c>
      <c r="L101" s="5">
        <v>5</v>
      </c>
      <c r="M101" s="232">
        <v>0.6</v>
      </c>
      <c r="N101" s="232">
        <v>0.4</v>
      </c>
      <c r="O101" s="232">
        <v>0</v>
      </c>
      <c r="P101" s="5">
        <v>5</v>
      </c>
      <c r="Q101" s="5">
        <v>5</v>
      </c>
      <c r="R101" s="232">
        <v>2.4</v>
      </c>
      <c r="S101" s="232">
        <v>0.6</v>
      </c>
      <c r="T101" s="232">
        <v>1.6733200530681511</v>
      </c>
      <c r="U101" s="232">
        <v>0.54772255750516607</v>
      </c>
      <c r="V101" s="5">
        <v>1.8000000000000003</v>
      </c>
      <c r="W101" s="232">
        <v>1</v>
      </c>
      <c r="X101" s="232">
        <v>1</v>
      </c>
      <c r="Y101" s="232">
        <v>0.4</v>
      </c>
      <c r="Z101" s="232">
        <v>0.2</v>
      </c>
      <c r="AA101" s="232">
        <v>0.39503303713830029</v>
      </c>
      <c r="AB101" s="232">
        <v>0.4</v>
      </c>
      <c r="AC101" s="232">
        <v>0.35432808155699719</v>
      </c>
      <c r="AD101" s="232">
        <v>1.6</v>
      </c>
      <c r="AE101" s="232">
        <v>0.53082251082251086</v>
      </c>
      <c r="AF101"/>
      <c r="AG101"/>
      <c r="AH101"/>
      <c r="AI101"/>
      <c r="AJ101"/>
      <c r="AK101"/>
      <c r="AL101"/>
      <c r="AM101"/>
      <c r="AN101"/>
      <c r="AO101"/>
      <c r="AP101"/>
    </row>
    <row r="102" spans="1:42" x14ac:dyDescent="0.25">
      <c r="A102" s="233" t="s">
        <v>253</v>
      </c>
      <c r="B102" s="232"/>
      <c r="C102" s="232"/>
      <c r="D102" s="232"/>
      <c r="E102" s="5">
        <v>0</v>
      </c>
      <c r="F102" s="5">
        <v>0</v>
      </c>
      <c r="G102" s="5">
        <v>0</v>
      </c>
      <c r="H102" s="5">
        <v>0</v>
      </c>
      <c r="I102" s="232" t="e">
        <v>#DIV/0!</v>
      </c>
      <c r="J102" s="232" t="e">
        <v>#DIV/0!</v>
      </c>
      <c r="K102" s="232" t="e">
        <v>#DIV/0!</v>
      </c>
      <c r="L102" s="5">
        <v>296</v>
      </c>
      <c r="M102" s="232" t="e">
        <v>#DIV/0!</v>
      </c>
      <c r="N102" s="232" t="e">
        <v>#DIV/0!</v>
      </c>
      <c r="O102" s="232" t="e">
        <v>#DIV/0!</v>
      </c>
      <c r="P102" s="5">
        <v>296</v>
      </c>
      <c r="Q102" s="5">
        <v>296</v>
      </c>
      <c r="R102" s="232"/>
      <c r="S102" s="232"/>
      <c r="T102" s="232"/>
      <c r="U102" s="232"/>
      <c r="V102" s="5">
        <v>0</v>
      </c>
      <c r="W102" s="232" t="e">
        <v>#DIV/0!</v>
      </c>
      <c r="X102" s="232" t="e">
        <v>#DIV/0!</v>
      </c>
      <c r="Y102" s="232" t="e">
        <v>#DIV/0!</v>
      </c>
      <c r="Z102" s="232" t="e">
        <v>#DIV/0!</v>
      </c>
      <c r="AA102" s="232" t="e">
        <v>#DIV/0!</v>
      </c>
      <c r="AB102" s="232" t="e">
        <v>#DIV/0!</v>
      </c>
      <c r="AC102" s="232" t="e">
        <v>#DIV/0!</v>
      </c>
      <c r="AD102" s="232" t="e">
        <v>#DIV/0!</v>
      </c>
      <c r="AE102" s="232" t="e">
        <v>#DIV/0!</v>
      </c>
      <c r="AF102"/>
      <c r="AG102"/>
      <c r="AH102"/>
      <c r="AI102"/>
      <c r="AJ102"/>
      <c r="AK102"/>
      <c r="AL102"/>
      <c r="AM102"/>
      <c r="AN102"/>
      <c r="AO102"/>
      <c r="AP102"/>
    </row>
    <row r="103" spans="1:42" x14ac:dyDescent="0.25">
      <c r="A103" s="233" t="s">
        <v>36</v>
      </c>
      <c r="B103" s="232">
        <v>2.2068376068376061</v>
      </c>
      <c r="C103" s="232">
        <v>3.4776068376068379</v>
      </c>
      <c r="D103" s="232">
        <v>4.2301709401709404</v>
      </c>
      <c r="E103" s="5">
        <v>61</v>
      </c>
      <c r="F103" s="5">
        <v>-61</v>
      </c>
      <c r="G103" s="5">
        <v>-1.8400000000000007</v>
      </c>
      <c r="H103" s="5">
        <v>-19.850000000000001</v>
      </c>
      <c r="I103" s="232">
        <v>6.8376068376068383E-2</v>
      </c>
      <c r="J103" s="232">
        <v>1.7094017094017096E-2</v>
      </c>
      <c r="K103" s="232">
        <v>0.5641025641025641</v>
      </c>
      <c r="L103" s="5">
        <v>413</v>
      </c>
      <c r="M103" s="232">
        <v>0.49572649572649574</v>
      </c>
      <c r="N103" s="232">
        <v>0.26495726495726496</v>
      </c>
      <c r="O103" s="232">
        <v>0.23931623931623933</v>
      </c>
      <c r="P103" s="5">
        <v>413</v>
      </c>
      <c r="Q103" s="5">
        <v>413</v>
      </c>
      <c r="R103" s="232">
        <v>1.5726495726495726</v>
      </c>
      <c r="S103" s="232">
        <v>1.0512820512820513</v>
      </c>
      <c r="T103" s="232">
        <v>1.1470820500689274</v>
      </c>
      <c r="U103" s="232">
        <v>0.9545368424290267</v>
      </c>
      <c r="V103" s="5">
        <v>-12.7</v>
      </c>
      <c r="W103" s="232">
        <v>0.94871794871794868</v>
      </c>
      <c r="X103" s="232">
        <v>0.77777777777777779</v>
      </c>
      <c r="Y103" s="232">
        <v>0.47863247863247865</v>
      </c>
      <c r="Z103" s="232">
        <v>0.21367521367521367</v>
      </c>
      <c r="AA103" s="232">
        <v>0.41567657713659606</v>
      </c>
      <c r="AB103" s="232">
        <v>0.98290598290598286</v>
      </c>
      <c r="AC103" s="232">
        <v>0.47714790076011021</v>
      </c>
      <c r="AD103" s="232">
        <v>3.485042735042736</v>
      </c>
      <c r="AE103" s="232">
        <v>0.47176409003286285</v>
      </c>
      <c r="AF103"/>
      <c r="AG103"/>
      <c r="AH103"/>
      <c r="AI103"/>
      <c r="AJ103"/>
      <c r="AK103"/>
      <c r="AL103"/>
      <c r="AM103"/>
      <c r="AN103"/>
      <c r="AO103"/>
      <c r="AP103"/>
    </row>
    <row r="104" spans="1:42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</sheetData>
  <conditionalFormatting sqref="D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{C6C73A59-B1D4-40E7-A5AB-3D25A745936D}</x14:id>
        </ext>
      </extLst>
    </cfRule>
  </conditionalFormatting>
  <conditionalFormatting sqref="E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{676CAB1B-3A6C-4CA8-81B1-406878CC726C}</x14:id>
        </ext>
      </extLst>
    </cfRule>
  </conditionalFormatting>
  <conditionalFormatting sqref="F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{EF8C9F9A-1C14-40AE-8322-A4CEB0E64917}</x14:id>
        </ext>
      </extLst>
    </cfRule>
  </conditionalFormatting>
  <conditionalFormatting sqref="E8">
    <cfRule type="colorScale" priority="55">
      <colorScale>
        <cfvo type="num" val="-0.5"/>
        <cfvo type="num" val="0"/>
        <cfvo type="num" val="0.5"/>
        <color theme="9"/>
        <color rgb="FFFFEB84"/>
        <color rgb="FFFF0000"/>
      </colorScale>
    </cfRule>
  </conditionalFormatting>
  <conditionalFormatting sqref="D8">
    <cfRule type="colorScale" priority="54">
      <colorScale>
        <cfvo type="num" val="-0.5"/>
        <cfvo type="num" val="0"/>
        <cfvo type="num" val="0.5"/>
        <color theme="9"/>
        <color rgb="FFFFEB84"/>
        <color rgb="FFFF0000"/>
      </colorScale>
    </cfRule>
  </conditionalFormatting>
  <conditionalFormatting sqref="H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{22FC1BAD-DB3E-4372-BCA9-E4BD863ED2F7}</x14:id>
        </ext>
      </extLst>
    </cfRule>
  </conditionalFormatting>
  <conditionalFormatting sqref="F8">
    <cfRule type="colorScale" priority="51">
      <colorScale>
        <cfvo type="num" val="-0.7"/>
        <cfvo type="num" val="0"/>
        <cfvo type="num" val="0.7"/>
        <color theme="9"/>
        <color rgb="FFFFEB84"/>
        <color rgb="FFFF0000"/>
      </colorScale>
    </cfRule>
  </conditionalFormatting>
  <conditionalFormatting sqref="F9">
    <cfRule type="colorScale" priority="50">
      <colorScale>
        <cfvo type="num" val="-0.7"/>
        <cfvo type="num" val="0"/>
        <cfvo type="num" val="0.7"/>
        <color theme="9"/>
        <color rgb="FFFFEB84"/>
        <color rgb="FFFF0000"/>
      </colorScale>
    </cfRule>
  </conditionalFormatting>
  <conditionalFormatting sqref="D9">
    <cfRule type="colorScale" priority="49">
      <colorScale>
        <cfvo type="num" val="-0.5"/>
        <cfvo type="num" val="0"/>
        <cfvo type="num" val="0.5"/>
        <color theme="9"/>
        <color rgb="FFFFEB84"/>
        <color rgb="FFFF0000"/>
      </colorScale>
    </cfRule>
  </conditionalFormatting>
  <conditionalFormatting sqref="E9">
    <cfRule type="colorScale" priority="48">
      <colorScale>
        <cfvo type="num" val="-0.5"/>
        <cfvo type="num" val="0"/>
        <cfvo type="num" val="0.5"/>
        <color theme="9"/>
        <color rgb="FFFFEB84"/>
        <color rgb="FFFF0000"/>
      </colorScale>
    </cfRule>
  </conditionalFormatting>
  <conditionalFormatting sqref="F10">
    <cfRule type="colorScale" priority="47">
      <colorScale>
        <cfvo type="num" val="-0.7"/>
        <cfvo type="num" val="0"/>
        <cfvo type="num" val="0.7"/>
        <color theme="9"/>
        <color rgb="FFFFEB84"/>
        <color rgb="FFFF0000"/>
      </colorScale>
    </cfRule>
  </conditionalFormatting>
  <conditionalFormatting sqref="D10:E10">
    <cfRule type="colorScale" priority="46">
      <colorScale>
        <cfvo type="num" val="-0.5"/>
        <cfvo type="num" val="0.2"/>
        <cfvo type="num" val="0.5"/>
        <color theme="9"/>
        <color rgb="FFFFEB84"/>
        <color rgb="FFFF0000"/>
      </colorScale>
    </cfRule>
  </conditionalFormatting>
  <conditionalFormatting sqref="H11:H14">
    <cfRule type="colorScale" priority="45">
      <colorScale>
        <cfvo type="min"/>
        <cfvo type="num" val="0"/>
        <cfvo type="max"/>
        <color rgb="FFFF0000"/>
        <color rgb="FFFFEB84"/>
        <color theme="9"/>
      </colorScale>
    </cfRule>
  </conditionalFormatting>
  <conditionalFormatting sqref="H18">
    <cfRule type="colorScale" priority="44">
      <colorScale>
        <cfvo type="min"/>
        <cfvo type="num" val="0"/>
        <cfvo type="max"/>
        <color theme="9"/>
        <color rgb="FFFFEB84"/>
        <color rgb="FFFF0000"/>
      </colorScale>
    </cfRule>
  </conditionalFormatting>
  <conditionalFormatting sqref="G2:G3 I11:I1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{0DA73452-0120-4A19-8ADD-97E366C89EDE}</x14:id>
        </ext>
      </extLst>
    </cfRule>
  </conditionalFormatting>
  <conditionalFormatting sqref="G5">
    <cfRule type="colorScale" priority="41">
      <colorScale>
        <cfvo type="num" val="0"/>
        <cfvo type="num" val="8"/>
        <cfvo type="num" val="20"/>
        <color rgb="FFF8696B"/>
        <color rgb="FFFFEB84"/>
        <color rgb="FF63BE7B"/>
      </colorScale>
    </cfRule>
  </conditionalFormatting>
  <conditionalFormatting sqref="F15">
    <cfRule type="colorScale" priority="3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13">
    <cfRule type="colorScale" priority="3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D8:F10">
    <cfRule type="colorScale" priority="30">
      <colorScale>
        <cfvo type="num" val="-0.5"/>
        <cfvo type="num" val="7.0000000000000007E-2"/>
        <cfvo type="num" val="0.5"/>
        <color rgb="FF00B050"/>
        <color rgb="FFFFEB84"/>
        <color rgb="FFFF0000"/>
      </colorScale>
    </cfRule>
  </conditionalFormatting>
  <conditionalFormatting sqref="D22:E22">
    <cfRule type="colorScale" priority="29">
      <colorScale>
        <cfvo type="min"/>
        <cfvo type="num" val="1"/>
        <cfvo type="max"/>
        <color rgb="FFF8696B"/>
        <color rgb="FFFFEB84"/>
        <color rgb="FF63BE7B"/>
      </colorScale>
    </cfRule>
  </conditionalFormatting>
  <conditionalFormatting sqref="D19:E19">
    <cfRule type="colorScale" priority="15">
      <colorScale>
        <cfvo type="num" val="0"/>
        <cfvo type="formula" val="$F$19"/>
        <cfvo type="num" val="3"/>
        <color rgb="FFF8696B"/>
        <color rgb="FFFFEB84"/>
        <color rgb="FF63BE7B"/>
      </colorScale>
    </cfRule>
    <cfRule type="colorScale" priority="20">
      <colorScale>
        <cfvo type="min"/>
        <cfvo type="formula" val="$F$19"/>
        <cfvo type="max"/>
        <color rgb="FFFF0000"/>
        <color rgb="FFFFEB84"/>
        <color rgb="FF00B050"/>
      </colorScale>
    </cfRule>
    <cfRule type="colorScale" priority="27">
      <colorScale>
        <cfvo type="min"/>
        <cfvo type="formula" val="$F$19"/>
        <cfvo type="max"/>
        <color rgb="FFF8696B"/>
        <color rgb="FFFFEB84"/>
        <color rgb="FF63BE7B"/>
      </colorScale>
    </cfRule>
  </conditionalFormatting>
  <conditionalFormatting sqref="D20:E20">
    <cfRule type="colorScale" priority="14">
      <colorScale>
        <cfvo type="num" val="0"/>
        <cfvo type="formula" val="$F$20"/>
        <cfvo type="num" val="10"/>
        <color rgb="FFF8696B"/>
        <color rgb="FFFFEB84"/>
        <color rgb="FF63BE7B"/>
      </colorScale>
    </cfRule>
    <cfRule type="colorScale" priority="19">
      <colorScale>
        <cfvo type="min"/>
        <cfvo type="formula" val="$F$20"/>
        <cfvo type="max"/>
        <color rgb="FFFF0000"/>
        <color rgb="FFFFEB84"/>
        <color rgb="FF00B050"/>
      </colorScale>
    </cfRule>
    <cfRule type="colorScale" priority="24">
      <colorScale>
        <cfvo type="min"/>
        <cfvo type="formula" val="$F$20"/>
        <cfvo type="max"/>
        <color rgb="FFF8696B"/>
        <color rgb="FFFFEB84"/>
        <color rgb="FF63BE7B"/>
      </colorScale>
    </cfRule>
    <cfRule type="colorScale" priority="26">
      <colorScale>
        <cfvo type="min"/>
        <cfvo type="formula" val="$F$20"/>
        <cfvo type="max"/>
        <color rgb="FFF8696B"/>
        <color rgb="FFFFEB84"/>
        <color rgb="FF63BE7B"/>
      </colorScale>
    </cfRule>
  </conditionalFormatting>
  <conditionalFormatting sqref="D21:E21">
    <cfRule type="colorScale" priority="13">
      <colorScale>
        <cfvo type="num" val="0"/>
        <cfvo type="formula" val="$F$21"/>
        <cfvo type="num" val="1"/>
        <color rgb="FFF8696B"/>
        <color rgb="FFFFEB84"/>
        <color rgb="FF63BE7B"/>
      </colorScale>
    </cfRule>
    <cfRule type="colorScale" priority="18">
      <colorScale>
        <cfvo type="min"/>
        <cfvo type="formula" val="$F$21"/>
        <cfvo type="max"/>
        <color rgb="FFFF0000"/>
        <color rgb="FFFFEB84"/>
        <color rgb="FF00B050"/>
      </colorScale>
    </cfRule>
    <cfRule type="colorScale" priority="23">
      <colorScale>
        <cfvo type="min"/>
        <cfvo type="formula" val="$F$21"/>
        <cfvo type="max"/>
        <color rgb="FFF8696B"/>
        <color rgb="FFFFEB84"/>
        <color rgb="FF63BE7B"/>
      </colorScale>
    </cfRule>
    <cfRule type="colorScale" priority="25">
      <colorScale>
        <cfvo type="min"/>
        <cfvo type="formula" val="$F$21"/>
        <cfvo type="max"/>
        <color rgb="FFF8696B"/>
        <color rgb="FFFFEB84"/>
        <color rgb="FF63BE7B"/>
      </colorScale>
    </cfRule>
  </conditionalFormatting>
  <conditionalFormatting sqref="D22:E22">
    <cfRule type="colorScale" priority="12">
      <colorScale>
        <cfvo type="num" val="0"/>
        <cfvo type="formula" val="$F$22"/>
        <cfvo type="num" val="1"/>
        <color rgb="FF92D050"/>
        <color rgb="FFFFEB84"/>
        <color rgb="FFF25A30"/>
      </colorScale>
    </cfRule>
    <cfRule type="colorScale" priority="17">
      <colorScale>
        <cfvo type="min"/>
        <cfvo type="num" val="1"/>
        <cfvo type="max"/>
        <color rgb="FFFF0000"/>
        <color rgb="FFFFEB84"/>
        <color rgb="FF00B050"/>
      </colorScale>
    </cfRule>
  </conditionalFormatting>
  <conditionalFormatting sqref="D23:E23">
    <cfRule type="colorScale" priority="8">
      <colorScale>
        <cfvo type="min"/>
        <cfvo type="num" val="1"/>
        <cfvo type="max"/>
        <color rgb="FFF8696B"/>
        <color rgb="FFFFEB84"/>
        <color rgb="FF63BE7B"/>
      </colorScale>
    </cfRule>
  </conditionalFormatting>
  <conditionalFormatting sqref="D24:E24">
    <cfRule type="colorScale" priority="1">
      <colorScale>
        <cfvo type="num" val="0"/>
        <cfvo type="num" val="1"/>
        <cfvo type="num" val="3"/>
        <color rgb="FFF8696B"/>
        <color rgb="FFFFEB84"/>
        <color rgb="FF63BE7B"/>
      </colorScale>
    </cfRule>
    <cfRule type="colorScale" priority="2">
      <colorScale>
        <cfvo type="min"/>
        <cfvo type="num" val="1"/>
        <cfvo type="max"/>
        <color rgb="FFF8696B"/>
        <color rgb="FFFFEB84"/>
        <color rgb="FF63BE7B"/>
      </colorScale>
    </cfRule>
    <cfRule type="colorScale" priority="4">
      <colorScale>
        <cfvo type="min"/>
        <cfvo type="num" val="1"/>
        <cfvo type="max"/>
        <color rgb="FFFF0000"/>
        <color rgb="FFFFEB84"/>
        <color rgb="FF00B050"/>
      </colorScale>
    </cfRule>
    <cfRule type="colorScale" priority="7">
      <colorScale>
        <cfvo type="min"/>
        <cfvo type="num" val="1"/>
        <cfvo type="max"/>
        <color rgb="FFF8696B"/>
        <color rgb="FFFFEB84"/>
        <color rgb="FF63BE7B"/>
      </colorScale>
    </cfRule>
  </conditionalFormatting>
  <conditionalFormatting sqref="D23:E23">
    <cfRule type="colorScale" priority="3">
      <colorScale>
        <cfvo type="num" val="0"/>
        <cfvo type="num" val="1"/>
        <cfvo type="num" val="3"/>
        <color rgb="FFF8696B"/>
        <color rgb="FFFFEB84"/>
        <color rgb="FF63BE7B"/>
      </colorScale>
    </cfRule>
    <cfRule type="colorScale" priority="5">
      <colorScale>
        <cfvo type="min"/>
        <cfvo type="percentile" val="1"/>
        <cfvo type="max"/>
        <color rgb="FF00B050"/>
        <color rgb="FFFFEB84"/>
        <color rgb="FFFF0000"/>
      </colorScale>
    </cfRule>
    <cfRule type="colorScale" priority="6">
      <colorScale>
        <cfvo type="min"/>
        <cfvo type="percentile" val="50"/>
        <cfvo type="max"/>
        <color rgb="FF7EE4A7"/>
        <color rgb="FFFFEB84"/>
        <color rgb="FFF25A30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3"/>
  <ignoredErrors>
    <ignoredError sqref="D33:E33" formula="1"/>
  </ignoredError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C73A59-B1D4-40E7-A5AB-3D25A7459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</xm:sqref>
        </x14:conditionalFormatting>
        <x14:conditionalFormatting xmlns:xm="http://schemas.microsoft.com/office/excel/2006/main">
          <x14:cfRule type="dataBar" id="{676CAB1B-3A6C-4CA8-81B1-406878CC72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EF8C9F9A-1C14-40AE-8322-A4CEB0E64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dataBar" id="{22FC1BAD-DB3E-4372-BCA9-E4BD863ED2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0DA73452-0120-4A19-8ADD-97E366C89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G2:G3 I11:I14</xm:sqref>
        </x14:conditionalFormatting>
      </x14:conditionalFormattings>
    </ex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8B2B-DFF7-42F8-8EB0-924F68A81922}">
  <sheetPr codeName="Planilha4"/>
  <dimension ref="A1:C320"/>
  <sheetViews>
    <sheetView topLeftCell="B1" workbookViewId="0">
      <selection activeCell="N29" sqref="N29"/>
    </sheetView>
  </sheetViews>
  <sheetFormatPr defaultRowHeight="15" x14ac:dyDescent="0.25"/>
  <cols>
    <col min="1" max="1" width="22.140625" bestFit="1" customWidth="1"/>
    <col min="2" max="3" width="13.85546875" bestFit="1" customWidth="1"/>
  </cols>
  <sheetData>
    <row r="1" spans="1:3" x14ac:dyDescent="0.25">
      <c r="A1" s="230" t="s">
        <v>35</v>
      </c>
      <c r="B1" t="s">
        <v>37</v>
      </c>
      <c r="C1" t="s">
        <v>67</v>
      </c>
    </row>
    <row r="2" spans="1:3" x14ac:dyDescent="0.25">
      <c r="A2" s="231">
        <v>3</v>
      </c>
      <c r="B2">
        <v>0</v>
      </c>
      <c r="C2">
        <v>1</v>
      </c>
    </row>
    <row r="3" spans="1:3" x14ac:dyDescent="0.25">
      <c r="A3" s="234" t="s">
        <v>354</v>
      </c>
      <c r="B3">
        <v>0</v>
      </c>
      <c r="C3">
        <v>1</v>
      </c>
    </row>
    <row r="4" spans="1:3" x14ac:dyDescent="0.25">
      <c r="A4" s="235" t="s">
        <v>388</v>
      </c>
      <c r="B4">
        <v>0</v>
      </c>
      <c r="C4">
        <v>1</v>
      </c>
    </row>
    <row r="5" spans="1:3" x14ac:dyDescent="0.25">
      <c r="A5" s="238">
        <v>3.9</v>
      </c>
      <c r="B5">
        <v>0</v>
      </c>
      <c r="C5">
        <v>1</v>
      </c>
    </row>
    <row r="6" spans="1:3" x14ac:dyDescent="0.25">
      <c r="A6" s="239">
        <v>1.96</v>
      </c>
      <c r="B6">
        <v>0</v>
      </c>
      <c r="C6">
        <v>1</v>
      </c>
    </row>
    <row r="7" spans="1:3" x14ac:dyDescent="0.25">
      <c r="A7" s="240">
        <v>46050</v>
      </c>
      <c r="B7">
        <v>0</v>
      </c>
      <c r="C7">
        <v>1</v>
      </c>
    </row>
    <row r="8" spans="1:3" x14ac:dyDescent="0.25">
      <c r="A8" s="231">
        <v>4</v>
      </c>
      <c r="B8">
        <v>2</v>
      </c>
      <c r="C8">
        <v>0</v>
      </c>
    </row>
    <row r="9" spans="1:3" x14ac:dyDescent="0.25">
      <c r="A9" s="234" t="s">
        <v>381</v>
      </c>
      <c r="B9">
        <v>2</v>
      </c>
      <c r="C9">
        <v>0</v>
      </c>
    </row>
    <row r="10" spans="1:3" x14ac:dyDescent="0.25">
      <c r="A10" s="235" t="s">
        <v>389</v>
      </c>
      <c r="B10">
        <v>2</v>
      </c>
      <c r="C10">
        <v>0</v>
      </c>
    </row>
    <row r="11" spans="1:3" x14ac:dyDescent="0.25">
      <c r="A11" s="238">
        <v>4.75</v>
      </c>
      <c r="B11">
        <v>2</v>
      </c>
      <c r="C11">
        <v>0</v>
      </c>
    </row>
    <row r="12" spans="1:3" x14ac:dyDescent="0.25">
      <c r="A12" s="239">
        <v>1.79</v>
      </c>
      <c r="B12">
        <v>2</v>
      </c>
      <c r="C12">
        <v>0</v>
      </c>
    </row>
    <row r="13" spans="1:3" x14ac:dyDescent="0.25">
      <c r="A13" s="240">
        <v>46050</v>
      </c>
      <c r="B13">
        <v>2</v>
      </c>
      <c r="C13">
        <v>0</v>
      </c>
    </row>
    <row r="14" spans="1:3" x14ac:dyDescent="0.25">
      <c r="A14" s="231">
        <v>5</v>
      </c>
      <c r="B14">
        <v>2</v>
      </c>
      <c r="C14">
        <v>1</v>
      </c>
    </row>
    <row r="15" spans="1:3" x14ac:dyDescent="0.25">
      <c r="A15" s="234" t="s">
        <v>352</v>
      </c>
      <c r="B15">
        <v>2</v>
      </c>
      <c r="C15">
        <v>1</v>
      </c>
    </row>
    <row r="16" spans="1:3" x14ac:dyDescent="0.25">
      <c r="A16" s="235" t="s">
        <v>361</v>
      </c>
      <c r="B16">
        <v>2</v>
      </c>
      <c r="C16">
        <v>1</v>
      </c>
    </row>
    <row r="17" spans="1:3" x14ac:dyDescent="0.25">
      <c r="A17" s="238">
        <v>6</v>
      </c>
      <c r="B17">
        <v>2</v>
      </c>
      <c r="C17">
        <v>1</v>
      </c>
    </row>
    <row r="18" spans="1:3" x14ac:dyDescent="0.25">
      <c r="A18" s="239">
        <v>1.53</v>
      </c>
      <c r="B18">
        <v>2</v>
      </c>
      <c r="C18">
        <v>1</v>
      </c>
    </row>
    <row r="19" spans="1:3" x14ac:dyDescent="0.25">
      <c r="A19" s="240">
        <v>46050</v>
      </c>
      <c r="B19">
        <v>2</v>
      </c>
      <c r="C19">
        <v>1</v>
      </c>
    </row>
    <row r="20" spans="1:3" x14ac:dyDescent="0.25">
      <c r="A20" s="231">
        <v>9</v>
      </c>
      <c r="B20">
        <v>2</v>
      </c>
      <c r="C20">
        <v>1</v>
      </c>
    </row>
    <row r="21" spans="1:3" x14ac:dyDescent="0.25">
      <c r="A21" s="234" t="s">
        <v>382</v>
      </c>
      <c r="B21">
        <v>2</v>
      </c>
      <c r="C21">
        <v>1</v>
      </c>
    </row>
    <row r="22" spans="1:3" x14ac:dyDescent="0.25">
      <c r="A22" s="235" t="s">
        <v>360</v>
      </c>
      <c r="B22">
        <v>2</v>
      </c>
      <c r="C22">
        <v>1</v>
      </c>
    </row>
    <row r="23" spans="1:3" x14ac:dyDescent="0.25">
      <c r="A23" s="238">
        <v>4.5</v>
      </c>
      <c r="B23">
        <v>2</v>
      </c>
      <c r="C23">
        <v>1</v>
      </c>
    </row>
    <row r="24" spans="1:3" x14ac:dyDescent="0.25">
      <c r="A24" s="239">
        <v>1.79</v>
      </c>
      <c r="B24">
        <v>2</v>
      </c>
      <c r="C24">
        <v>1</v>
      </c>
    </row>
    <row r="25" spans="1:3" x14ac:dyDescent="0.25">
      <c r="A25" s="240">
        <v>46051</v>
      </c>
      <c r="B25">
        <v>2</v>
      </c>
      <c r="C25">
        <v>1</v>
      </c>
    </row>
    <row r="26" spans="1:3" x14ac:dyDescent="0.25">
      <c r="A26" s="231">
        <v>12</v>
      </c>
      <c r="B26">
        <v>1</v>
      </c>
      <c r="C26">
        <v>1</v>
      </c>
    </row>
    <row r="27" spans="1:3" x14ac:dyDescent="0.25">
      <c r="A27" s="234" t="s">
        <v>363</v>
      </c>
      <c r="B27">
        <v>1</v>
      </c>
      <c r="C27">
        <v>1</v>
      </c>
    </row>
    <row r="28" spans="1:3" x14ac:dyDescent="0.25">
      <c r="A28" s="235" t="s">
        <v>354</v>
      </c>
      <c r="B28">
        <v>1</v>
      </c>
      <c r="C28">
        <v>1</v>
      </c>
    </row>
    <row r="29" spans="1:3" x14ac:dyDescent="0.25">
      <c r="A29" s="238">
        <v>7.5</v>
      </c>
      <c r="B29">
        <v>1</v>
      </c>
      <c r="C29">
        <v>1</v>
      </c>
    </row>
    <row r="30" spans="1:3" x14ac:dyDescent="0.25">
      <c r="A30" s="239">
        <v>1.41</v>
      </c>
      <c r="B30">
        <v>1</v>
      </c>
      <c r="C30">
        <v>1</v>
      </c>
    </row>
    <row r="31" spans="1:3" x14ac:dyDescent="0.25">
      <c r="A31" s="240">
        <v>46057</v>
      </c>
      <c r="B31">
        <v>1</v>
      </c>
      <c r="C31">
        <v>1</v>
      </c>
    </row>
    <row r="32" spans="1:3" x14ac:dyDescent="0.25">
      <c r="A32" s="231">
        <v>16</v>
      </c>
      <c r="B32">
        <v>5</v>
      </c>
      <c r="C32">
        <v>1</v>
      </c>
    </row>
    <row r="33" spans="1:3" x14ac:dyDescent="0.25">
      <c r="A33" s="234" t="s">
        <v>353</v>
      </c>
      <c r="B33">
        <v>5</v>
      </c>
      <c r="C33">
        <v>1</v>
      </c>
    </row>
    <row r="34" spans="1:3" x14ac:dyDescent="0.25">
      <c r="A34" s="235" t="s">
        <v>381</v>
      </c>
      <c r="B34">
        <v>5</v>
      </c>
      <c r="C34">
        <v>1</v>
      </c>
    </row>
    <row r="35" spans="1:3" x14ac:dyDescent="0.25">
      <c r="A35" s="238">
        <v>10</v>
      </c>
      <c r="B35">
        <v>5</v>
      </c>
      <c r="C35">
        <v>1</v>
      </c>
    </row>
    <row r="36" spans="1:3" x14ac:dyDescent="0.25">
      <c r="A36" s="239">
        <v>1.3</v>
      </c>
      <c r="B36">
        <v>5</v>
      </c>
      <c r="C36">
        <v>1</v>
      </c>
    </row>
    <row r="37" spans="1:3" x14ac:dyDescent="0.25">
      <c r="A37" s="240">
        <v>46058</v>
      </c>
      <c r="B37">
        <v>5</v>
      </c>
      <c r="C37">
        <v>1</v>
      </c>
    </row>
    <row r="38" spans="1:3" x14ac:dyDescent="0.25">
      <c r="A38" s="231">
        <v>18</v>
      </c>
      <c r="B38">
        <v>1</v>
      </c>
      <c r="C38">
        <v>1</v>
      </c>
    </row>
    <row r="39" spans="1:3" x14ac:dyDescent="0.25">
      <c r="A39" s="234" t="s">
        <v>360</v>
      </c>
      <c r="B39">
        <v>1</v>
      </c>
      <c r="C39">
        <v>1</v>
      </c>
    </row>
    <row r="40" spans="1:3" x14ac:dyDescent="0.25">
      <c r="A40" s="235" t="s">
        <v>390</v>
      </c>
      <c r="B40">
        <v>1</v>
      </c>
      <c r="C40">
        <v>1</v>
      </c>
    </row>
    <row r="41" spans="1:3" x14ac:dyDescent="0.25">
      <c r="A41" s="238">
        <v>6</v>
      </c>
      <c r="B41">
        <v>1</v>
      </c>
      <c r="C41">
        <v>1</v>
      </c>
    </row>
    <row r="42" spans="1:3" x14ac:dyDescent="0.25">
      <c r="A42" s="239">
        <v>1.53</v>
      </c>
      <c r="B42">
        <v>1</v>
      </c>
      <c r="C42">
        <v>1</v>
      </c>
    </row>
    <row r="43" spans="1:3" x14ac:dyDescent="0.25">
      <c r="A43" s="240">
        <v>46058</v>
      </c>
      <c r="B43">
        <v>1</v>
      </c>
      <c r="C43">
        <v>1</v>
      </c>
    </row>
    <row r="44" spans="1:3" x14ac:dyDescent="0.25">
      <c r="A44" s="231">
        <v>19</v>
      </c>
      <c r="B44">
        <v>1</v>
      </c>
      <c r="C44">
        <v>2</v>
      </c>
    </row>
    <row r="45" spans="1:3" x14ac:dyDescent="0.25">
      <c r="A45" s="234" t="s">
        <v>358</v>
      </c>
      <c r="B45">
        <v>1</v>
      </c>
      <c r="C45">
        <v>2</v>
      </c>
    </row>
    <row r="46" spans="1:3" x14ac:dyDescent="0.25">
      <c r="A46" s="235" t="s">
        <v>387</v>
      </c>
      <c r="B46">
        <v>1</v>
      </c>
      <c r="C46">
        <v>2</v>
      </c>
    </row>
    <row r="47" spans="1:3" x14ac:dyDescent="0.25">
      <c r="A47" s="238">
        <v>9.5</v>
      </c>
      <c r="B47">
        <v>1</v>
      </c>
      <c r="C47">
        <v>2</v>
      </c>
    </row>
    <row r="48" spans="1:3" x14ac:dyDescent="0.25">
      <c r="A48" s="239">
        <v>1.35</v>
      </c>
      <c r="B48">
        <v>1</v>
      </c>
      <c r="C48">
        <v>2</v>
      </c>
    </row>
    <row r="49" spans="1:3" x14ac:dyDescent="0.25">
      <c r="A49" s="240">
        <v>46059</v>
      </c>
      <c r="B49">
        <v>1</v>
      </c>
      <c r="C49">
        <v>2</v>
      </c>
    </row>
    <row r="50" spans="1:3" x14ac:dyDescent="0.25">
      <c r="A50" s="231">
        <v>23</v>
      </c>
      <c r="B50">
        <v>3</v>
      </c>
      <c r="C50">
        <v>3</v>
      </c>
    </row>
    <row r="51" spans="1:3" x14ac:dyDescent="0.25">
      <c r="A51" s="234" t="s">
        <v>359</v>
      </c>
      <c r="B51">
        <v>3</v>
      </c>
      <c r="C51">
        <v>3</v>
      </c>
    </row>
    <row r="52" spans="1:3" x14ac:dyDescent="0.25">
      <c r="A52" s="235" t="s">
        <v>389</v>
      </c>
      <c r="B52">
        <v>3</v>
      </c>
      <c r="C52">
        <v>3</v>
      </c>
    </row>
    <row r="53" spans="1:3" x14ac:dyDescent="0.25">
      <c r="A53" s="238">
        <v>7.5</v>
      </c>
      <c r="B53">
        <v>3</v>
      </c>
      <c r="C53">
        <v>3</v>
      </c>
    </row>
    <row r="54" spans="1:3" x14ac:dyDescent="0.25">
      <c r="A54" s="239">
        <v>1.41</v>
      </c>
      <c r="B54">
        <v>3</v>
      </c>
      <c r="C54">
        <v>3</v>
      </c>
    </row>
    <row r="55" spans="1:3" x14ac:dyDescent="0.25">
      <c r="A55" s="240">
        <v>46064</v>
      </c>
      <c r="B55">
        <v>3</v>
      </c>
      <c r="C55">
        <v>3</v>
      </c>
    </row>
    <row r="56" spans="1:3" x14ac:dyDescent="0.25">
      <c r="A56" s="231">
        <v>24</v>
      </c>
      <c r="B56">
        <v>2</v>
      </c>
      <c r="C56">
        <v>0</v>
      </c>
    </row>
    <row r="57" spans="1:3" x14ac:dyDescent="0.25">
      <c r="A57" s="234" t="s">
        <v>351</v>
      </c>
      <c r="B57">
        <v>2</v>
      </c>
      <c r="C57">
        <v>0</v>
      </c>
    </row>
    <row r="58" spans="1:3" x14ac:dyDescent="0.25">
      <c r="A58" s="235" t="s">
        <v>361</v>
      </c>
      <c r="B58">
        <v>2</v>
      </c>
      <c r="C58">
        <v>0</v>
      </c>
    </row>
    <row r="59" spans="1:3" x14ac:dyDescent="0.25">
      <c r="A59" s="238">
        <v>4.2</v>
      </c>
      <c r="B59">
        <v>2</v>
      </c>
      <c r="C59">
        <v>0</v>
      </c>
    </row>
    <row r="60" spans="1:3" x14ac:dyDescent="0.25">
      <c r="A60" s="239">
        <v>1.91</v>
      </c>
      <c r="B60">
        <v>2</v>
      </c>
      <c r="C60">
        <v>0</v>
      </c>
    </row>
    <row r="61" spans="1:3" x14ac:dyDescent="0.25">
      <c r="A61" s="240">
        <v>46065</v>
      </c>
      <c r="B61">
        <v>2</v>
      </c>
      <c r="C61">
        <v>0</v>
      </c>
    </row>
    <row r="62" spans="1:3" x14ac:dyDescent="0.25">
      <c r="A62" s="231">
        <v>26</v>
      </c>
      <c r="B62">
        <v>2</v>
      </c>
      <c r="C62">
        <v>1</v>
      </c>
    </row>
    <row r="63" spans="1:3" x14ac:dyDescent="0.25">
      <c r="A63" s="234" t="s">
        <v>388</v>
      </c>
      <c r="B63">
        <v>2</v>
      </c>
      <c r="C63">
        <v>1</v>
      </c>
    </row>
    <row r="64" spans="1:3" x14ac:dyDescent="0.25">
      <c r="A64" s="235" t="s">
        <v>362</v>
      </c>
      <c r="B64">
        <v>2</v>
      </c>
      <c r="C64">
        <v>1</v>
      </c>
    </row>
    <row r="65" spans="1:3" x14ac:dyDescent="0.25">
      <c r="A65" s="238">
        <v>4</v>
      </c>
      <c r="B65">
        <v>2</v>
      </c>
      <c r="C65">
        <v>1</v>
      </c>
    </row>
    <row r="66" spans="1:3" x14ac:dyDescent="0.25">
      <c r="A66" s="239">
        <v>1.96</v>
      </c>
      <c r="B66">
        <v>2</v>
      </c>
      <c r="C66">
        <v>1</v>
      </c>
    </row>
    <row r="67" spans="1:3" x14ac:dyDescent="0.25">
      <c r="A67" s="240">
        <v>46065</v>
      </c>
      <c r="B67">
        <v>2</v>
      </c>
      <c r="C67">
        <v>1</v>
      </c>
    </row>
    <row r="68" spans="1:3" x14ac:dyDescent="0.25">
      <c r="A68" s="231">
        <v>27</v>
      </c>
      <c r="B68">
        <v>1</v>
      </c>
      <c r="C68">
        <v>0</v>
      </c>
    </row>
    <row r="69" spans="1:3" x14ac:dyDescent="0.25">
      <c r="A69" s="234" t="s">
        <v>352</v>
      </c>
      <c r="B69">
        <v>1</v>
      </c>
      <c r="C69">
        <v>0</v>
      </c>
    </row>
    <row r="70" spans="1:3" x14ac:dyDescent="0.25">
      <c r="A70" s="235" t="s">
        <v>350</v>
      </c>
      <c r="B70">
        <v>1</v>
      </c>
      <c r="C70">
        <v>0</v>
      </c>
    </row>
    <row r="71" spans="1:3" x14ac:dyDescent="0.25">
      <c r="A71" s="238">
        <v>5.5</v>
      </c>
      <c r="B71">
        <v>1</v>
      </c>
      <c r="C71">
        <v>0</v>
      </c>
    </row>
    <row r="72" spans="1:3" x14ac:dyDescent="0.25">
      <c r="A72" s="239">
        <v>1.76</v>
      </c>
      <c r="B72">
        <v>1</v>
      </c>
      <c r="C72">
        <v>0</v>
      </c>
    </row>
    <row r="73" spans="1:3" x14ac:dyDescent="0.25">
      <c r="A73" s="240">
        <v>46065</v>
      </c>
      <c r="B73">
        <v>1</v>
      </c>
      <c r="C73">
        <v>0</v>
      </c>
    </row>
    <row r="74" spans="1:3" x14ac:dyDescent="0.25">
      <c r="A74" s="231">
        <v>28</v>
      </c>
      <c r="B74">
        <v>2</v>
      </c>
      <c r="C74">
        <v>0</v>
      </c>
    </row>
    <row r="75" spans="1:3" x14ac:dyDescent="0.25">
      <c r="A75" s="234" t="s">
        <v>357</v>
      </c>
      <c r="B75">
        <v>2</v>
      </c>
      <c r="C75">
        <v>0</v>
      </c>
    </row>
    <row r="76" spans="1:3" x14ac:dyDescent="0.25">
      <c r="A76" s="235" t="s">
        <v>355</v>
      </c>
      <c r="B76">
        <v>2</v>
      </c>
      <c r="C76">
        <v>0</v>
      </c>
    </row>
    <row r="77" spans="1:3" x14ac:dyDescent="0.25">
      <c r="A77" s="238">
        <v>4.75</v>
      </c>
      <c r="B77">
        <v>2</v>
      </c>
      <c r="C77">
        <v>0</v>
      </c>
    </row>
    <row r="78" spans="1:3" x14ac:dyDescent="0.25">
      <c r="A78" s="239">
        <v>1.86</v>
      </c>
      <c r="B78">
        <v>2</v>
      </c>
      <c r="C78">
        <v>0</v>
      </c>
    </row>
    <row r="79" spans="1:3" x14ac:dyDescent="0.25">
      <c r="A79" s="240">
        <v>46065</v>
      </c>
      <c r="B79">
        <v>2</v>
      </c>
      <c r="C79">
        <v>0</v>
      </c>
    </row>
    <row r="80" spans="1:3" x14ac:dyDescent="0.25">
      <c r="A80" s="231">
        <v>34</v>
      </c>
      <c r="B80">
        <v>1</v>
      </c>
      <c r="C80">
        <v>1</v>
      </c>
    </row>
    <row r="81" spans="1:3" x14ac:dyDescent="0.25">
      <c r="A81" s="234" t="s">
        <v>358</v>
      </c>
      <c r="B81">
        <v>1</v>
      </c>
      <c r="C81">
        <v>1</v>
      </c>
    </row>
    <row r="82" spans="1:3" x14ac:dyDescent="0.25">
      <c r="A82" s="235" t="s">
        <v>357</v>
      </c>
      <c r="B82">
        <v>1</v>
      </c>
      <c r="C82">
        <v>1</v>
      </c>
    </row>
    <row r="83" spans="1:3" x14ac:dyDescent="0.25">
      <c r="A83" s="238">
        <v>5.5</v>
      </c>
      <c r="B83">
        <v>1</v>
      </c>
      <c r="C83">
        <v>1</v>
      </c>
    </row>
    <row r="84" spans="1:3" x14ac:dyDescent="0.25">
      <c r="A84" s="239">
        <v>1.66</v>
      </c>
      <c r="B84">
        <v>1</v>
      </c>
      <c r="C84">
        <v>1</v>
      </c>
    </row>
    <row r="85" spans="1:3" x14ac:dyDescent="0.25">
      <c r="A85" s="240">
        <v>46078</v>
      </c>
      <c r="B85">
        <v>1</v>
      </c>
      <c r="C85">
        <v>1</v>
      </c>
    </row>
    <row r="86" spans="1:3" x14ac:dyDescent="0.25">
      <c r="A86" s="231">
        <v>36</v>
      </c>
      <c r="B86">
        <v>2</v>
      </c>
      <c r="C86">
        <v>1</v>
      </c>
    </row>
    <row r="87" spans="1:3" x14ac:dyDescent="0.25">
      <c r="A87" s="234" t="s">
        <v>353</v>
      </c>
      <c r="B87">
        <v>2</v>
      </c>
      <c r="C87">
        <v>1</v>
      </c>
    </row>
    <row r="88" spans="1:3" x14ac:dyDescent="0.25">
      <c r="A88" s="235" t="s">
        <v>352</v>
      </c>
      <c r="B88">
        <v>2</v>
      </c>
      <c r="C88">
        <v>1</v>
      </c>
    </row>
    <row r="89" spans="1:3" x14ac:dyDescent="0.25">
      <c r="A89" s="238">
        <v>5</v>
      </c>
      <c r="B89">
        <v>2</v>
      </c>
      <c r="C89">
        <v>1</v>
      </c>
    </row>
    <row r="90" spans="1:3" x14ac:dyDescent="0.25">
      <c r="A90" s="239">
        <v>1.62</v>
      </c>
      <c r="B90">
        <v>2</v>
      </c>
      <c r="C90">
        <v>1</v>
      </c>
    </row>
    <row r="91" spans="1:3" x14ac:dyDescent="0.25">
      <c r="A91" s="240">
        <v>46079</v>
      </c>
      <c r="B91">
        <v>2</v>
      </c>
      <c r="C91">
        <v>1</v>
      </c>
    </row>
    <row r="92" spans="1:3" x14ac:dyDescent="0.25">
      <c r="A92" s="231">
        <v>38</v>
      </c>
      <c r="B92">
        <v>2</v>
      </c>
      <c r="C92">
        <v>2</v>
      </c>
    </row>
    <row r="93" spans="1:3" x14ac:dyDescent="0.25">
      <c r="A93" s="234" t="s">
        <v>382</v>
      </c>
      <c r="B93">
        <v>2</v>
      </c>
      <c r="C93">
        <v>2</v>
      </c>
    </row>
    <row r="94" spans="1:3" x14ac:dyDescent="0.25">
      <c r="A94" s="235" t="s">
        <v>362</v>
      </c>
      <c r="B94">
        <v>2</v>
      </c>
      <c r="C94">
        <v>2</v>
      </c>
    </row>
    <row r="95" spans="1:3" x14ac:dyDescent="0.25">
      <c r="A95" s="238">
        <v>4.75</v>
      </c>
      <c r="B95">
        <v>2</v>
      </c>
      <c r="C95">
        <v>2</v>
      </c>
    </row>
    <row r="96" spans="1:3" x14ac:dyDescent="0.25">
      <c r="A96" s="239">
        <v>1.66</v>
      </c>
      <c r="B96">
        <v>2</v>
      </c>
      <c r="C96">
        <v>2</v>
      </c>
    </row>
    <row r="97" spans="1:3" x14ac:dyDescent="0.25">
      <c r="A97" s="240">
        <v>46092</v>
      </c>
      <c r="B97">
        <v>2</v>
      </c>
      <c r="C97">
        <v>2</v>
      </c>
    </row>
    <row r="98" spans="1:3" x14ac:dyDescent="0.25">
      <c r="A98" s="231">
        <v>40</v>
      </c>
      <c r="B98">
        <v>1</v>
      </c>
      <c r="C98">
        <v>1</v>
      </c>
    </row>
    <row r="99" spans="1:3" x14ac:dyDescent="0.25">
      <c r="A99" s="234" t="s">
        <v>356</v>
      </c>
      <c r="B99">
        <v>1</v>
      </c>
      <c r="C99">
        <v>1</v>
      </c>
    </row>
    <row r="100" spans="1:3" x14ac:dyDescent="0.25">
      <c r="A100" s="235" t="s">
        <v>381</v>
      </c>
      <c r="B100">
        <v>1</v>
      </c>
      <c r="C100">
        <v>1</v>
      </c>
    </row>
    <row r="101" spans="1:3" x14ac:dyDescent="0.25">
      <c r="A101" s="238">
        <v>5.25</v>
      </c>
      <c r="B101">
        <v>1</v>
      </c>
      <c r="C101">
        <v>1</v>
      </c>
    </row>
    <row r="102" spans="1:3" x14ac:dyDescent="0.25">
      <c r="A102" s="239">
        <v>1.66</v>
      </c>
      <c r="B102">
        <v>1</v>
      </c>
      <c r="C102">
        <v>1</v>
      </c>
    </row>
    <row r="103" spans="1:3" x14ac:dyDescent="0.25">
      <c r="A103" s="240">
        <v>46092</v>
      </c>
      <c r="B103">
        <v>1</v>
      </c>
      <c r="C103">
        <v>1</v>
      </c>
    </row>
    <row r="104" spans="1:3" x14ac:dyDescent="0.25">
      <c r="A104" s="231">
        <v>41</v>
      </c>
      <c r="B104">
        <v>0</v>
      </c>
      <c r="C104">
        <v>2</v>
      </c>
    </row>
    <row r="105" spans="1:3" x14ac:dyDescent="0.25">
      <c r="A105" s="234" t="s">
        <v>357</v>
      </c>
      <c r="B105">
        <v>0</v>
      </c>
      <c r="C105">
        <v>2</v>
      </c>
    </row>
    <row r="106" spans="1:3" x14ac:dyDescent="0.25">
      <c r="A106" s="235" t="s">
        <v>387</v>
      </c>
      <c r="B106">
        <v>0</v>
      </c>
      <c r="C106">
        <v>2</v>
      </c>
    </row>
    <row r="107" spans="1:3" x14ac:dyDescent="0.25">
      <c r="A107" s="238">
        <v>5</v>
      </c>
      <c r="B107">
        <v>0</v>
      </c>
      <c r="C107">
        <v>2</v>
      </c>
    </row>
    <row r="108" spans="1:3" x14ac:dyDescent="0.25">
      <c r="A108" s="239">
        <v>1.62</v>
      </c>
      <c r="B108">
        <v>0</v>
      </c>
      <c r="C108">
        <v>2</v>
      </c>
    </row>
    <row r="109" spans="1:3" x14ac:dyDescent="0.25">
      <c r="A109" s="240">
        <v>46093</v>
      </c>
      <c r="B109">
        <v>0</v>
      </c>
      <c r="C109">
        <v>2</v>
      </c>
    </row>
    <row r="110" spans="1:3" x14ac:dyDescent="0.25">
      <c r="A110" s="231">
        <v>42</v>
      </c>
      <c r="B110">
        <v>2</v>
      </c>
      <c r="C110">
        <v>0</v>
      </c>
    </row>
    <row r="111" spans="1:3" x14ac:dyDescent="0.25">
      <c r="A111" s="234" t="s">
        <v>363</v>
      </c>
      <c r="B111">
        <v>2</v>
      </c>
      <c r="C111">
        <v>0</v>
      </c>
    </row>
    <row r="112" spans="1:3" x14ac:dyDescent="0.25">
      <c r="A112" s="235" t="s">
        <v>358</v>
      </c>
      <c r="B112">
        <v>2</v>
      </c>
      <c r="C112">
        <v>0</v>
      </c>
    </row>
    <row r="113" spans="1:3" x14ac:dyDescent="0.25">
      <c r="A113" s="238">
        <v>6.5</v>
      </c>
      <c r="B113">
        <v>2</v>
      </c>
      <c r="C113">
        <v>0</v>
      </c>
    </row>
    <row r="114" spans="1:3" x14ac:dyDescent="0.25">
      <c r="A114" s="239">
        <v>1.45</v>
      </c>
      <c r="B114">
        <v>2</v>
      </c>
      <c r="C114">
        <v>0</v>
      </c>
    </row>
    <row r="115" spans="1:3" x14ac:dyDescent="0.25">
      <c r="A115" s="240">
        <v>46093</v>
      </c>
      <c r="B115">
        <v>2</v>
      </c>
      <c r="C115">
        <v>0</v>
      </c>
    </row>
    <row r="116" spans="1:3" x14ac:dyDescent="0.25">
      <c r="A116" s="231">
        <v>45</v>
      </c>
      <c r="B116">
        <v>2</v>
      </c>
      <c r="C116">
        <v>0</v>
      </c>
    </row>
    <row r="117" spans="1:3" x14ac:dyDescent="0.25">
      <c r="A117" s="234" t="s">
        <v>351</v>
      </c>
      <c r="B117">
        <v>2</v>
      </c>
      <c r="C117">
        <v>0</v>
      </c>
    </row>
    <row r="118" spans="1:3" x14ac:dyDescent="0.25">
      <c r="A118" s="235" t="s">
        <v>390</v>
      </c>
      <c r="B118">
        <v>2</v>
      </c>
      <c r="C118">
        <v>0</v>
      </c>
    </row>
    <row r="119" spans="1:3" x14ac:dyDescent="0.25">
      <c r="A119" s="238">
        <v>7.5</v>
      </c>
      <c r="B119">
        <v>2</v>
      </c>
      <c r="C119">
        <v>0</v>
      </c>
    </row>
    <row r="120" spans="1:3" x14ac:dyDescent="0.25">
      <c r="A120" s="239">
        <v>1.39</v>
      </c>
      <c r="B120">
        <v>2</v>
      </c>
      <c r="C120">
        <v>0</v>
      </c>
    </row>
    <row r="121" spans="1:3" x14ac:dyDescent="0.25">
      <c r="A121" s="240">
        <v>46093</v>
      </c>
      <c r="B121">
        <v>2</v>
      </c>
      <c r="C121">
        <v>0</v>
      </c>
    </row>
    <row r="122" spans="1:3" x14ac:dyDescent="0.25">
      <c r="A122" s="231">
        <v>49</v>
      </c>
      <c r="B122">
        <v>3</v>
      </c>
      <c r="C122">
        <v>2</v>
      </c>
    </row>
    <row r="123" spans="1:3" x14ac:dyDescent="0.25">
      <c r="A123" s="234" t="s">
        <v>352</v>
      </c>
      <c r="B123">
        <v>3</v>
      </c>
      <c r="C123">
        <v>2</v>
      </c>
    </row>
    <row r="124" spans="1:3" x14ac:dyDescent="0.25">
      <c r="A124" s="235" t="s">
        <v>388</v>
      </c>
      <c r="B124">
        <v>3</v>
      </c>
      <c r="C124">
        <v>2</v>
      </c>
    </row>
    <row r="125" spans="1:3" x14ac:dyDescent="0.25">
      <c r="A125" s="238">
        <v>4.75</v>
      </c>
      <c r="B125">
        <v>3</v>
      </c>
      <c r="C125">
        <v>2</v>
      </c>
    </row>
    <row r="126" spans="1:3" x14ac:dyDescent="0.25">
      <c r="A126" s="239">
        <v>1.79</v>
      </c>
      <c r="B126">
        <v>3</v>
      </c>
      <c r="C126">
        <v>2</v>
      </c>
    </row>
    <row r="127" spans="1:3" x14ac:dyDescent="0.25">
      <c r="A127" s="240">
        <v>46096</v>
      </c>
      <c r="B127">
        <v>3</v>
      </c>
      <c r="C127">
        <v>2</v>
      </c>
    </row>
    <row r="128" spans="1:3" x14ac:dyDescent="0.25">
      <c r="A128" s="231">
        <v>50</v>
      </c>
      <c r="B128">
        <v>0</v>
      </c>
      <c r="C128">
        <v>1</v>
      </c>
    </row>
    <row r="129" spans="1:3" x14ac:dyDescent="0.25">
      <c r="A129" s="234" t="s">
        <v>354</v>
      </c>
      <c r="B129">
        <v>0</v>
      </c>
      <c r="C129">
        <v>1</v>
      </c>
    </row>
    <row r="130" spans="1:3" x14ac:dyDescent="0.25">
      <c r="A130" s="235" t="s">
        <v>356</v>
      </c>
      <c r="B130">
        <v>0</v>
      </c>
      <c r="C130">
        <v>1</v>
      </c>
    </row>
    <row r="131" spans="1:3" x14ac:dyDescent="0.25">
      <c r="A131" s="238">
        <v>4.33</v>
      </c>
      <c r="B131">
        <v>0</v>
      </c>
      <c r="C131">
        <v>1</v>
      </c>
    </row>
    <row r="132" spans="1:3" x14ac:dyDescent="0.25">
      <c r="A132" s="239">
        <v>1.76</v>
      </c>
      <c r="B132">
        <v>0</v>
      </c>
      <c r="C132">
        <v>1</v>
      </c>
    </row>
    <row r="133" spans="1:3" x14ac:dyDescent="0.25">
      <c r="A133" s="240">
        <v>46096</v>
      </c>
      <c r="B133">
        <v>0</v>
      </c>
      <c r="C133">
        <v>1</v>
      </c>
    </row>
    <row r="134" spans="1:3" x14ac:dyDescent="0.25">
      <c r="A134" s="231">
        <v>52</v>
      </c>
      <c r="B134">
        <v>1</v>
      </c>
      <c r="C134">
        <v>0</v>
      </c>
    </row>
    <row r="135" spans="1:3" x14ac:dyDescent="0.25">
      <c r="A135" s="234" t="s">
        <v>387</v>
      </c>
      <c r="B135">
        <v>1</v>
      </c>
      <c r="C135">
        <v>0</v>
      </c>
    </row>
    <row r="136" spans="1:3" x14ac:dyDescent="0.25">
      <c r="A136" s="235" t="s">
        <v>389</v>
      </c>
      <c r="B136">
        <v>1</v>
      </c>
      <c r="C136">
        <v>0</v>
      </c>
    </row>
    <row r="137" spans="1:3" x14ac:dyDescent="0.25">
      <c r="A137" s="238">
        <v>5</v>
      </c>
      <c r="B137">
        <v>1</v>
      </c>
      <c r="C137">
        <v>0</v>
      </c>
    </row>
    <row r="138" spans="1:3" x14ac:dyDescent="0.25">
      <c r="A138" s="239">
        <v>1.66</v>
      </c>
      <c r="B138">
        <v>1</v>
      </c>
      <c r="C138">
        <v>0</v>
      </c>
    </row>
    <row r="139" spans="1:3" x14ac:dyDescent="0.25">
      <c r="A139" s="240">
        <v>46096</v>
      </c>
      <c r="B139">
        <v>1</v>
      </c>
      <c r="C139">
        <v>0</v>
      </c>
    </row>
    <row r="140" spans="1:3" x14ac:dyDescent="0.25">
      <c r="A140" s="231">
        <v>53</v>
      </c>
      <c r="B140">
        <v>1</v>
      </c>
      <c r="C140">
        <v>0</v>
      </c>
    </row>
    <row r="141" spans="1:3" x14ac:dyDescent="0.25">
      <c r="A141" s="234" t="s">
        <v>353</v>
      </c>
      <c r="B141">
        <v>1</v>
      </c>
      <c r="C141">
        <v>0</v>
      </c>
    </row>
    <row r="142" spans="1:3" x14ac:dyDescent="0.25">
      <c r="A142" s="235" t="s">
        <v>382</v>
      </c>
      <c r="B142">
        <v>1</v>
      </c>
      <c r="C142">
        <v>0</v>
      </c>
    </row>
    <row r="143" spans="1:3" x14ac:dyDescent="0.25">
      <c r="A143" s="238">
        <v>5.5</v>
      </c>
      <c r="B143">
        <v>1</v>
      </c>
      <c r="C143">
        <v>0</v>
      </c>
    </row>
    <row r="144" spans="1:3" x14ac:dyDescent="0.25">
      <c r="A144" s="239">
        <v>1.61</v>
      </c>
      <c r="B144">
        <v>1</v>
      </c>
      <c r="C144">
        <v>0</v>
      </c>
    </row>
    <row r="145" spans="1:3" x14ac:dyDescent="0.25">
      <c r="A145" s="240">
        <v>46096</v>
      </c>
      <c r="B145">
        <v>1</v>
      </c>
      <c r="C145">
        <v>0</v>
      </c>
    </row>
    <row r="146" spans="1:3" x14ac:dyDescent="0.25">
      <c r="A146" s="231">
        <v>55</v>
      </c>
      <c r="B146">
        <v>3</v>
      </c>
      <c r="C146">
        <v>3</v>
      </c>
    </row>
    <row r="147" spans="1:3" x14ac:dyDescent="0.25">
      <c r="A147" s="234" t="s">
        <v>358</v>
      </c>
      <c r="B147">
        <v>3</v>
      </c>
      <c r="C147">
        <v>3</v>
      </c>
    </row>
    <row r="148" spans="1:3" x14ac:dyDescent="0.25">
      <c r="A148" s="235" t="s">
        <v>360</v>
      </c>
      <c r="B148">
        <v>3</v>
      </c>
      <c r="C148">
        <v>3</v>
      </c>
    </row>
    <row r="149" spans="1:3" x14ac:dyDescent="0.25">
      <c r="A149" s="238">
        <v>4.2</v>
      </c>
      <c r="B149">
        <v>3</v>
      </c>
      <c r="C149">
        <v>3</v>
      </c>
    </row>
    <row r="150" spans="1:3" x14ac:dyDescent="0.25">
      <c r="A150" s="239">
        <v>1.91</v>
      </c>
      <c r="B150">
        <v>3</v>
      </c>
      <c r="C150">
        <v>3</v>
      </c>
    </row>
    <row r="151" spans="1:3" x14ac:dyDescent="0.25">
      <c r="A151" s="240">
        <v>46096</v>
      </c>
      <c r="B151">
        <v>3</v>
      </c>
      <c r="C151">
        <v>3</v>
      </c>
    </row>
    <row r="152" spans="1:3" x14ac:dyDescent="0.25">
      <c r="A152" s="231">
        <v>57</v>
      </c>
      <c r="B152">
        <v>2</v>
      </c>
      <c r="C152">
        <v>0</v>
      </c>
    </row>
    <row r="153" spans="1:3" x14ac:dyDescent="0.25">
      <c r="A153" s="234" t="s">
        <v>356</v>
      </c>
      <c r="B153">
        <v>2</v>
      </c>
      <c r="C153">
        <v>0</v>
      </c>
    </row>
    <row r="154" spans="1:3" x14ac:dyDescent="0.25">
      <c r="A154" s="235" t="s">
        <v>355</v>
      </c>
      <c r="B154">
        <v>2</v>
      </c>
      <c r="C154">
        <v>0</v>
      </c>
    </row>
    <row r="155" spans="1:3" x14ac:dyDescent="0.25">
      <c r="A155" s="238">
        <v>5.25</v>
      </c>
      <c r="B155">
        <v>2</v>
      </c>
      <c r="C155">
        <v>0</v>
      </c>
    </row>
    <row r="156" spans="1:3" x14ac:dyDescent="0.25">
      <c r="A156" s="239">
        <v>1.66</v>
      </c>
      <c r="B156">
        <v>2</v>
      </c>
      <c r="C156">
        <v>0</v>
      </c>
    </row>
    <row r="157" spans="1:3" x14ac:dyDescent="0.25">
      <c r="A157" s="240">
        <v>46099</v>
      </c>
      <c r="B157">
        <v>2</v>
      </c>
      <c r="C157">
        <v>0</v>
      </c>
    </row>
    <row r="158" spans="1:3" x14ac:dyDescent="0.25">
      <c r="A158" s="231">
        <v>58</v>
      </c>
      <c r="B158">
        <v>2</v>
      </c>
      <c r="C158">
        <v>1</v>
      </c>
    </row>
    <row r="159" spans="1:3" x14ac:dyDescent="0.25">
      <c r="A159" s="234" t="s">
        <v>353</v>
      </c>
      <c r="B159">
        <v>2</v>
      </c>
      <c r="C159">
        <v>1</v>
      </c>
    </row>
    <row r="160" spans="1:3" x14ac:dyDescent="0.25">
      <c r="A160" s="235" t="s">
        <v>350</v>
      </c>
      <c r="B160">
        <v>2</v>
      </c>
      <c r="C160">
        <v>1</v>
      </c>
    </row>
    <row r="161" spans="1:3" x14ac:dyDescent="0.25">
      <c r="A161" s="238">
        <v>6.25</v>
      </c>
      <c r="B161">
        <v>2</v>
      </c>
      <c r="C161">
        <v>1</v>
      </c>
    </row>
    <row r="162" spans="1:3" x14ac:dyDescent="0.25">
      <c r="A162" s="239">
        <v>1.51</v>
      </c>
      <c r="B162">
        <v>2</v>
      </c>
      <c r="C162">
        <v>1</v>
      </c>
    </row>
    <row r="163" spans="1:3" x14ac:dyDescent="0.25">
      <c r="A163" s="240">
        <v>46099</v>
      </c>
      <c r="B163">
        <v>2</v>
      </c>
      <c r="C163">
        <v>1</v>
      </c>
    </row>
    <row r="164" spans="1:3" x14ac:dyDescent="0.25">
      <c r="A164" s="231">
        <v>61</v>
      </c>
      <c r="B164">
        <v>0</v>
      </c>
      <c r="C164">
        <v>1</v>
      </c>
    </row>
    <row r="165" spans="1:3" x14ac:dyDescent="0.25">
      <c r="A165" s="234" t="s">
        <v>382</v>
      </c>
      <c r="B165">
        <v>0</v>
      </c>
      <c r="C165">
        <v>1</v>
      </c>
    </row>
    <row r="166" spans="1:3" x14ac:dyDescent="0.25">
      <c r="A166" s="235" t="s">
        <v>387</v>
      </c>
      <c r="B166">
        <v>0</v>
      </c>
      <c r="C166">
        <v>1</v>
      </c>
    </row>
    <row r="167" spans="1:3" x14ac:dyDescent="0.25">
      <c r="A167" s="238">
        <v>6.25</v>
      </c>
      <c r="B167">
        <v>0</v>
      </c>
      <c r="C167">
        <v>1</v>
      </c>
    </row>
    <row r="168" spans="1:3" x14ac:dyDescent="0.25">
      <c r="A168" s="239">
        <v>1.57</v>
      </c>
      <c r="B168">
        <v>0</v>
      </c>
      <c r="C168">
        <v>1</v>
      </c>
    </row>
    <row r="169" spans="1:3" x14ac:dyDescent="0.25">
      <c r="A169" s="240">
        <v>46099</v>
      </c>
      <c r="B169">
        <v>0</v>
      </c>
      <c r="C169">
        <v>1</v>
      </c>
    </row>
    <row r="170" spans="1:3" x14ac:dyDescent="0.25">
      <c r="A170" s="231">
        <v>64</v>
      </c>
      <c r="B170">
        <v>2</v>
      </c>
      <c r="C170">
        <v>0</v>
      </c>
    </row>
    <row r="171" spans="1:3" x14ac:dyDescent="0.25">
      <c r="A171" s="234" t="s">
        <v>361</v>
      </c>
      <c r="B171">
        <v>2</v>
      </c>
      <c r="C171">
        <v>0</v>
      </c>
    </row>
    <row r="172" spans="1:3" x14ac:dyDescent="0.25">
      <c r="A172" s="235" t="s">
        <v>381</v>
      </c>
      <c r="B172">
        <v>2</v>
      </c>
      <c r="C172">
        <v>0</v>
      </c>
    </row>
    <row r="173" spans="1:3" x14ac:dyDescent="0.25">
      <c r="A173" s="238">
        <v>4.75</v>
      </c>
      <c r="B173">
        <v>2</v>
      </c>
      <c r="C173">
        <v>0</v>
      </c>
    </row>
    <row r="174" spans="1:3" x14ac:dyDescent="0.25">
      <c r="A174" s="239">
        <v>1.76</v>
      </c>
      <c r="B174">
        <v>2</v>
      </c>
      <c r="C174">
        <v>0</v>
      </c>
    </row>
    <row r="175" spans="1:3" x14ac:dyDescent="0.25">
      <c r="A175" s="240">
        <v>46100</v>
      </c>
      <c r="B175">
        <v>2</v>
      </c>
      <c r="C175">
        <v>0</v>
      </c>
    </row>
    <row r="176" spans="1:3" x14ac:dyDescent="0.25">
      <c r="A176" s="231">
        <v>67</v>
      </c>
      <c r="B176">
        <v>1</v>
      </c>
      <c r="C176">
        <v>2</v>
      </c>
    </row>
    <row r="177" spans="1:3" x14ac:dyDescent="0.25">
      <c r="A177" s="234" t="s">
        <v>355</v>
      </c>
      <c r="B177">
        <v>1</v>
      </c>
      <c r="C177">
        <v>2</v>
      </c>
    </row>
    <row r="178" spans="1:3" x14ac:dyDescent="0.25">
      <c r="A178" s="235" t="s">
        <v>350</v>
      </c>
      <c r="B178">
        <v>1</v>
      </c>
      <c r="C178">
        <v>2</v>
      </c>
    </row>
    <row r="179" spans="1:3" x14ac:dyDescent="0.25">
      <c r="A179" s="238">
        <v>4.2</v>
      </c>
      <c r="B179">
        <v>1</v>
      </c>
      <c r="C179">
        <v>2</v>
      </c>
    </row>
    <row r="180" spans="1:3" x14ac:dyDescent="0.25">
      <c r="A180" s="239">
        <v>1.86</v>
      </c>
      <c r="B180">
        <v>1</v>
      </c>
      <c r="C180">
        <v>2</v>
      </c>
    </row>
    <row r="181" spans="1:3" x14ac:dyDescent="0.25">
      <c r="A181" s="240">
        <v>46102</v>
      </c>
      <c r="B181">
        <v>1</v>
      </c>
      <c r="C181">
        <v>2</v>
      </c>
    </row>
    <row r="182" spans="1:3" x14ac:dyDescent="0.25">
      <c r="A182" s="231">
        <v>68</v>
      </c>
      <c r="B182">
        <v>1</v>
      </c>
      <c r="C182">
        <v>0</v>
      </c>
    </row>
    <row r="183" spans="1:3" x14ac:dyDescent="0.25">
      <c r="A183" s="234" t="s">
        <v>352</v>
      </c>
      <c r="B183">
        <v>1</v>
      </c>
      <c r="C183">
        <v>0</v>
      </c>
    </row>
    <row r="184" spans="1:3" x14ac:dyDescent="0.25">
      <c r="A184" s="235" t="s">
        <v>359</v>
      </c>
      <c r="B184">
        <v>1</v>
      </c>
      <c r="C184">
        <v>0</v>
      </c>
    </row>
    <row r="185" spans="1:3" x14ac:dyDescent="0.25">
      <c r="A185" s="238">
        <v>6</v>
      </c>
      <c r="B185">
        <v>1</v>
      </c>
      <c r="C185">
        <v>0</v>
      </c>
    </row>
    <row r="186" spans="1:3" x14ac:dyDescent="0.25">
      <c r="A186" s="239">
        <v>1.61</v>
      </c>
      <c r="B186">
        <v>1</v>
      </c>
      <c r="C186">
        <v>0</v>
      </c>
    </row>
    <row r="187" spans="1:3" x14ac:dyDescent="0.25">
      <c r="A187" s="240">
        <v>46102</v>
      </c>
      <c r="B187">
        <v>1</v>
      </c>
      <c r="C187">
        <v>0</v>
      </c>
    </row>
    <row r="188" spans="1:3" x14ac:dyDescent="0.25">
      <c r="A188" s="231">
        <v>70</v>
      </c>
      <c r="B188">
        <v>2</v>
      </c>
      <c r="C188">
        <v>0</v>
      </c>
    </row>
    <row r="189" spans="1:3" x14ac:dyDescent="0.25">
      <c r="A189" s="234" t="s">
        <v>388</v>
      </c>
      <c r="B189">
        <v>2</v>
      </c>
      <c r="C189">
        <v>0</v>
      </c>
    </row>
    <row r="190" spans="1:3" x14ac:dyDescent="0.25">
      <c r="A190" s="235" t="s">
        <v>387</v>
      </c>
      <c r="B190">
        <v>2</v>
      </c>
      <c r="C190">
        <v>0</v>
      </c>
    </row>
    <row r="191" spans="1:3" x14ac:dyDescent="0.25">
      <c r="A191" s="238">
        <v>4.75</v>
      </c>
      <c r="B191">
        <v>2</v>
      </c>
      <c r="C191">
        <v>0</v>
      </c>
    </row>
    <row r="192" spans="1:3" x14ac:dyDescent="0.25">
      <c r="A192" s="239">
        <v>1.91</v>
      </c>
      <c r="B192">
        <v>2</v>
      </c>
      <c r="C192">
        <v>0</v>
      </c>
    </row>
    <row r="193" spans="1:3" x14ac:dyDescent="0.25">
      <c r="A193" s="240">
        <v>46103</v>
      </c>
      <c r="B193">
        <v>2</v>
      </c>
      <c r="C193">
        <v>0</v>
      </c>
    </row>
    <row r="194" spans="1:3" x14ac:dyDescent="0.25">
      <c r="A194" s="231">
        <v>71</v>
      </c>
      <c r="B194">
        <v>0</v>
      </c>
      <c r="C194">
        <v>0</v>
      </c>
    </row>
    <row r="195" spans="1:3" x14ac:dyDescent="0.25">
      <c r="A195" s="234" t="s">
        <v>358</v>
      </c>
      <c r="B195">
        <v>0</v>
      </c>
      <c r="C195">
        <v>0</v>
      </c>
    </row>
    <row r="196" spans="1:3" x14ac:dyDescent="0.25">
      <c r="A196" s="235" t="s">
        <v>362</v>
      </c>
      <c r="B196">
        <v>0</v>
      </c>
      <c r="C196">
        <v>0</v>
      </c>
    </row>
    <row r="197" spans="1:3" x14ac:dyDescent="0.25">
      <c r="A197" s="238">
        <v>5.25</v>
      </c>
      <c r="B197">
        <v>0</v>
      </c>
      <c r="C197">
        <v>0</v>
      </c>
    </row>
    <row r="198" spans="1:3" x14ac:dyDescent="0.25">
      <c r="A198" s="239">
        <v>1.66</v>
      </c>
      <c r="B198">
        <v>0</v>
      </c>
      <c r="C198">
        <v>0</v>
      </c>
    </row>
    <row r="199" spans="1:3" x14ac:dyDescent="0.25">
      <c r="A199" s="240">
        <v>46103</v>
      </c>
      <c r="B199">
        <v>0</v>
      </c>
      <c r="C199">
        <v>0</v>
      </c>
    </row>
    <row r="200" spans="1:3" x14ac:dyDescent="0.25">
      <c r="A200" s="231">
        <v>73</v>
      </c>
      <c r="B200">
        <v>2</v>
      </c>
      <c r="C200">
        <v>1</v>
      </c>
    </row>
    <row r="201" spans="1:3" x14ac:dyDescent="0.25">
      <c r="A201" s="234" t="s">
        <v>360</v>
      </c>
      <c r="B201">
        <v>2</v>
      </c>
      <c r="C201">
        <v>1</v>
      </c>
    </row>
    <row r="202" spans="1:3" x14ac:dyDescent="0.25">
      <c r="A202" s="235" t="s">
        <v>361</v>
      </c>
      <c r="B202">
        <v>2</v>
      </c>
      <c r="C202">
        <v>1</v>
      </c>
    </row>
    <row r="203" spans="1:3" x14ac:dyDescent="0.25">
      <c r="A203" s="238">
        <v>4.33</v>
      </c>
      <c r="B203">
        <v>2</v>
      </c>
      <c r="C203">
        <v>1</v>
      </c>
    </row>
    <row r="204" spans="1:3" x14ac:dyDescent="0.25">
      <c r="A204" s="239">
        <v>1.81</v>
      </c>
      <c r="B204">
        <v>2</v>
      </c>
      <c r="C204">
        <v>1</v>
      </c>
    </row>
    <row r="205" spans="1:3" x14ac:dyDescent="0.25">
      <c r="A205" s="240">
        <v>46103</v>
      </c>
      <c r="B205">
        <v>2</v>
      </c>
      <c r="C205">
        <v>1</v>
      </c>
    </row>
    <row r="206" spans="1:3" x14ac:dyDescent="0.25">
      <c r="A206" s="231">
        <v>74</v>
      </c>
      <c r="B206">
        <v>2</v>
      </c>
      <c r="C206">
        <v>0</v>
      </c>
    </row>
    <row r="207" spans="1:3" x14ac:dyDescent="0.25">
      <c r="A207" s="234" t="s">
        <v>354</v>
      </c>
      <c r="B207">
        <v>2</v>
      </c>
      <c r="C207">
        <v>0</v>
      </c>
    </row>
    <row r="208" spans="1:3" x14ac:dyDescent="0.25">
      <c r="A208" s="235" t="s">
        <v>390</v>
      </c>
      <c r="B208">
        <v>2</v>
      </c>
      <c r="C208">
        <v>0</v>
      </c>
    </row>
    <row r="209" spans="1:3" x14ac:dyDescent="0.25">
      <c r="A209" s="238">
        <v>7.5</v>
      </c>
      <c r="B209">
        <v>2</v>
      </c>
      <c r="C209">
        <v>0</v>
      </c>
    </row>
    <row r="210" spans="1:3" x14ac:dyDescent="0.25">
      <c r="A210" s="239">
        <v>1.37</v>
      </c>
      <c r="B210">
        <v>2</v>
      </c>
      <c r="C210">
        <v>0</v>
      </c>
    </row>
    <row r="211" spans="1:3" x14ac:dyDescent="0.25">
      <c r="A211" s="240">
        <v>46103</v>
      </c>
      <c r="B211">
        <v>2</v>
      </c>
      <c r="C211">
        <v>0</v>
      </c>
    </row>
    <row r="212" spans="1:3" x14ac:dyDescent="0.25">
      <c r="A212" s="231">
        <v>77</v>
      </c>
      <c r="B212">
        <v>4</v>
      </c>
      <c r="C212">
        <v>1</v>
      </c>
    </row>
    <row r="213" spans="1:3" x14ac:dyDescent="0.25">
      <c r="A213" s="234" t="s">
        <v>388</v>
      </c>
      <c r="B213">
        <v>4</v>
      </c>
      <c r="C213">
        <v>1</v>
      </c>
    </row>
    <row r="214" spans="1:3" x14ac:dyDescent="0.25">
      <c r="A214" s="235" t="s">
        <v>350</v>
      </c>
      <c r="B214">
        <v>4</v>
      </c>
      <c r="C214">
        <v>1</v>
      </c>
    </row>
    <row r="215" spans="1:3" x14ac:dyDescent="0.25">
      <c r="A215" s="238">
        <v>3.9</v>
      </c>
      <c r="B215">
        <v>4</v>
      </c>
      <c r="C215">
        <v>1</v>
      </c>
    </row>
    <row r="216" spans="1:3" x14ac:dyDescent="0.25">
      <c r="A216" s="239">
        <v>1.91</v>
      </c>
      <c r="B216">
        <v>4</v>
      </c>
      <c r="C216">
        <v>1</v>
      </c>
    </row>
    <row r="217" spans="1:3" x14ac:dyDescent="0.25">
      <c r="A217" s="240">
        <v>46110</v>
      </c>
      <c r="B217">
        <v>4</v>
      </c>
      <c r="C217">
        <v>1</v>
      </c>
    </row>
    <row r="218" spans="1:3" x14ac:dyDescent="0.25">
      <c r="A218" s="231">
        <v>80</v>
      </c>
      <c r="B218">
        <v>3</v>
      </c>
      <c r="C218">
        <v>0</v>
      </c>
    </row>
    <row r="219" spans="1:3" x14ac:dyDescent="0.25">
      <c r="A219" s="234" t="s">
        <v>356</v>
      </c>
      <c r="B219">
        <v>3</v>
      </c>
      <c r="C219">
        <v>0</v>
      </c>
    </row>
    <row r="220" spans="1:3" x14ac:dyDescent="0.25">
      <c r="A220" s="235" t="s">
        <v>388</v>
      </c>
      <c r="B220">
        <v>3</v>
      </c>
      <c r="C220">
        <v>0</v>
      </c>
    </row>
    <row r="221" spans="1:3" x14ac:dyDescent="0.25">
      <c r="A221" s="238">
        <v>4.75</v>
      </c>
      <c r="B221">
        <v>3</v>
      </c>
      <c r="C221">
        <v>0</v>
      </c>
    </row>
    <row r="222" spans="1:3" x14ac:dyDescent="0.25">
      <c r="A222" s="239">
        <v>1.71</v>
      </c>
      <c r="B222">
        <v>3</v>
      </c>
      <c r="C222">
        <v>0</v>
      </c>
    </row>
    <row r="223" spans="1:3" x14ac:dyDescent="0.25">
      <c r="A223" s="240">
        <v>46114</v>
      </c>
      <c r="B223">
        <v>3</v>
      </c>
      <c r="C223">
        <v>0</v>
      </c>
    </row>
    <row r="224" spans="1:3" x14ac:dyDescent="0.25">
      <c r="A224" s="231">
        <v>81</v>
      </c>
      <c r="B224">
        <v>3</v>
      </c>
      <c r="C224">
        <v>0</v>
      </c>
    </row>
    <row r="225" spans="1:3" x14ac:dyDescent="0.25">
      <c r="A225" s="234" t="s">
        <v>358</v>
      </c>
      <c r="B225">
        <v>3</v>
      </c>
      <c r="C225">
        <v>0</v>
      </c>
    </row>
    <row r="226" spans="1:3" x14ac:dyDescent="0.25">
      <c r="A226" s="235" t="s">
        <v>381</v>
      </c>
      <c r="B226">
        <v>3</v>
      </c>
      <c r="C226">
        <v>0</v>
      </c>
    </row>
    <row r="227" spans="1:3" x14ac:dyDescent="0.25">
      <c r="A227" s="238">
        <v>6</v>
      </c>
      <c r="B227">
        <v>3</v>
      </c>
      <c r="C227">
        <v>0</v>
      </c>
    </row>
    <row r="228" spans="1:3" x14ac:dyDescent="0.25">
      <c r="A228" s="239">
        <v>1.49</v>
      </c>
      <c r="B228">
        <v>3</v>
      </c>
      <c r="C228">
        <v>0</v>
      </c>
    </row>
    <row r="229" spans="1:3" x14ac:dyDescent="0.25">
      <c r="A229" s="240">
        <v>46114</v>
      </c>
      <c r="B229">
        <v>3</v>
      </c>
      <c r="C229">
        <v>0</v>
      </c>
    </row>
    <row r="230" spans="1:3" x14ac:dyDescent="0.25">
      <c r="A230" s="231">
        <v>83</v>
      </c>
      <c r="B230">
        <v>3</v>
      </c>
      <c r="C230">
        <v>1</v>
      </c>
    </row>
    <row r="231" spans="1:3" x14ac:dyDescent="0.25">
      <c r="A231" s="234" t="s">
        <v>352</v>
      </c>
      <c r="B231">
        <v>3</v>
      </c>
      <c r="C231">
        <v>1</v>
      </c>
    </row>
    <row r="232" spans="1:3" x14ac:dyDescent="0.25">
      <c r="A232" s="235" t="s">
        <v>357</v>
      </c>
      <c r="B232">
        <v>3</v>
      </c>
      <c r="C232">
        <v>1</v>
      </c>
    </row>
    <row r="233" spans="1:3" x14ac:dyDescent="0.25">
      <c r="A233" s="238">
        <v>4.75</v>
      </c>
      <c r="B233">
        <v>3</v>
      </c>
      <c r="C233">
        <v>1</v>
      </c>
    </row>
    <row r="234" spans="1:3" x14ac:dyDescent="0.25">
      <c r="A234" s="239">
        <v>1.81</v>
      </c>
      <c r="B234">
        <v>3</v>
      </c>
      <c r="C234">
        <v>1</v>
      </c>
    </row>
    <row r="235" spans="1:3" x14ac:dyDescent="0.25">
      <c r="A235" s="240">
        <v>46114</v>
      </c>
      <c r="B235">
        <v>3</v>
      </c>
      <c r="C235">
        <v>1</v>
      </c>
    </row>
    <row r="236" spans="1:3" x14ac:dyDescent="0.25">
      <c r="A236" s="231">
        <v>85</v>
      </c>
      <c r="B236">
        <v>2</v>
      </c>
      <c r="C236">
        <v>0</v>
      </c>
    </row>
    <row r="237" spans="1:3" x14ac:dyDescent="0.25">
      <c r="A237" s="234" t="s">
        <v>362</v>
      </c>
      <c r="B237">
        <v>2</v>
      </c>
      <c r="C237">
        <v>0</v>
      </c>
    </row>
    <row r="238" spans="1:3" x14ac:dyDescent="0.25">
      <c r="A238" s="235" t="s">
        <v>389</v>
      </c>
      <c r="B238">
        <v>2</v>
      </c>
      <c r="C238">
        <v>0</v>
      </c>
    </row>
    <row r="239" spans="1:3" x14ac:dyDescent="0.25">
      <c r="A239" s="238">
        <v>5.75</v>
      </c>
      <c r="B239">
        <v>2</v>
      </c>
      <c r="C239">
        <v>0</v>
      </c>
    </row>
    <row r="240" spans="1:3" x14ac:dyDescent="0.25">
      <c r="A240" s="239">
        <v>1.61</v>
      </c>
      <c r="B240">
        <v>2</v>
      </c>
      <c r="C240">
        <v>0</v>
      </c>
    </row>
    <row r="241" spans="1:3" x14ac:dyDescent="0.25">
      <c r="A241" s="240">
        <v>46114</v>
      </c>
      <c r="B241">
        <v>2</v>
      </c>
      <c r="C241">
        <v>0</v>
      </c>
    </row>
    <row r="242" spans="1:3" x14ac:dyDescent="0.25">
      <c r="A242" s="231">
        <v>87</v>
      </c>
      <c r="B242">
        <v>2</v>
      </c>
      <c r="C242">
        <v>1</v>
      </c>
    </row>
    <row r="243" spans="1:3" x14ac:dyDescent="0.25">
      <c r="A243" s="234" t="s">
        <v>353</v>
      </c>
      <c r="B243">
        <v>2</v>
      </c>
      <c r="C243">
        <v>1</v>
      </c>
    </row>
    <row r="244" spans="1:3" x14ac:dyDescent="0.25">
      <c r="A244" s="235" t="s">
        <v>361</v>
      </c>
      <c r="B244">
        <v>2</v>
      </c>
      <c r="C244">
        <v>1</v>
      </c>
    </row>
    <row r="245" spans="1:3" x14ac:dyDescent="0.25">
      <c r="A245" s="238">
        <v>6</v>
      </c>
      <c r="B245">
        <v>2</v>
      </c>
      <c r="C245">
        <v>1</v>
      </c>
    </row>
    <row r="246" spans="1:3" x14ac:dyDescent="0.25">
      <c r="A246" s="239">
        <v>1.51</v>
      </c>
      <c r="B246">
        <v>2</v>
      </c>
      <c r="C246">
        <v>1</v>
      </c>
    </row>
    <row r="247" spans="1:3" x14ac:dyDescent="0.25">
      <c r="A247" s="240">
        <v>46115</v>
      </c>
      <c r="B247">
        <v>2</v>
      </c>
      <c r="C247">
        <v>1</v>
      </c>
    </row>
    <row r="248" spans="1:3" x14ac:dyDescent="0.25">
      <c r="A248" s="231">
        <v>90</v>
      </c>
      <c r="B248">
        <v>1</v>
      </c>
      <c r="C248">
        <v>2</v>
      </c>
    </row>
    <row r="249" spans="1:3" x14ac:dyDescent="0.25">
      <c r="A249" s="234" t="s">
        <v>360</v>
      </c>
      <c r="B249">
        <v>1</v>
      </c>
      <c r="C249">
        <v>2</v>
      </c>
    </row>
    <row r="250" spans="1:3" x14ac:dyDescent="0.25">
      <c r="A250" s="235" t="s">
        <v>350</v>
      </c>
      <c r="B250">
        <v>1</v>
      </c>
      <c r="C250">
        <v>2</v>
      </c>
    </row>
    <row r="251" spans="1:3" x14ac:dyDescent="0.25">
      <c r="A251" s="238">
        <v>4</v>
      </c>
      <c r="B251">
        <v>1</v>
      </c>
      <c r="C251">
        <v>2</v>
      </c>
    </row>
    <row r="252" spans="1:3" x14ac:dyDescent="0.25">
      <c r="A252" s="239">
        <v>1.91</v>
      </c>
      <c r="B252">
        <v>1</v>
      </c>
      <c r="C252">
        <v>2</v>
      </c>
    </row>
    <row r="253" spans="1:3" x14ac:dyDescent="0.25">
      <c r="A253" s="240">
        <v>46117</v>
      </c>
      <c r="B253">
        <v>1</v>
      </c>
      <c r="C253">
        <v>2</v>
      </c>
    </row>
    <row r="254" spans="1:3" x14ac:dyDescent="0.25">
      <c r="A254" s="231">
        <v>93</v>
      </c>
      <c r="B254">
        <v>3</v>
      </c>
      <c r="C254">
        <v>1</v>
      </c>
    </row>
    <row r="255" spans="1:3" x14ac:dyDescent="0.25">
      <c r="A255" s="234" t="s">
        <v>363</v>
      </c>
      <c r="B255">
        <v>3</v>
      </c>
      <c r="C255">
        <v>1</v>
      </c>
    </row>
    <row r="256" spans="1:3" x14ac:dyDescent="0.25">
      <c r="A256" s="235" t="s">
        <v>362</v>
      </c>
      <c r="B256">
        <v>3</v>
      </c>
      <c r="C256">
        <v>1</v>
      </c>
    </row>
    <row r="257" spans="1:3" x14ac:dyDescent="0.25">
      <c r="A257" s="238">
        <v>11</v>
      </c>
      <c r="B257">
        <v>3</v>
      </c>
      <c r="C257">
        <v>1</v>
      </c>
    </row>
    <row r="258" spans="1:3" x14ac:dyDescent="0.25">
      <c r="A258" s="239">
        <v>1.3</v>
      </c>
      <c r="B258">
        <v>3</v>
      </c>
      <c r="C258">
        <v>1</v>
      </c>
    </row>
    <row r="259" spans="1:3" x14ac:dyDescent="0.25">
      <c r="A259" s="240">
        <v>46117</v>
      </c>
      <c r="B259">
        <v>3</v>
      </c>
      <c r="C259">
        <v>1</v>
      </c>
    </row>
    <row r="260" spans="1:3" x14ac:dyDescent="0.25">
      <c r="A260" s="231">
        <v>97</v>
      </c>
      <c r="B260">
        <v>0</v>
      </c>
      <c r="C260">
        <v>0</v>
      </c>
    </row>
    <row r="261" spans="1:3" x14ac:dyDescent="0.25">
      <c r="A261" s="234" t="s">
        <v>361</v>
      </c>
      <c r="B261">
        <v>0</v>
      </c>
      <c r="C261">
        <v>0</v>
      </c>
    </row>
    <row r="262" spans="1:3" x14ac:dyDescent="0.25">
      <c r="A262" s="235" t="s">
        <v>389</v>
      </c>
      <c r="B262">
        <v>0</v>
      </c>
      <c r="C262">
        <v>0</v>
      </c>
    </row>
    <row r="263" spans="1:3" x14ac:dyDescent="0.25">
      <c r="A263" s="238">
        <v>4.75</v>
      </c>
      <c r="B263">
        <v>0</v>
      </c>
      <c r="C263">
        <v>0</v>
      </c>
    </row>
    <row r="264" spans="1:3" x14ac:dyDescent="0.25">
      <c r="A264" s="239">
        <v>1.68</v>
      </c>
      <c r="B264">
        <v>0</v>
      </c>
      <c r="C264">
        <v>0</v>
      </c>
    </row>
    <row r="265" spans="1:3" x14ac:dyDescent="0.25">
      <c r="A265" s="240">
        <v>46118</v>
      </c>
      <c r="B265">
        <v>0</v>
      </c>
      <c r="C265">
        <v>0</v>
      </c>
    </row>
    <row r="266" spans="1:3" x14ac:dyDescent="0.25">
      <c r="A266" s="231">
        <v>102</v>
      </c>
      <c r="B266">
        <v>0</v>
      </c>
      <c r="C266">
        <v>0</v>
      </c>
    </row>
    <row r="267" spans="1:3" x14ac:dyDescent="0.25">
      <c r="A267" s="234" t="s">
        <v>354</v>
      </c>
      <c r="B267">
        <v>0</v>
      </c>
      <c r="C267">
        <v>0</v>
      </c>
    </row>
    <row r="268" spans="1:3" x14ac:dyDescent="0.25">
      <c r="A268" s="235" t="s">
        <v>361</v>
      </c>
      <c r="B268">
        <v>0</v>
      </c>
      <c r="C268">
        <v>0</v>
      </c>
    </row>
    <row r="269" spans="1:3" x14ac:dyDescent="0.25">
      <c r="A269" s="238">
        <v>4.75</v>
      </c>
      <c r="B269">
        <v>0</v>
      </c>
      <c r="C269">
        <v>0</v>
      </c>
    </row>
    <row r="270" spans="1:3" x14ac:dyDescent="0.25">
      <c r="A270" s="239">
        <v>1.71</v>
      </c>
      <c r="B270">
        <v>0</v>
      </c>
      <c r="C270">
        <v>0</v>
      </c>
    </row>
    <row r="271" spans="1:3" x14ac:dyDescent="0.25">
      <c r="A271" s="240">
        <v>46124</v>
      </c>
      <c r="B271">
        <v>0</v>
      </c>
      <c r="C271">
        <v>0</v>
      </c>
    </row>
    <row r="272" spans="1:3" x14ac:dyDescent="0.25">
      <c r="A272" s="231">
        <v>103</v>
      </c>
      <c r="B272">
        <v>2</v>
      </c>
      <c r="C272">
        <v>0</v>
      </c>
    </row>
    <row r="273" spans="1:3" x14ac:dyDescent="0.25">
      <c r="A273" s="234" t="s">
        <v>388</v>
      </c>
      <c r="B273">
        <v>2</v>
      </c>
      <c r="C273">
        <v>0</v>
      </c>
    </row>
    <row r="274" spans="1:3" x14ac:dyDescent="0.25">
      <c r="A274" s="235" t="s">
        <v>390</v>
      </c>
      <c r="B274">
        <v>2</v>
      </c>
      <c r="C274">
        <v>0</v>
      </c>
    </row>
    <row r="275" spans="1:3" x14ac:dyDescent="0.25">
      <c r="A275" s="238">
        <v>5.75</v>
      </c>
      <c r="B275">
        <v>2</v>
      </c>
      <c r="C275">
        <v>0</v>
      </c>
    </row>
    <row r="276" spans="1:3" x14ac:dyDescent="0.25">
      <c r="A276" s="239">
        <v>1.39</v>
      </c>
      <c r="B276">
        <v>2</v>
      </c>
      <c r="C276">
        <v>0</v>
      </c>
    </row>
    <row r="277" spans="1:3" x14ac:dyDescent="0.25">
      <c r="A277" s="240">
        <v>46124</v>
      </c>
      <c r="B277">
        <v>2</v>
      </c>
      <c r="C277">
        <v>0</v>
      </c>
    </row>
    <row r="278" spans="1:3" x14ac:dyDescent="0.25">
      <c r="A278" s="231">
        <v>104</v>
      </c>
      <c r="B278">
        <v>2</v>
      </c>
      <c r="C278">
        <v>2</v>
      </c>
    </row>
    <row r="279" spans="1:3" x14ac:dyDescent="0.25">
      <c r="A279" s="234" t="s">
        <v>350</v>
      </c>
      <c r="B279">
        <v>2</v>
      </c>
      <c r="C279">
        <v>2</v>
      </c>
    </row>
    <row r="280" spans="1:3" x14ac:dyDescent="0.25">
      <c r="A280" s="235" t="s">
        <v>387</v>
      </c>
      <c r="B280">
        <v>2</v>
      </c>
      <c r="C280">
        <v>2</v>
      </c>
    </row>
    <row r="281" spans="1:3" x14ac:dyDescent="0.25">
      <c r="A281" s="238">
        <v>4.2</v>
      </c>
      <c r="B281">
        <v>2</v>
      </c>
      <c r="C281">
        <v>2</v>
      </c>
    </row>
    <row r="282" spans="1:3" x14ac:dyDescent="0.25">
      <c r="A282" s="239">
        <v>1.86</v>
      </c>
      <c r="B282">
        <v>2</v>
      </c>
      <c r="C282">
        <v>2</v>
      </c>
    </row>
    <row r="283" spans="1:3" x14ac:dyDescent="0.25">
      <c r="A283" s="240">
        <v>46124</v>
      </c>
      <c r="B283">
        <v>2</v>
      </c>
      <c r="C283">
        <v>2</v>
      </c>
    </row>
    <row r="284" spans="1:3" x14ac:dyDescent="0.25">
      <c r="A284" s="231">
        <v>107</v>
      </c>
      <c r="B284">
        <v>2</v>
      </c>
      <c r="C284">
        <v>1</v>
      </c>
    </row>
    <row r="285" spans="1:3" x14ac:dyDescent="0.25">
      <c r="A285" s="234" t="s">
        <v>358</v>
      </c>
      <c r="B285">
        <v>2</v>
      </c>
      <c r="C285">
        <v>1</v>
      </c>
    </row>
    <row r="286" spans="1:3" x14ac:dyDescent="0.25">
      <c r="A286" s="235" t="s">
        <v>355</v>
      </c>
      <c r="B286">
        <v>2</v>
      </c>
      <c r="C286">
        <v>1</v>
      </c>
    </row>
    <row r="287" spans="1:3" x14ac:dyDescent="0.25">
      <c r="A287" s="238">
        <v>3.9</v>
      </c>
      <c r="B287">
        <v>2</v>
      </c>
      <c r="C287">
        <v>1</v>
      </c>
    </row>
    <row r="288" spans="1:3" x14ac:dyDescent="0.25">
      <c r="A288" s="239">
        <v>1.96</v>
      </c>
      <c r="B288">
        <v>2</v>
      </c>
      <c r="C288">
        <v>1</v>
      </c>
    </row>
    <row r="289" spans="1:3" x14ac:dyDescent="0.25">
      <c r="A289" s="240">
        <v>46124</v>
      </c>
      <c r="B289">
        <v>2</v>
      </c>
      <c r="C289">
        <v>1</v>
      </c>
    </row>
    <row r="290" spans="1:3" x14ac:dyDescent="0.25">
      <c r="A290" s="231">
        <v>111</v>
      </c>
      <c r="B290">
        <v>2</v>
      </c>
      <c r="C290">
        <v>0</v>
      </c>
    </row>
    <row r="291" spans="1:3" x14ac:dyDescent="0.25">
      <c r="A291" s="234" t="s">
        <v>358</v>
      </c>
      <c r="B291">
        <v>2</v>
      </c>
      <c r="C291">
        <v>0</v>
      </c>
    </row>
    <row r="292" spans="1:3" x14ac:dyDescent="0.25">
      <c r="A292" s="235" t="s">
        <v>361</v>
      </c>
      <c r="B292">
        <v>2</v>
      </c>
      <c r="C292">
        <v>0</v>
      </c>
    </row>
    <row r="293" spans="1:3" x14ac:dyDescent="0.25">
      <c r="A293" s="238">
        <v>5.25</v>
      </c>
      <c r="B293">
        <v>2</v>
      </c>
      <c r="C293">
        <v>0</v>
      </c>
    </row>
    <row r="294" spans="1:3" x14ac:dyDescent="0.25">
      <c r="A294" s="239">
        <v>1.62</v>
      </c>
      <c r="B294">
        <v>2</v>
      </c>
      <c r="C294">
        <v>0</v>
      </c>
    </row>
    <row r="295" spans="1:3" x14ac:dyDescent="0.25">
      <c r="A295" s="240">
        <v>46131</v>
      </c>
      <c r="B295">
        <v>2</v>
      </c>
      <c r="C295">
        <v>0</v>
      </c>
    </row>
    <row r="296" spans="1:3" x14ac:dyDescent="0.25">
      <c r="A296" s="231">
        <v>112</v>
      </c>
      <c r="B296">
        <v>1</v>
      </c>
      <c r="C296">
        <v>2</v>
      </c>
    </row>
    <row r="297" spans="1:3" x14ac:dyDescent="0.25">
      <c r="A297" s="234" t="s">
        <v>354</v>
      </c>
      <c r="B297">
        <v>1</v>
      </c>
      <c r="C297">
        <v>2</v>
      </c>
    </row>
    <row r="298" spans="1:3" x14ac:dyDescent="0.25">
      <c r="A298" s="235" t="s">
        <v>382</v>
      </c>
      <c r="B298">
        <v>1</v>
      </c>
      <c r="C298">
        <v>2</v>
      </c>
    </row>
    <row r="299" spans="1:3" x14ac:dyDescent="0.25">
      <c r="A299" s="238">
        <v>4.0999999999999996</v>
      </c>
      <c r="B299">
        <v>1</v>
      </c>
      <c r="C299">
        <v>2</v>
      </c>
    </row>
    <row r="300" spans="1:3" x14ac:dyDescent="0.25">
      <c r="A300" s="239">
        <v>1.86</v>
      </c>
      <c r="B300">
        <v>1</v>
      </c>
      <c r="C300">
        <v>2</v>
      </c>
    </row>
    <row r="301" spans="1:3" x14ac:dyDescent="0.25">
      <c r="A301" s="240">
        <v>46131</v>
      </c>
      <c r="B301">
        <v>1</v>
      </c>
      <c r="C301">
        <v>2</v>
      </c>
    </row>
    <row r="302" spans="1:3" x14ac:dyDescent="0.25">
      <c r="A302" s="231">
        <v>115</v>
      </c>
      <c r="B302">
        <v>4</v>
      </c>
      <c r="C302">
        <v>2</v>
      </c>
    </row>
    <row r="303" spans="1:3" x14ac:dyDescent="0.25">
      <c r="A303" s="234" t="s">
        <v>355</v>
      </c>
      <c r="B303">
        <v>4</v>
      </c>
      <c r="C303">
        <v>2</v>
      </c>
    </row>
    <row r="304" spans="1:3" x14ac:dyDescent="0.25">
      <c r="A304" s="235" t="s">
        <v>389</v>
      </c>
      <c r="B304">
        <v>4</v>
      </c>
      <c r="C304">
        <v>2</v>
      </c>
    </row>
    <row r="305" spans="1:3" x14ac:dyDescent="0.25">
      <c r="A305" s="238">
        <v>6.5</v>
      </c>
      <c r="B305">
        <v>4</v>
      </c>
      <c r="C305">
        <v>2</v>
      </c>
    </row>
    <row r="306" spans="1:3" x14ac:dyDescent="0.25">
      <c r="A306" s="239">
        <v>1.49</v>
      </c>
      <c r="B306">
        <v>4</v>
      </c>
      <c r="C306">
        <v>2</v>
      </c>
    </row>
    <row r="307" spans="1:3" x14ac:dyDescent="0.25">
      <c r="A307" s="240">
        <v>46131</v>
      </c>
      <c r="B307">
        <v>4</v>
      </c>
      <c r="C307">
        <v>2</v>
      </c>
    </row>
    <row r="308" spans="1:3" x14ac:dyDescent="0.25">
      <c r="A308" s="231">
        <v>116</v>
      </c>
      <c r="B308">
        <v>1</v>
      </c>
      <c r="C308">
        <v>0</v>
      </c>
    </row>
    <row r="309" spans="1:3" x14ac:dyDescent="0.25">
      <c r="A309" s="234" t="s">
        <v>353</v>
      </c>
      <c r="B309">
        <v>1</v>
      </c>
      <c r="C309">
        <v>0</v>
      </c>
    </row>
    <row r="310" spans="1:3" x14ac:dyDescent="0.25">
      <c r="A310" s="235" t="s">
        <v>388</v>
      </c>
      <c r="B310">
        <v>1</v>
      </c>
      <c r="C310">
        <v>0</v>
      </c>
    </row>
    <row r="311" spans="1:3" x14ac:dyDescent="0.25">
      <c r="A311" s="238">
        <v>6.5</v>
      </c>
      <c r="B311">
        <v>1</v>
      </c>
      <c r="C311">
        <v>0</v>
      </c>
    </row>
    <row r="312" spans="1:3" x14ac:dyDescent="0.25">
      <c r="A312" s="239">
        <v>1.56</v>
      </c>
      <c r="B312">
        <v>1</v>
      </c>
      <c r="C312">
        <v>0</v>
      </c>
    </row>
    <row r="313" spans="1:3" x14ac:dyDescent="0.25">
      <c r="A313" s="240">
        <v>46131</v>
      </c>
      <c r="B313">
        <v>1</v>
      </c>
      <c r="C313">
        <v>0</v>
      </c>
    </row>
    <row r="314" spans="1:3" x14ac:dyDescent="0.25">
      <c r="A314" s="231">
        <v>117</v>
      </c>
      <c r="B314">
        <v>2</v>
      </c>
      <c r="C314">
        <v>0</v>
      </c>
    </row>
    <row r="315" spans="1:3" x14ac:dyDescent="0.25">
      <c r="A315" s="234" t="s">
        <v>363</v>
      </c>
      <c r="B315">
        <v>2</v>
      </c>
      <c r="C315">
        <v>0</v>
      </c>
    </row>
    <row r="316" spans="1:3" x14ac:dyDescent="0.25">
      <c r="A316" s="235" t="s">
        <v>356</v>
      </c>
      <c r="B316">
        <v>2</v>
      </c>
      <c r="C316">
        <v>0</v>
      </c>
    </row>
    <row r="317" spans="1:3" x14ac:dyDescent="0.25">
      <c r="A317" s="238">
        <v>6.5</v>
      </c>
      <c r="B317">
        <v>2</v>
      </c>
      <c r="C317">
        <v>0</v>
      </c>
    </row>
    <row r="318" spans="1:3" x14ac:dyDescent="0.25">
      <c r="A318" s="239">
        <v>1.42</v>
      </c>
      <c r="B318">
        <v>2</v>
      </c>
      <c r="C318">
        <v>0</v>
      </c>
    </row>
    <row r="319" spans="1:3" x14ac:dyDescent="0.25">
      <c r="A319" s="240">
        <v>46131</v>
      </c>
      <c r="B319">
        <v>2</v>
      </c>
      <c r="C319">
        <v>0</v>
      </c>
    </row>
    <row r="320" spans="1:3" x14ac:dyDescent="0.25">
      <c r="A320" s="231" t="s">
        <v>36</v>
      </c>
      <c r="B320">
        <v>93</v>
      </c>
      <c r="C320">
        <v>43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44BD-5177-4969-B0BA-9BEE5DE38B16}">
  <sheetPr codeName="Planilha5"/>
  <dimension ref="A1:V84"/>
  <sheetViews>
    <sheetView showGridLines="0" zoomScaleNormal="100" workbookViewId="0">
      <selection activeCell="P25" sqref="P25"/>
    </sheetView>
  </sheetViews>
  <sheetFormatPr defaultRowHeight="15" x14ac:dyDescent="0.25"/>
  <cols>
    <col min="1" max="1" width="24.28515625" style="10" customWidth="1"/>
    <col min="2" max="2" width="9.42578125" style="10" customWidth="1"/>
    <col min="3" max="6" width="8.28515625" style="10" customWidth="1"/>
    <col min="7" max="7" width="9.28515625" style="10" customWidth="1"/>
    <col min="8" max="12" width="8.28515625" style="10" customWidth="1"/>
    <col min="13" max="16" width="9.140625" style="10" customWidth="1"/>
    <col min="17" max="18" width="9.140625" style="10"/>
    <col min="19" max="20" width="18" style="10" bestFit="1" customWidth="1"/>
    <col min="21" max="21" width="18.28515625" style="10" bestFit="1" customWidth="1"/>
    <col min="22" max="16384" width="9.140625" style="10"/>
  </cols>
  <sheetData>
    <row r="1" spans="1:16" ht="17.25" customHeight="1" thickBot="1" x14ac:dyDescent="0.3">
      <c r="A1" s="191"/>
      <c r="B1" s="192"/>
      <c r="C1" s="158"/>
      <c r="D1" s="158"/>
      <c r="E1" s="193" t="s">
        <v>72</v>
      </c>
      <c r="F1" s="194" t="s">
        <v>307</v>
      </c>
      <c r="G1" s="11"/>
      <c r="H1" s="11"/>
      <c r="I1" s="11"/>
      <c r="J1" s="11"/>
      <c r="K1" s="11"/>
      <c r="L1" s="11"/>
      <c r="M1" s="12"/>
      <c r="N1" s="11" t="s">
        <v>158</v>
      </c>
      <c r="O1" s="44" t="s">
        <v>159</v>
      </c>
      <c r="P1" s="11" t="s">
        <v>308</v>
      </c>
    </row>
    <row r="2" spans="1:16" ht="15" customHeight="1" x14ac:dyDescent="0.25">
      <c r="A2" s="191"/>
      <c r="B2" s="195" t="s">
        <v>309</v>
      </c>
      <c r="C2" s="194">
        <f>DASH!D7</f>
        <v>1.5726495726495726</v>
      </c>
      <c r="D2" s="193"/>
      <c r="E2" s="228" t="str">
        <f>T27</f>
        <v>(vazio)</v>
      </c>
      <c r="F2" s="228" t="str">
        <f>T58</f>
        <v>(vazio)</v>
      </c>
      <c r="G2" s="196" t="s">
        <v>72</v>
      </c>
      <c r="H2" s="190">
        <f>SUM(B16:B25,C17:C25,D18:D25,E19:E25,F20:F25,G21:G25,H22:H25,I23:I25,J24:J25,K25)</f>
        <v>0.49423214468452514</v>
      </c>
      <c r="I2" s="9">
        <f>1/H2</f>
        <v>2.0233406725058587</v>
      </c>
      <c r="J2" s="189" t="s">
        <v>289</v>
      </c>
      <c r="K2" s="190">
        <f>SUM(C15:L25,B16:B25)</f>
        <v>0.92748192295529552</v>
      </c>
      <c r="L2" s="9">
        <f>1/K2</f>
        <v>1.0781881298706453</v>
      </c>
      <c r="M2" s="43" t="s">
        <v>160</v>
      </c>
      <c r="N2" s="45">
        <f>1/B15</f>
        <v>13.789833585027381</v>
      </c>
      <c r="O2" s="197">
        <v>14.5</v>
      </c>
      <c r="P2" s="46">
        <f>((1/N2)*(O2-1))-(1-(1/N2))</f>
        <v>5.1499273765253983E-2</v>
      </c>
    </row>
    <row r="3" spans="1:16" ht="15" customHeight="1" x14ac:dyDescent="0.25">
      <c r="A3" s="191"/>
      <c r="B3" s="195" t="s">
        <v>310</v>
      </c>
      <c r="C3" s="194">
        <f>DASH!E7</f>
        <v>1.0512820512820513</v>
      </c>
      <c r="D3" s="161">
        <v>0</v>
      </c>
      <c r="E3" s="198">
        <f>_xlfn.POISSON.DIST(0,C2,FALSE)</f>
        <v>0.2074946811504961</v>
      </c>
      <c r="F3" s="199">
        <f>_xlfn.POISSON.DIST(0,C3,FALSE)</f>
        <v>0.34948939843695875</v>
      </c>
      <c r="G3" s="196" t="s">
        <v>288</v>
      </c>
      <c r="H3" s="190">
        <f>SUM(B15,C16,D17,E18,F19,G20,H21,I22,J23,K24,L25)</f>
        <v>0.25207323352725447</v>
      </c>
      <c r="I3" s="9">
        <f t="shared" ref="I3:I6" si="0">1/H3</f>
        <v>3.9671010920399001</v>
      </c>
      <c r="J3" s="189" t="s">
        <v>290</v>
      </c>
      <c r="K3" s="190">
        <f>SUM(D15:L25,C16:C25,B17:B25)</f>
        <v>0.73720177143986243</v>
      </c>
      <c r="L3" s="9">
        <f t="shared" ref="L3:L8" si="1">1/K3</f>
        <v>1.3564807339608727</v>
      </c>
      <c r="M3" s="43" t="s">
        <v>161</v>
      </c>
      <c r="N3" s="45">
        <f>1/C15</f>
        <v>13.117158776001654</v>
      </c>
      <c r="O3" s="47">
        <v>17.8</v>
      </c>
      <c r="P3" s="48">
        <f t="shared" ref="P3:P17" si="2">((1/N3)*(O3-1))-(1-(1/N3))</f>
        <v>0.35700118478140141</v>
      </c>
    </row>
    <row r="4" spans="1:16" ht="15" customHeight="1" x14ac:dyDescent="0.25">
      <c r="A4" s="200"/>
      <c r="B4" s="195" t="s">
        <v>311</v>
      </c>
      <c r="C4" s="194" t="e">
        <f>VLOOKUP(E2,BDBRA1!BQ1:BW22,2,FALSE)</f>
        <v>#N/A</v>
      </c>
      <c r="D4" s="193">
        <v>1</v>
      </c>
      <c r="E4" s="198">
        <f>_xlfn.POISSON.DIST(1,C2,FALSE)</f>
        <v>0.32631642163838698</v>
      </c>
      <c r="F4" s="199">
        <f>_xlfn.POISSON.DIST(1,C3,FALSE)</f>
        <v>0.36741193169013614</v>
      </c>
      <c r="G4" s="196" t="s">
        <v>307</v>
      </c>
      <c r="H4" s="190">
        <f>SUM(C15:L15,D16:L16,E17:L17,F18:L18,G19:L19,H20:L20,I21:L21,J22:L22,K23:L23,L24)</f>
        <v>0.25369373603767181</v>
      </c>
      <c r="I4" s="9">
        <f t="shared" si="0"/>
        <v>3.9417607057176482</v>
      </c>
      <c r="J4" s="189" t="s">
        <v>291</v>
      </c>
      <c r="K4" s="190">
        <f>SUM(E15:L25,D16:D25,C17:C25,B18:B25)</f>
        <v>0.48756071795593892</v>
      </c>
      <c r="L4" s="9">
        <f t="shared" si="1"/>
        <v>2.0510265966307206</v>
      </c>
      <c r="M4" s="43" t="s">
        <v>162</v>
      </c>
      <c r="N4" s="45">
        <f>1/D15</f>
        <v>24.954594744588515</v>
      </c>
      <c r="O4" s="47">
        <v>37.5</v>
      </c>
      <c r="P4" s="48">
        <f t="shared" si="2"/>
        <v>0.50272927225684549</v>
      </c>
    </row>
    <row r="5" spans="1:16" ht="15" customHeight="1" x14ac:dyDescent="0.25">
      <c r="A5" s="201"/>
      <c r="B5" s="202" t="s">
        <v>312</v>
      </c>
      <c r="C5" s="194" t="e">
        <f>VLOOKUP(E2,BDBRA1!BQ1:BW22,4,FALSE)</f>
        <v>#N/A</v>
      </c>
      <c r="D5" s="193">
        <v>2</v>
      </c>
      <c r="E5" s="198">
        <f>_xlfn.POISSON.DIST(2,C2,FALSE)</f>
        <v>0.25659069051907357</v>
      </c>
      <c r="F5" s="199">
        <f>_xlfn.POISSON.DIST(2,C3,FALSE)</f>
        <v>0.1931267846063536</v>
      </c>
      <c r="G5" s="196" t="s">
        <v>313</v>
      </c>
      <c r="H5" s="190">
        <f>SUM(B19:E25,F20:F25,G21:G25,H22:H25,I23:I25,J24:J25,K25)</f>
        <v>7.3830763031235855E-2</v>
      </c>
      <c r="I5" s="9">
        <f t="shared" si="0"/>
        <v>13.54448957241477</v>
      </c>
      <c r="J5" s="189" t="s">
        <v>292</v>
      </c>
      <c r="K5" s="190">
        <f>SUM(F15:L25,E16:E25,D17:D25,C18:C25,B19:B25)</f>
        <v>0.26921369966658143</v>
      </c>
      <c r="L5" s="9">
        <f t="shared" si="1"/>
        <v>3.7145212195311395</v>
      </c>
      <c r="M5" s="43" t="s">
        <v>163</v>
      </c>
      <c r="N5" s="45">
        <f>1/E15</f>
        <v>71.211892319923308</v>
      </c>
      <c r="O5" s="47">
        <v>110</v>
      </c>
      <c r="P5" s="48">
        <f t="shared" si="2"/>
        <v>0.54468581604065525</v>
      </c>
    </row>
    <row r="6" spans="1:16" ht="15" customHeight="1" x14ac:dyDescent="0.25">
      <c r="A6" s="200"/>
      <c r="B6" s="202" t="s">
        <v>314</v>
      </c>
      <c r="C6" s="194" t="e">
        <f>VLOOKUP(F2,BDBRA1!BQ1:BW22,3,FALSE)</f>
        <v>#N/A</v>
      </c>
      <c r="D6" s="193">
        <v>3</v>
      </c>
      <c r="E6" s="198">
        <f>_xlfn.POISSON.DIST(3,C2,FALSE)</f>
        <v>0.13450907993022659</v>
      </c>
      <c r="F6" s="199">
        <f>_xlfn.POISSON.DIST(3,C3,FALSE)</f>
        <v>6.7676907426158117E-2</v>
      </c>
      <c r="G6" s="196" t="s">
        <v>315</v>
      </c>
      <c r="H6" s="190">
        <f>SUM(F15:L18,G19:L19,H20:L20,I21:L21,J22:L22,K23:L23,L24)</f>
        <v>2.0872543556778485E-2</v>
      </c>
      <c r="I6" s="9">
        <f t="shared" si="0"/>
        <v>47.909829354517932</v>
      </c>
      <c r="J6" s="189" t="s">
        <v>293</v>
      </c>
      <c r="K6" s="190">
        <f>SUM(G15:L25,F16:F25,E17:E25,D18:D25,C19:C25,B20:B25)</f>
        <v>0.12598178809642602</v>
      </c>
      <c r="L6" s="9">
        <f t="shared" si="1"/>
        <v>7.9376552366013691</v>
      </c>
      <c r="M6" s="43" t="s">
        <v>164</v>
      </c>
      <c r="N6" s="45">
        <f>1/B16</f>
        <v>8.7685354861315439</v>
      </c>
      <c r="O6" s="47">
        <v>8.5</v>
      </c>
      <c r="P6" s="48">
        <f t="shared" si="2"/>
        <v>-3.0624895862742862E-2</v>
      </c>
    </row>
    <row r="7" spans="1:16" ht="15" customHeight="1" x14ac:dyDescent="0.25">
      <c r="A7" s="201"/>
      <c r="B7" s="202" t="s">
        <v>316</v>
      </c>
      <c r="C7" s="194" t="e">
        <f>VLOOKUP(F2,BDBRA1!BQ1:BW22,5,FALSE)</f>
        <v>#N/A</v>
      </c>
      <c r="D7" s="193">
        <v>4</v>
      </c>
      <c r="E7" s="198">
        <f>_xlfn.POISSON.DIST(4,C2,FALSE)</f>
        <v>5.2883911767439513E-2</v>
      </c>
      <c r="F7" s="199">
        <f>_xlfn.POISSON.DIST(4,C3,FALSE)</f>
        <v>1.7786879515849244E-2</v>
      </c>
      <c r="G7" s="189" t="s">
        <v>317</v>
      </c>
      <c r="H7" s="190">
        <f>SUM(C16:L25)</f>
        <v>0.51553253315620928</v>
      </c>
      <c r="I7" s="9">
        <f>1/H7</f>
        <v>1.9397417925843961</v>
      </c>
      <c r="J7" s="189" t="s">
        <v>318</v>
      </c>
      <c r="K7" s="190">
        <f>SUM(H15:L25,G16:G25,F17:F25,E18:E25,D19:D25,C20:C25,B21:B25)</f>
        <v>5.0815639631404216E-2</v>
      </c>
      <c r="L7" s="9">
        <f t="shared" si="1"/>
        <v>19.678980866000888</v>
      </c>
      <c r="M7" s="43" t="s">
        <v>165</v>
      </c>
      <c r="N7" s="45">
        <f>1/C16</f>
        <v>8.3408020477836633</v>
      </c>
      <c r="O7" s="47">
        <v>8.3000000000000007</v>
      </c>
      <c r="P7" s="48">
        <f t="shared" si="2"/>
        <v>-4.8918614241065805E-3</v>
      </c>
    </row>
    <row r="8" spans="1:16" ht="15" customHeight="1" x14ac:dyDescent="0.25">
      <c r="A8" s="201"/>
      <c r="B8" s="203"/>
      <c r="C8" s="158"/>
      <c r="D8" s="193">
        <v>5</v>
      </c>
      <c r="E8" s="198">
        <f>_xlfn.POISSON.DIST(5,C2,FALSE)</f>
        <v>1.6633572248220287E-2</v>
      </c>
      <c r="F8" s="199">
        <f>_xlfn.POISSON.DIST(5,C3,FALSE)</f>
        <v>3.7398054366657402E-3</v>
      </c>
      <c r="G8" s="189" t="s">
        <v>319</v>
      </c>
      <c r="H8" s="190">
        <f>SUM(B15:L15,B16:B25)</f>
        <v>0.48446658109324164</v>
      </c>
      <c r="I8" s="9">
        <f t="shared" ref="I8" si="3">1/H8</f>
        <v>2.0641258634257325</v>
      </c>
      <c r="J8" s="189" t="s">
        <v>320</v>
      </c>
      <c r="K8" s="190">
        <f>SUM(I15:L25,H16:H25,G17:G25,F18:F25,E19:E25,D20:D25,C21:C25,B22:B25)</f>
        <v>1.7943833963652518E-2</v>
      </c>
      <c r="L8" s="9">
        <f t="shared" si="1"/>
        <v>55.729450128976069</v>
      </c>
      <c r="M8" s="43" t="s">
        <v>166</v>
      </c>
      <c r="N8" s="45">
        <f>1/D16</f>
        <v>15.867867310417699</v>
      </c>
      <c r="O8" s="47">
        <v>18.7</v>
      </c>
      <c r="P8" s="48">
        <f t="shared" si="2"/>
        <v>0.17848225184760191</v>
      </c>
    </row>
    <row r="9" spans="1:16" ht="15" customHeight="1" x14ac:dyDescent="0.25">
      <c r="A9" s="201"/>
      <c r="B9" s="203"/>
      <c r="C9" s="158"/>
      <c r="D9" s="161">
        <v>6</v>
      </c>
      <c r="E9" s="198">
        <f>_xlfn.POISSON.DIST(6,C2,FALSE)</f>
        <v>4.3597967146332389E-3</v>
      </c>
      <c r="F9" s="199">
        <f>_xlfn.POISSON.DIST(6,C3,FALSE)</f>
        <v>6.5526505514228747E-4</v>
      </c>
      <c r="H9" s="158"/>
      <c r="I9" s="158"/>
      <c r="K9" s="158"/>
      <c r="L9" s="158"/>
      <c r="M9" s="43" t="s">
        <v>167</v>
      </c>
      <c r="N9" s="45">
        <f>1/E16</f>
        <v>45.281475007777331</v>
      </c>
      <c r="O9" s="47">
        <v>59</v>
      </c>
      <c r="P9" s="48">
        <f t="shared" si="2"/>
        <v>0.30296108927252119</v>
      </c>
    </row>
    <row r="10" spans="1:16" ht="15" customHeight="1" x14ac:dyDescent="0.25">
      <c r="A10" s="200"/>
      <c r="B10" s="160"/>
      <c r="C10" s="158"/>
      <c r="D10" s="161">
        <v>7</v>
      </c>
      <c r="E10" s="198">
        <f>_xlfn.POISSON.DIST(7,C2,FALSE)</f>
        <v>9.7949034858671046E-4</v>
      </c>
      <c r="F10" s="199">
        <f>_xlfn.POISSON.DIST(7,C3,FALSE)</f>
        <v>9.8409770186204512E-5</v>
      </c>
      <c r="H10" s="158"/>
      <c r="I10" s="158"/>
      <c r="J10" s="158"/>
      <c r="K10" s="158"/>
      <c r="L10" s="158"/>
      <c r="M10" s="43" t="s">
        <v>168</v>
      </c>
      <c r="N10" s="45">
        <f>1/B17</f>
        <v>11.151289694319461</v>
      </c>
      <c r="O10" s="47">
        <v>9.5</v>
      </c>
      <c r="P10" s="48">
        <f t="shared" si="2"/>
        <v>-0.14808060229666875</v>
      </c>
    </row>
    <row r="11" spans="1:16" ht="15" customHeight="1" x14ac:dyDescent="0.25">
      <c r="B11" s="160"/>
      <c r="D11" s="161">
        <v>8</v>
      </c>
      <c r="E11" s="198">
        <f>_xlfn.POISSON.DIST(8,C2,FALSE)</f>
        <v>1.9254938476490904E-4</v>
      </c>
      <c r="F11" s="199">
        <f>_xlfn.POISSON.DIST(8,C3,FALSE)</f>
        <v>1.2932053133443492E-5</v>
      </c>
      <c r="M11" s="43" t="s">
        <v>169</v>
      </c>
      <c r="N11" s="45">
        <f>1/C17</f>
        <v>10.607324343377048</v>
      </c>
      <c r="O11" s="47">
        <v>9.1</v>
      </c>
      <c r="P11" s="48">
        <f t="shared" si="2"/>
        <v>-0.14210222055839972</v>
      </c>
    </row>
    <row r="12" spans="1:16" ht="15" customHeight="1" x14ac:dyDescent="0.25">
      <c r="B12" s="160"/>
      <c r="D12" s="161">
        <v>9</v>
      </c>
      <c r="E12" s="198">
        <f>_xlfn.POISSON.DIST(9,C2,FALSE)</f>
        <v>3.3645856407163583E-5</v>
      </c>
      <c r="F12" s="199">
        <f>_xlfn.POISSON.DIST(9,C3,FALSE)</f>
        <v>1.5105817050461078E-6</v>
      </c>
      <c r="M12" s="43" t="s">
        <v>170</v>
      </c>
      <c r="N12" s="45">
        <f>1/D17</f>
        <v>20.179787775205117</v>
      </c>
      <c r="O12" s="47">
        <v>18.2</v>
      </c>
      <c r="P12" s="48">
        <f t="shared" si="2"/>
        <v>-9.8107462638317822E-2</v>
      </c>
    </row>
    <row r="13" spans="1:16" ht="15" customHeight="1" x14ac:dyDescent="0.25">
      <c r="B13" s="160"/>
      <c r="D13" s="161">
        <v>10</v>
      </c>
      <c r="E13" s="198">
        <f>_xlfn.POISSON.DIST(10,C2,FALSE)</f>
        <v>5.2913141700154702E-6</v>
      </c>
      <c r="F13" s="199">
        <f>_xlfn.POISSON.DIST(10,C3,FALSE)</f>
        <v>1.5880474335100092E-7</v>
      </c>
      <c r="M13" s="43" t="s">
        <v>171</v>
      </c>
      <c r="N13" s="45">
        <f>1/E17</f>
        <v>57.58622365119507</v>
      </c>
      <c r="O13" s="47">
        <v>59</v>
      </c>
      <c r="P13" s="48">
        <f t="shared" si="2"/>
        <v>2.4550600111726495E-2</v>
      </c>
    </row>
    <row r="14" spans="1:16" ht="15" customHeight="1" x14ac:dyDescent="0.25">
      <c r="A14" s="13"/>
      <c r="B14" s="15">
        <v>0</v>
      </c>
      <c r="C14" s="15">
        <v>1</v>
      </c>
      <c r="D14" s="15">
        <v>2</v>
      </c>
      <c r="E14" s="15">
        <v>3</v>
      </c>
      <c r="F14" s="15">
        <v>4</v>
      </c>
      <c r="G14" s="15">
        <v>5</v>
      </c>
      <c r="H14" s="15">
        <v>6</v>
      </c>
      <c r="I14" s="15">
        <v>7</v>
      </c>
      <c r="J14" s="15">
        <v>8</v>
      </c>
      <c r="K14" s="15">
        <v>9</v>
      </c>
      <c r="L14" s="15">
        <v>10</v>
      </c>
      <c r="M14" s="43" t="s">
        <v>172</v>
      </c>
      <c r="N14" s="45">
        <f>1/B18</f>
        <v>21.272297188620275</v>
      </c>
      <c r="O14" s="47">
        <v>16.2</v>
      </c>
      <c r="P14" s="48">
        <f t="shared" si="2"/>
        <v>-0.23844614164819622</v>
      </c>
    </row>
    <row r="15" spans="1:16" ht="15" customHeight="1" x14ac:dyDescent="0.25">
      <c r="A15" s="14">
        <v>0</v>
      </c>
      <c r="B15" s="147">
        <f>E3*F3</f>
        <v>7.2517191294155445E-2</v>
      </c>
      <c r="C15" s="147">
        <f>E3*F4</f>
        <v>7.6236021616932659E-2</v>
      </c>
      <c r="D15" s="147">
        <f>E3*F5</f>
        <v>4.0072780593515878E-2</v>
      </c>
      <c r="E15" s="147">
        <f>E3*F6</f>
        <v>1.4042598327642321E-2</v>
      </c>
      <c r="F15" s="147">
        <f>E3*F7</f>
        <v>3.6906828938034295E-3</v>
      </c>
      <c r="G15" s="147">
        <f>E3*F8</f>
        <v>7.7598973664584961E-4</v>
      </c>
      <c r="H15" s="147">
        <f>E3*F9</f>
        <v>1.3596401368581119E-4</v>
      </c>
      <c r="I15" s="147">
        <f>E3*F10</f>
        <v>2.0419503886880103E-5</v>
      </c>
      <c r="J15" s="147">
        <f>E3*F11</f>
        <v>2.6833322415451315E-6</v>
      </c>
      <c r="K15" s="147">
        <f>E3*F12</f>
        <v>3.1343766924031489E-7</v>
      </c>
      <c r="L15" s="147">
        <f>E3*F13</f>
        <v>3.29511395868023E-8</v>
      </c>
      <c r="M15" s="43" t="s">
        <v>173</v>
      </c>
      <c r="N15" s="45">
        <f>1/C18</f>
        <v>20.234624155029042</v>
      </c>
      <c r="O15" s="47">
        <v>16.2</v>
      </c>
      <c r="P15" s="48">
        <f t="shared" si="2"/>
        <v>-0.19939209763015509</v>
      </c>
    </row>
    <row r="16" spans="1:16" ht="15" customHeight="1" x14ac:dyDescent="0.25">
      <c r="A16" s="14">
        <v>1</v>
      </c>
      <c r="B16" s="147">
        <f>E4*F3</f>
        <v>0.11404412989850085</v>
      </c>
      <c r="C16" s="147">
        <f>E4*F4</f>
        <v>0.11989254681637269</v>
      </c>
      <c r="D16" s="147">
        <f>E4*F5</f>
        <v>6.3020441275272829E-2</v>
      </c>
      <c r="E16" s="147">
        <f>E4*F6</f>
        <v>2.2084086258856293E-2</v>
      </c>
      <c r="F16" s="147">
        <f>E4*F7</f>
        <v>5.8041508757250499E-3</v>
      </c>
      <c r="G16" s="147">
        <f>E4*F8</f>
        <v>1.2203599277165495E-3</v>
      </c>
      <c r="H16" s="147">
        <f>E4*F9</f>
        <v>2.1382374801871156E-4</v>
      </c>
      <c r="I16" s="147">
        <f>E4*F10</f>
        <v>3.2112724061418278E-5</v>
      </c>
      <c r="J16" s="147">
        <f>E4*F11</f>
        <v>4.2199413029427698E-6</v>
      </c>
      <c r="K16" s="147">
        <f>E4*F12</f>
        <v>4.9292761658305925E-7</v>
      </c>
      <c r="L16" s="147">
        <f>E4*F13</f>
        <v>5.1820595589501048E-8</v>
      </c>
      <c r="M16" s="43" t="s">
        <v>174</v>
      </c>
      <c r="N16" s="45">
        <f>1/D18</f>
        <v>38.495138636396717</v>
      </c>
      <c r="O16" s="47">
        <v>31.5</v>
      </c>
      <c r="P16" s="48">
        <f t="shared" si="2"/>
        <v>-0.18171485762056439</v>
      </c>
    </row>
    <row r="17" spans="1:22" ht="15" customHeight="1" x14ac:dyDescent="0.25">
      <c r="A17" s="14">
        <v>2</v>
      </c>
      <c r="B17" s="147">
        <f>E5*F3</f>
        <v>8.9675726074034873E-2</v>
      </c>
      <c r="C17" s="147">
        <f>E5*F4</f>
        <v>9.4274481257318715E-2</v>
      </c>
      <c r="D17" s="147">
        <f>E5*F5</f>
        <v>4.9554535019872656E-2</v>
      </c>
      <c r="E17" s="147">
        <f>E5*F6</f>
        <v>1.736526440867333E-2</v>
      </c>
      <c r="F17" s="147">
        <f>E5*F7</f>
        <v>4.5639476971513224E-3</v>
      </c>
      <c r="G17" s="147">
        <f>E5*F8</f>
        <v>9.5959925940104773E-4</v>
      </c>
      <c r="H17" s="147">
        <f>E5*F9</f>
        <v>1.6813491297197836E-4</v>
      </c>
      <c r="I17" s="147">
        <f>E5*F10</f>
        <v>2.5251030885901556E-5</v>
      </c>
      <c r="J17" s="147">
        <f>E5*F11</f>
        <v>3.3182444433396147E-6</v>
      </c>
      <c r="K17" s="147">
        <f>E5*F12</f>
        <v>3.8760120278326034E-7</v>
      </c>
      <c r="L17" s="147">
        <f>E5*F13</f>
        <v>4.0747818754137584E-8</v>
      </c>
      <c r="M17" s="43" t="s">
        <v>175</v>
      </c>
      <c r="N17" s="45">
        <f>1/E18</f>
        <v>109.85198098679061</v>
      </c>
      <c r="O17" s="204">
        <v>94</v>
      </c>
      <c r="P17" s="48">
        <f t="shared" si="2"/>
        <v>-0.14430309626092919</v>
      </c>
    </row>
    <row r="18" spans="1:22" ht="15" customHeight="1" x14ac:dyDescent="0.25">
      <c r="A18" s="14">
        <v>3</v>
      </c>
      <c r="B18" s="147">
        <f>E6*F3</f>
        <v>4.7009497429123692E-2</v>
      </c>
      <c r="C18" s="147">
        <f>E6*F4</f>
        <v>4.9420240887027476E-2</v>
      </c>
      <c r="D18" s="147">
        <f>E6*F5</f>
        <v>2.597730610728367E-2</v>
      </c>
      <c r="E18" s="147">
        <f>E6*F6</f>
        <v>9.1031585504156472E-3</v>
      </c>
      <c r="F18" s="147">
        <f>E6*F7</f>
        <v>2.3924967985066762E-3</v>
      </c>
      <c r="G18" s="147">
        <f>E6*F8</f>
        <v>5.0303778840396799E-4</v>
      </c>
      <c r="H18" s="147">
        <f>E6*F9</f>
        <v>8.8139099677618282E-5</v>
      </c>
      <c r="I18" s="147">
        <f>E6*F10</f>
        <v>1.3237007643891412E-5</v>
      </c>
      <c r="J18" s="147">
        <f>E6*F11</f>
        <v>1.7394785685882881E-6</v>
      </c>
      <c r="K18" s="147">
        <f>E6*F12</f>
        <v>2.0318695530518489E-7</v>
      </c>
      <c r="L18" s="147">
        <f>E6*F13</f>
        <v>2.1360679916698901E-8</v>
      </c>
      <c r="M18" s="205" t="s">
        <v>313</v>
      </c>
      <c r="N18" s="45">
        <f>I5</f>
        <v>13.54448957241477</v>
      </c>
      <c r="O18" s="204">
        <v>22</v>
      </c>
      <c r="P18" s="48">
        <f>((1/N18)*(O18-1))-(1-(1/N18))</f>
        <v>0.62427678668718878</v>
      </c>
    </row>
    <row r="19" spans="1:22" ht="15" customHeight="1" x14ac:dyDescent="0.25">
      <c r="A19" s="14">
        <v>4</v>
      </c>
      <c r="B19" s="147">
        <f>E7*F3</f>
        <v>1.8482366510595639E-2</v>
      </c>
      <c r="C19" s="147">
        <f>E7*F4</f>
        <v>1.9430180177805675E-2</v>
      </c>
      <c r="D19" s="147">
        <f>E7*F5</f>
        <v>1.0213299837051699E-2</v>
      </c>
      <c r="E19" s="147">
        <f>E7*F6</f>
        <v>3.5790196010181178E-3</v>
      </c>
      <c r="F19" s="147">
        <f>E7*F7</f>
        <v>9.406397669342487E-4</v>
      </c>
      <c r="G19" s="147">
        <f>E7*F8</f>
        <v>1.977755407400216E-4</v>
      </c>
      <c r="H19" s="147">
        <f>E7*F9</f>
        <v>3.4652979360431118E-5</v>
      </c>
      <c r="I19" s="147">
        <f>E7*F10</f>
        <v>5.2042936035812392E-6</v>
      </c>
      <c r="J19" s="147">
        <f>E7*F11</f>
        <v>6.838975568808653E-7</v>
      </c>
      <c r="K19" s="147">
        <f>E7*F12</f>
        <v>7.9885469607166701E-8</v>
      </c>
      <c r="L19" s="147">
        <f>E7*F13</f>
        <v>8.3982160356252094E-9</v>
      </c>
      <c r="M19" s="205" t="s">
        <v>315</v>
      </c>
      <c r="N19" s="45">
        <f>I6</f>
        <v>47.909829354517932</v>
      </c>
      <c r="O19" s="204">
        <v>33</v>
      </c>
      <c r="P19" s="48">
        <f t="shared" ref="P19:P20" si="4">((1/N19)*(O19-1))-(1-(1/N19))</f>
        <v>-0.31120606262631001</v>
      </c>
    </row>
    <row r="20" spans="1:22" ht="15" customHeight="1" thickBot="1" x14ac:dyDescent="0.3">
      <c r="A20" s="14">
        <v>5</v>
      </c>
      <c r="B20" s="147">
        <f>E8*F3</f>
        <v>5.8132571588882E-3</v>
      </c>
      <c r="C20" s="147">
        <f>E8*F4</f>
        <v>6.1113729106260567E-3</v>
      </c>
      <c r="D20" s="147">
        <f>E8*F5</f>
        <v>3.2123883248162603E-3</v>
      </c>
      <c r="E20" s="147">
        <f>E8*F6</f>
        <v>1.1257087292091171E-3</v>
      </c>
      <c r="F20" s="147">
        <f>E8*F7</f>
        <v>2.9585934549726788E-4</v>
      </c>
      <c r="G20" s="147">
        <f>E8*F8</f>
        <v>6.2206323925066614E-5</v>
      </c>
      <c r="H20" s="147">
        <f>E8*F9</f>
        <v>1.089939863644329E-5</v>
      </c>
      <c r="I20" s="147">
        <f>E8*F10</f>
        <v>1.6369060223229876E-6</v>
      </c>
      <c r="J20" s="147">
        <f>E8*F11</f>
        <v>2.1510624011295588E-7</v>
      </c>
      <c r="K20" s="147">
        <f>E8*F12</f>
        <v>2.5126369927724222E-8</v>
      </c>
      <c r="L20" s="147">
        <f>E8*F13</f>
        <v>2.6414901718889541E-9</v>
      </c>
      <c r="M20" s="205" t="s">
        <v>321</v>
      </c>
      <c r="N20" s="45">
        <f>1/SUM(F19,G20,H21,I22,J23,K24,L25)</f>
        <v>994.23162081222574</v>
      </c>
      <c r="O20" s="49">
        <v>55</v>
      </c>
      <c r="P20" s="50">
        <f t="shared" si="4"/>
        <v>-0.94468089844590897</v>
      </c>
    </row>
    <row r="21" spans="1:22" ht="15" customHeight="1" x14ac:dyDescent="0.25">
      <c r="A21" s="14">
        <v>6</v>
      </c>
      <c r="B21" s="147">
        <f>E9*F3</f>
        <v>1.5237027311045999E-3</v>
      </c>
      <c r="C21" s="147">
        <f>E9*F4</f>
        <v>1.6018413326997075E-3</v>
      </c>
      <c r="D21" s="147">
        <f>E9*F5</f>
        <v>8.4199352103446164E-4</v>
      </c>
      <c r="E21" s="147">
        <f>E9*F6</f>
        <v>2.9505755865310201E-4</v>
      </c>
      <c r="F21" s="147">
        <f>E9*F7</f>
        <v>7.7547178876776789E-5</v>
      </c>
      <c r="G21" s="147">
        <f>E9*F8</f>
        <v>1.630479145614282E-5</v>
      </c>
      <c r="H21" s="147">
        <f>E9*F9</f>
        <v>2.8568224346233131E-6</v>
      </c>
      <c r="I21" s="147">
        <f>E9*F10</f>
        <v>4.290465927456265E-7</v>
      </c>
      <c r="J21" s="147">
        <f>E9*F11</f>
        <v>5.6381122764649417E-8</v>
      </c>
      <c r="K21" s="147">
        <f>E9*F12</f>
        <v>6.5858291548450975E-9</v>
      </c>
      <c r="L21" s="147">
        <f>E9*F13</f>
        <v>6.9235639832986844E-10</v>
      </c>
    </row>
    <row r="22" spans="1:22" ht="15" customHeight="1" x14ac:dyDescent="0.25">
      <c r="A22" s="14">
        <v>7</v>
      </c>
      <c r="B22" s="147">
        <f>E10*F3</f>
        <v>3.4232149270237649E-4</v>
      </c>
      <c r="C22" s="147">
        <f>E10*F4</f>
        <v>3.5987644104608807E-4</v>
      </c>
      <c r="D22" s="147">
        <f>E10*F5</f>
        <v>1.8916582157550783E-4</v>
      </c>
      <c r="E22" s="147">
        <f>E10*F6</f>
        <v>6.6288877646118147E-5</v>
      </c>
      <c r="F22" s="147">
        <f>E10*F7</f>
        <v>1.7422076817248997E-5</v>
      </c>
      <c r="G22" s="147">
        <f>E10*F8</f>
        <v>3.6631033308062006E-6</v>
      </c>
      <c r="H22" s="147">
        <f>E10*F9</f>
        <v>6.4182579727800915E-7</v>
      </c>
      <c r="I22" s="147">
        <f>E10*F10</f>
        <v>9.6391420104023528E-8</v>
      </c>
      <c r="J22" s="147">
        <f>E10*F11</f>
        <v>1.2666821231618427E-8</v>
      </c>
      <c r="K22" s="147">
        <f>E10*F12</f>
        <v>1.4796002008443196E-9</v>
      </c>
      <c r="L22" s="147">
        <f>E10*F13</f>
        <v>1.5554771342209498E-10</v>
      </c>
    </row>
    <row r="23" spans="1:22" ht="15" customHeight="1" x14ac:dyDescent="0.25">
      <c r="A23" s="14">
        <v>8</v>
      </c>
      <c r="B23" s="147">
        <f>E11*F3</f>
        <v>6.7293968650894569E-5</v>
      </c>
      <c r="C23" s="147">
        <f>E11*F4</f>
        <v>7.0744941402222506E-5</v>
      </c>
      <c r="D23" s="147">
        <f>E11*F5</f>
        <v>3.718644355757849E-5</v>
      </c>
      <c r="E23" s="147">
        <f>E11*F6</f>
        <v>1.3031146887698449E-5</v>
      </c>
      <c r="F23" s="147">
        <f>E11*F7</f>
        <v>3.4248527076643348E-6</v>
      </c>
      <c r="G23" s="147">
        <f>E11*F8</f>
        <v>7.2009723597045023E-7</v>
      </c>
      <c r="H23" s="147">
        <f>E11*F9</f>
        <v>1.2617088322559166E-7</v>
      </c>
      <c r="I23" s="147">
        <f>E11*F10</f>
        <v>1.8948740704209765E-8</v>
      </c>
      <c r="J23" s="147">
        <f>E11*F11</f>
        <v>2.4900588745916586E-9</v>
      </c>
      <c r="K23" s="147">
        <f>E11*F12</f>
        <v>2.9086157794375537E-10</v>
      </c>
      <c r="L23" s="147">
        <f>E11*F13</f>
        <v>3.0577755629984505E-11</v>
      </c>
    </row>
    <row r="24" spans="1:22" ht="15" customHeight="1" x14ac:dyDescent="0.25">
      <c r="A24" s="14">
        <v>9</v>
      </c>
      <c r="B24" s="147">
        <f>E12*F3</f>
        <v>1.1758870115635896E-5</v>
      </c>
      <c r="C24" s="147">
        <f>E12*F4</f>
        <v>1.2361889095924915E-5</v>
      </c>
      <c r="D24" s="147">
        <f>E12*F5</f>
        <v>6.4979160632425839E-6</v>
      </c>
      <c r="E24" s="147">
        <f>E12*F6</f>
        <v>2.2770475093414189E-6</v>
      </c>
      <c r="F24" s="147">
        <f>E12*F7</f>
        <v>5.98454794121783E-7</v>
      </c>
      <c r="G24" s="147">
        <f>E12*F8</f>
        <v>1.2582895671278519E-7</v>
      </c>
      <c r="H24" s="147">
        <f>E12*F9</f>
        <v>2.2046953953949533E-8</v>
      </c>
      <c r="I24" s="147">
        <f>E12*F10</f>
        <v>3.3110809967470047E-9</v>
      </c>
      <c r="J24" s="147">
        <f>E12*F11</f>
        <v>4.351100027776496E-10</v>
      </c>
      <c r="K24" s="147">
        <f>E12*F12</f>
        <v>5.0824815139269679E-11</v>
      </c>
      <c r="L24" s="147">
        <f>E12*F13</f>
        <v>5.3431215915642425E-12</v>
      </c>
    </row>
    <row r="25" spans="1:22" ht="15" customHeight="1" x14ac:dyDescent="0.25">
      <c r="A25" s="14">
        <v>10</v>
      </c>
      <c r="B25" s="147">
        <f>E13*F3</f>
        <v>1.8492582062196624E-6</v>
      </c>
      <c r="C25" s="147">
        <f>E13*F4</f>
        <v>1.9440919603847734E-6</v>
      </c>
      <c r="D25" s="147">
        <f>E13*F5</f>
        <v>1.0218944919971244E-6</v>
      </c>
      <c r="E25" s="147">
        <f>E13*F6</f>
        <v>3.5809977924685563E-7</v>
      </c>
      <c r="F25" s="147">
        <f>E13*F7</f>
        <v>9.4115967622571009E-8</v>
      </c>
      <c r="G25" s="147">
        <f>E13*F8</f>
        <v>1.9788485500130323E-8</v>
      </c>
      <c r="H25" s="147">
        <f>E13*F9</f>
        <v>3.4672132713903541E-9</v>
      </c>
      <c r="I25" s="147">
        <f>E13*F10</f>
        <v>5.207170114542299E-10</v>
      </c>
      <c r="J25" s="147">
        <f>E13*F11</f>
        <v>6.8427555992382508E-11</v>
      </c>
      <c r="K25" s="147">
        <f>E13*F12</f>
        <v>7.9929623808765993E-12</v>
      </c>
      <c r="L25" s="147">
        <f>E13*F13</f>
        <v>8.4028578875882121E-13</v>
      </c>
      <c r="N25" s="206" t="s">
        <v>294</v>
      </c>
    </row>
    <row r="26" spans="1:22" x14ac:dyDescent="0.25">
      <c r="B26" s="160"/>
      <c r="T26" s="230" t="s">
        <v>35</v>
      </c>
      <c r="U26" t="s">
        <v>77</v>
      </c>
      <c r="V26"/>
    </row>
    <row r="27" spans="1:22" ht="21" x14ac:dyDescent="0.35">
      <c r="B27" s="160"/>
      <c r="G27" s="207" t="s">
        <v>294</v>
      </c>
      <c r="M27" s="158"/>
      <c r="N27" s="158"/>
      <c r="O27" s="158"/>
      <c r="T27" s="231" t="s">
        <v>253</v>
      </c>
      <c r="U27">
        <v>296</v>
      </c>
      <c r="V27"/>
    </row>
    <row r="28" spans="1:22" x14ac:dyDescent="0.25">
      <c r="B28" s="160"/>
      <c r="O28" s="208"/>
      <c r="T28" s="231" t="s">
        <v>352</v>
      </c>
      <c r="U28">
        <v>6</v>
      </c>
      <c r="V28"/>
    </row>
    <row r="29" spans="1:22" ht="15.75" thickBot="1" x14ac:dyDescent="0.3">
      <c r="B29" s="209" t="s">
        <v>72</v>
      </c>
      <c r="C29" s="161" t="s">
        <v>299</v>
      </c>
      <c r="D29" s="161" t="s">
        <v>297</v>
      </c>
      <c r="E29" s="161" t="s">
        <v>322</v>
      </c>
      <c r="F29" s="161" t="s">
        <v>113</v>
      </c>
      <c r="G29" s="161" t="s">
        <v>299</v>
      </c>
      <c r="H29" s="161" t="s">
        <v>297</v>
      </c>
      <c r="I29" s="161"/>
      <c r="J29" s="161" t="s">
        <v>323</v>
      </c>
      <c r="K29" s="161" t="s">
        <v>299</v>
      </c>
      <c r="L29" s="161" t="s">
        <v>297</v>
      </c>
      <c r="O29" s="208"/>
      <c r="T29" s="231" t="s">
        <v>356</v>
      </c>
      <c r="U29">
        <v>5</v>
      </c>
      <c r="V29"/>
    </row>
    <row r="30" spans="1:22" ht="15.75" thickTop="1" x14ac:dyDescent="0.25">
      <c r="B30" s="210">
        <v>-2.5</v>
      </c>
      <c r="C30" s="162">
        <f>SUM(B20:D20,B19:C19,B18)</f>
        <v>0.10005906251185552</v>
      </c>
      <c r="D30" s="163"/>
      <c r="F30" s="167">
        <v>-2.5</v>
      </c>
      <c r="G30" s="168">
        <f>SUM(E15:G15,F16:G16,G17)</f>
        <v>2.6493381020934247E-2</v>
      </c>
      <c r="H30" s="169"/>
      <c r="J30" s="211">
        <v>5.5</v>
      </c>
      <c r="K30" s="212">
        <f>SUM(H15:L25,G16:G25,F17:F25,E18:E25,D19:D25,C20:C25,B21:B25)</f>
        <v>5.0815639631404216E-2</v>
      </c>
      <c r="L30" s="213"/>
      <c r="O30" s="208"/>
      <c r="T30" s="231" t="s">
        <v>388</v>
      </c>
      <c r="U30">
        <v>6</v>
      </c>
      <c r="V30"/>
    </row>
    <row r="31" spans="1:22" x14ac:dyDescent="0.25">
      <c r="B31" s="214">
        <v>-2.25</v>
      </c>
      <c r="C31" s="157">
        <f>SUM(B20:D20,B19:C19,B18)</f>
        <v>0.10005906251185552</v>
      </c>
      <c r="D31" s="164">
        <f>SUM(B17,C18,D19,E20)</f>
        <v>0.15043497552732316</v>
      </c>
      <c r="E31" s="160">
        <v>-0.5</v>
      </c>
      <c r="F31" s="170">
        <v>-2.25</v>
      </c>
      <c r="G31" s="157">
        <f>SUM(E15:G15,F16:G16,G17)</f>
        <v>2.6493381020934247E-2</v>
      </c>
      <c r="H31" s="171">
        <f>SUM(D15,E16,F17,G18)</f>
        <v>6.7223852337927464E-2</v>
      </c>
      <c r="I31" s="160">
        <v>-0.5</v>
      </c>
      <c r="J31" s="215">
        <v>5.25</v>
      </c>
      <c r="K31" s="157">
        <f>SUM(H15:L25,G16:G25,F17:F25,E18:E25,D19:D25,C20:C25,B21:B25)</f>
        <v>5.0815639631404216E-2</v>
      </c>
      <c r="L31" s="216">
        <f>SUM(G15,F16,E17,D18,C19,B20)</f>
        <v>7.5166148465021773E-2</v>
      </c>
      <c r="M31" s="160">
        <v>-0.5</v>
      </c>
      <c r="T31" s="231" t="s">
        <v>390</v>
      </c>
      <c r="U31">
        <v>7</v>
      </c>
      <c r="V31"/>
    </row>
    <row r="32" spans="1:22" x14ac:dyDescent="0.25">
      <c r="B32" s="214">
        <v>-2</v>
      </c>
      <c r="C32" s="157">
        <f>SUM(B20:D20,B19:C19,B18)</f>
        <v>0.10005906251185552</v>
      </c>
      <c r="D32" s="164">
        <f>SUM(B17,C18,D19,E20)</f>
        <v>0.15043497552732316</v>
      </c>
      <c r="E32" s="160">
        <v>0</v>
      </c>
      <c r="F32" s="170">
        <v>-2</v>
      </c>
      <c r="G32" s="157">
        <f>SUM(E15:G15,F16:G16,G17)</f>
        <v>2.6493381020934247E-2</v>
      </c>
      <c r="H32" s="171">
        <f>SUM(D15,E16,F17,G18)</f>
        <v>6.7223852337927464E-2</v>
      </c>
      <c r="I32" s="160">
        <v>0</v>
      </c>
      <c r="J32" s="215">
        <v>5</v>
      </c>
      <c r="K32" s="157">
        <f>SUM(H15:L25,G16:G25,F17:F25,E18:E25,D19:D25,C20:C25,B21:B25)</f>
        <v>5.0815639631404216E-2</v>
      </c>
      <c r="L32" s="216">
        <f>SUM(G15,F16,E17,D18,C19,B20)</f>
        <v>7.5166148465021773E-2</v>
      </c>
      <c r="M32" s="160">
        <v>0</v>
      </c>
      <c r="T32" s="231" t="s">
        <v>357</v>
      </c>
      <c r="U32">
        <v>6</v>
      </c>
      <c r="V32"/>
    </row>
    <row r="33" spans="1:22" x14ac:dyDescent="0.25">
      <c r="B33" s="214">
        <v>-1.75</v>
      </c>
      <c r="C33" s="157">
        <f>SUM(B20:D20,B19:C19,B18)</f>
        <v>0.10005906251185552</v>
      </c>
      <c r="D33" s="164">
        <f>SUM(B17,C18,D19,E20)</f>
        <v>0.15043497552732316</v>
      </c>
      <c r="E33" s="160">
        <v>0.5</v>
      </c>
      <c r="F33" s="170">
        <v>-1.75</v>
      </c>
      <c r="G33" s="157">
        <f>SUM(E15:G15,F16:G16,G17)</f>
        <v>2.6493381020934247E-2</v>
      </c>
      <c r="H33" s="171">
        <f>SUM(D15,E16,F17,G18)</f>
        <v>6.7223852337927464E-2</v>
      </c>
      <c r="I33" s="160">
        <v>0.5</v>
      </c>
      <c r="J33" s="215">
        <v>4.75</v>
      </c>
      <c r="K33" s="157">
        <f>SUM(H15:L25,G16:G25,F17:F25,E18:E25,D19:D25,C20:C25,B21:B25)</f>
        <v>5.0815639631404216E-2</v>
      </c>
      <c r="L33" s="216">
        <f>SUM(G15,F16,E17,D18,C19,B20)</f>
        <v>7.5166148465021773E-2</v>
      </c>
      <c r="M33" s="160">
        <v>0.5</v>
      </c>
      <c r="T33" s="231" t="s">
        <v>355</v>
      </c>
      <c r="U33">
        <v>6</v>
      </c>
      <c r="V33"/>
    </row>
    <row r="34" spans="1:22" x14ac:dyDescent="0.25">
      <c r="B34" s="214">
        <v>-1.5</v>
      </c>
      <c r="C34" s="157">
        <f>SUM(B17:B20,C18:C20,D19:D20,E20)</f>
        <v>0.25049403803917869</v>
      </c>
      <c r="D34" s="164"/>
      <c r="E34" s="160"/>
      <c r="F34" s="170">
        <v>-1.5</v>
      </c>
      <c r="G34" s="157">
        <f>SUM(D15:G15,E16:G16,F17:G17,G18)</f>
        <v>9.3717233358861701E-2</v>
      </c>
      <c r="H34" s="172"/>
      <c r="I34" s="160"/>
      <c r="J34" s="215">
        <v>4.5</v>
      </c>
      <c r="K34" s="157">
        <f>SUM(G15:L25,F16:F25,E17:E25,D18:D25,C19:C25,B20:B25)</f>
        <v>0.12598178809642602</v>
      </c>
      <c r="L34" s="216"/>
      <c r="M34" s="160"/>
      <c r="T34" s="231" t="s">
        <v>362</v>
      </c>
      <c r="U34">
        <v>7</v>
      </c>
      <c r="V34"/>
    </row>
    <row r="35" spans="1:22" x14ac:dyDescent="0.25">
      <c r="B35" s="214">
        <v>-1.25</v>
      </c>
      <c r="C35" s="157">
        <f>SUM(B17:B20,C18:C20,D19:D20,E20)</f>
        <v>0.25049403803917869</v>
      </c>
      <c r="D35" s="164">
        <f>SUM(B16,C17,D18,E19,F20)</f>
        <v>0.23817079620961862</v>
      </c>
      <c r="E35" s="160">
        <v>-0.5</v>
      </c>
      <c r="F35" s="170">
        <v>-1.25</v>
      </c>
      <c r="G35" s="157">
        <f>SUM(D15:G15,E16:G16,F17:G17,G18)</f>
        <v>9.3717233358861701E-2</v>
      </c>
      <c r="H35" s="171">
        <f>SUM(C15,D16,E17,F18,G19)</f>
        <v>0.15921199964012553</v>
      </c>
      <c r="I35" s="160">
        <v>-0.5</v>
      </c>
      <c r="J35" s="215">
        <v>4.25</v>
      </c>
      <c r="K35" s="157">
        <f>SUM(G15:L25,F16:F25,E17:E25,D18:D25,C19:C25,B20:B25)</f>
        <v>0.12598178809642602</v>
      </c>
      <c r="L35" s="216">
        <f>SUM(F15,E16,D17,C18,B19)</f>
        <v>0.1432319115701555</v>
      </c>
      <c r="M35" s="160">
        <v>-0.5</v>
      </c>
      <c r="T35" s="231" t="s">
        <v>361</v>
      </c>
      <c r="U35">
        <v>5</v>
      </c>
      <c r="V35"/>
    </row>
    <row r="36" spans="1:22" x14ac:dyDescent="0.25">
      <c r="B36" s="214">
        <v>-1</v>
      </c>
      <c r="C36" s="157">
        <f>SUM(B17:B20,C18:C20,D19:D20,E20)</f>
        <v>0.25049403803917869</v>
      </c>
      <c r="D36" s="164">
        <f>SUM(B16,C17,D18,E19,F20)</f>
        <v>0.23817079620961862</v>
      </c>
      <c r="E36" s="160">
        <v>0</v>
      </c>
      <c r="F36" s="170">
        <v>-1</v>
      </c>
      <c r="G36" s="157">
        <f>SUM(D15:G15,E16:G16,F17:G17,G18)</f>
        <v>9.3717233358861701E-2</v>
      </c>
      <c r="H36" s="171">
        <f>SUM(C15,D16,E17,F18,G19)</f>
        <v>0.15921199964012553</v>
      </c>
      <c r="I36" s="160">
        <v>0</v>
      </c>
      <c r="J36" s="215">
        <v>4</v>
      </c>
      <c r="K36" s="157">
        <f>SUM(G15:L25,F16:F25,E17:E25,D18:D25,C19:C25,B20:B25)</f>
        <v>0.12598178809642602</v>
      </c>
      <c r="L36" s="216">
        <f>SUM(F15,E16,D17,C18,B19)</f>
        <v>0.1432319115701555</v>
      </c>
      <c r="M36" s="160">
        <v>0</v>
      </c>
      <c r="T36" s="231" t="s">
        <v>353</v>
      </c>
      <c r="U36">
        <v>6</v>
      </c>
      <c r="V36"/>
    </row>
    <row r="37" spans="1:22" x14ac:dyDescent="0.25">
      <c r="B37" s="214">
        <v>-0.75</v>
      </c>
      <c r="C37" s="157">
        <f>SUM(B17:B20,C18:C20,D19:D20,E20)</f>
        <v>0.25049403803917869</v>
      </c>
      <c r="D37" s="164">
        <f>SUM(B16,C17,D18,E19,F20)</f>
        <v>0.23817079620961862</v>
      </c>
      <c r="E37" s="160">
        <v>0.5</v>
      </c>
      <c r="F37" s="170">
        <v>-0.75</v>
      </c>
      <c r="G37" s="157">
        <f>SUM(D15:G15,E16:G16,F17:G17,G18)</f>
        <v>9.3717233358861701E-2</v>
      </c>
      <c r="H37" s="171">
        <f>SUM(C15,D16,E17,F18,G19)</f>
        <v>0.15921199964012553</v>
      </c>
      <c r="I37" s="160">
        <v>0.5</v>
      </c>
      <c r="J37" s="215">
        <v>3.75</v>
      </c>
      <c r="K37" s="157">
        <f>SUM(G15:L25,F16:F25,E17:E25,D18:D25,C19:C25,B20:B25)</f>
        <v>0.12598178809642602</v>
      </c>
      <c r="L37" s="216">
        <f>SUM(F15,E16,D17,C18,B19)</f>
        <v>0.1432319115701555</v>
      </c>
      <c r="M37" s="160">
        <v>0.5</v>
      </c>
      <c r="T37" s="231" t="s">
        <v>359</v>
      </c>
      <c r="U37">
        <v>5</v>
      </c>
      <c r="V37"/>
    </row>
    <row r="38" spans="1:22" x14ac:dyDescent="0.25">
      <c r="A38" s="176" t="s">
        <v>298</v>
      </c>
      <c r="B38" s="217">
        <v>-0.5</v>
      </c>
      <c r="C38" s="177">
        <f>SUM(B16:B20,C17:C20,D18:D20,E19:E20,F20)</f>
        <v>0.48866483424879736</v>
      </c>
      <c r="D38" s="178"/>
      <c r="E38" s="160"/>
      <c r="F38" s="179">
        <v>-0.5</v>
      </c>
      <c r="G38" s="177">
        <f>SUM(C15:G15,D16:G16,E17:G17,F18:G18,G19)</f>
        <v>0.25292923299898723</v>
      </c>
      <c r="H38" s="180"/>
      <c r="I38" s="160"/>
      <c r="J38" s="215">
        <v>3.5</v>
      </c>
      <c r="K38" s="157">
        <f>SUM(F15:L25,E16:E25,D17:D25,C18:C25,B19:B25)</f>
        <v>0.26921369966658143</v>
      </c>
      <c r="L38" s="216"/>
      <c r="M38" s="160"/>
      <c r="T38" s="231" t="s">
        <v>354</v>
      </c>
      <c r="U38">
        <v>7</v>
      </c>
      <c r="V38"/>
    </row>
    <row r="39" spans="1:22" x14ac:dyDescent="0.25">
      <c r="A39" s="159"/>
      <c r="B39" s="214">
        <v>-0.25</v>
      </c>
      <c r="C39" s="157">
        <f>SUM(B16:B20,C17:C20,D18:D20,E19:E20,F20)</f>
        <v>0.48866483424879736</v>
      </c>
      <c r="D39" s="164">
        <f>SUM(B15,C16,D17,E18,F19,G20)</f>
        <v>0.25207027777167579</v>
      </c>
      <c r="E39" s="160">
        <v>-0.5</v>
      </c>
      <c r="F39" s="170">
        <v>-0.25</v>
      </c>
      <c r="G39" s="157">
        <f>SUM(C15:G15,D16:G16,E17:G17,F18:G18,G19)</f>
        <v>0.25292923299898723</v>
      </c>
      <c r="H39" s="171">
        <f>SUM(B15,C16,D17,E18,F19,G20)</f>
        <v>0.25207027777167579</v>
      </c>
      <c r="I39" s="160">
        <v>-0.5</v>
      </c>
      <c r="J39" s="215">
        <v>3.25</v>
      </c>
      <c r="K39" s="157">
        <f>SUM(F15:L25,E16:E25,D17:D25,C18:C25,B19:B25)</f>
        <v>0.26921369966658143</v>
      </c>
      <c r="L39" s="216">
        <f>SUM(E15,D16,C17,B18)</f>
        <v>0.21834701828935754</v>
      </c>
      <c r="M39" s="160">
        <v>-0.5</v>
      </c>
      <c r="T39" s="231" t="s">
        <v>351</v>
      </c>
      <c r="U39">
        <v>5</v>
      </c>
      <c r="V39"/>
    </row>
    <row r="40" spans="1:22" x14ac:dyDescent="0.25">
      <c r="A40" s="176" t="s">
        <v>295</v>
      </c>
      <c r="B40" s="218">
        <v>0</v>
      </c>
      <c r="C40" s="181">
        <f>SUM(B16:B20,C17:C20,D18:D20,E19:E20,F20)</f>
        <v>0.48866483424879736</v>
      </c>
      <c r="D40" s="182">
        <f>SUM(B15,C16,D17,E18,F19,G20)</f>
        <v>0.25207027777167579</v>
      </c>
      <c r="E40" s="160">
        <v>0</v>
      </c>
      <c r="F40" s="183">
        <v>0</v>
      </c>
      <c r="G40" s="181">
        <f>SUM(C15:G15,D16:G16,E17:G17,F18:G18,G19)</f>
        <v>0.25292923299898723</v>
      </c>
      <c r="H40" s="184">
        <f>SUM(B15,C16,D17,E18,F19,G20)</f>
        <v>0.25207027777167579</v>
      </c>
      <c r="I40" s="219">
        <v>0</v>
      </c>
      <c r="J40" s="215">
        <v>3</v>
      </c>
      <c r="K40" s="157">
        <f>SUM(F15:L25,E16:E25,D17:D25,C18:C25,B19:B25)</f>
        <v>0.26921369966658143</v>
      </c>
      <c r="L40" s="220"/>
      <c r="M40" s="160">
        <v>0</v>
      </c>
      <c r="T40" s="231" t="s">
        <v>363</v>
      </c>
      <c r="U40">
        <v>5</v>
      </c>
      <c r="V40"/>
    </row>
    <row r="41" spans="1:22" x14ac:dyDescent="0.25">
      <c r="B41" s="214">
        <v>0.25</v>
      </c>
      <c r="C41" s="157">
        <f>SUM(B16:B20,C17:C20,D18:D20,E19:E20,F20)</f>
        <v>0.48866483424879736</v>
      </c>
      <c r="D41" s="164">
        <f>SUM(B15,C16,D17,E18,F19,G20)</f>
        <v>0.25207027777167579</v>
      </c>
      <c r="E41" s="160">
        <v>0.5</v>
      </c>
      <c r="F41" s="170">
        <v>0.25</v>
      </c>
      <c r="G41" s="157">
        <f>SUM(C15:G15,D16:G16,E17:G17,F18:G18,G19)</f>
        <v>0.25292923299898723</v>
      </c>
      <c r="H41" s="171">
        <f>SUM(B15,C16,D17,E18,F19,G20)</f>
        <v>0.25207027777167579</v>
      </c>
      <c r="I41" s="160">
        <v>0.5</v>
      </c>
      <c r="J41" s="215">
        <v>2.75</v>
      </c>
      <c r="K41" s="157">
        <f>SUM(F15:L25,E16:E25,D17:D25,C18:C25,B19:B25)</f>
        <v>0.26921369966658143</v>
      </c>
      <c r="L41" s="216">
        <f>SUM(E15,D16,C17,B18)</f>
        <v>0.21834701828935754</v>
      </c>
      <c r="M41" s="160">
        <v>0.5</v>
      </c>
      <c r="T41" s="231" t="s">
        <v>387</v>
      </c>
      <c r="U41">
        <v>6</v>
      </c>
      <c r="V41"/>
    </row>
    <row r="42" spans="1:22" x14ac:dyDescent="0.25">
      <c r="A42" s="176" t="s">
        <v>296</v>
      </c>
      <c r="B42" s="221">
        <v>0.5</v>
      </c>
      <c r="C42" s="185">
        <f>SUM(B15:B20,C16:C20,D17:D20,E18:E20,F19:F20,G20)</f>
        <v>0.74073511202047293</v>
      </c>
      <c r="D42" s="186"/>
      <c r="F42" s="187">
        <v>0.5</v>
      </c>
      <c r="G42" s="185">
        <f>SUM(B15:G15,C16:G16,D17:G17,E18:G18,F19:G19,G20)</f>
        <v>0.50499951077066318</v>
      </c>
      <c r="H42" s="188"/>
      <c r="J42" s="222">
        <v>2.5</v>
      </c>
      <c r="K42" s="185">
        <f>SUM(E15:L25,D16:D25,C17:C25,B18:B25)</f>
        <v>0.48756071795593892</v>
      </c>
      <c r="L42" s="223"/>
      <c r="T42" s="231" t="s">
        <v>350</v>
      </c>
      <c r="U42">
        <v>4</v>
      </c>
      <c r="V42"/>
    </row>
    <row r="43" spans="1:22" x14ac:dyDescent="0.25">
      <c r="B43" s="214">
        <v>0.75</v>
      </c>
      <c r="C43" s="157">
        <f>SUM(B15:B20,C16:C20,D17:D20,E18:E20,F19:F20,G20)</f>
        <v>0.74073511202047293</v>
      </c>
      <c r="D43" s="164">
        <f>SUM(C15,D16,E17,F18,G19)</f>
        <v>0.15921199964012553</v>
      </c>
      <c r="E43" s="160">
        <v>-0.5</v>
      </c>
      <c r="F43" s="170">
        <v>0.75</v>
      </c>
      <c r="G43" s="157">
        <f>SUM(B15:G15,C16:G16,D17:G17,E18:G18,F19:G19,G20)</f>
        <v>0.50499951077066318</v>
      </c>
      <c r="H43" s="171">
        <f>SUM(B16,C17,D18,E19,F20)</f>
        <v>0.23817079620961862</v>
      </c>
      <c r="I43" s="160">
        <v>-0.5</v>
      </c>
      <c r="J43" s="215">
        <v>2.25</v>
      </c>
      <c r="K43" s="157">
        <f>SUM(E15:L25,D16:D25,C17:C25,B18:B25)</f>
        <v>0.48756071795593892</v>
      </c>
      <c r="L43" s="216">
        <f>SUM(D15,C16,B17)</f>
        <v>0.24964105348392343</v>
      </c>
      <c r="M43" s="160">
        <v>-0.5</v>
      </c>
      <c r="T43" s="231" t="s">
        <v>360</v>
      </c>
      <c r="U43">
        <v>7</v>
      </c>
      <c r="V43"/>
    </row>
    <row r="44" spans="1:22" x14ac:dyDescent="0.25">
      <c r="B44" s="214">
        <v>1</v>
      </c>
      <c r="C44" s="157">
        <f>SUM(B15:B20,C16:C20,D17:D20,E18:E20,F19:F20,G20)</f>
        <v>0.74073511202047293</v>
      </c>
      <c r="D44" s="164">
        <f>SUM(C15,D16,E17,F18,G19)</f>
        <v>0.15921199964012553</v>
      </c>
      <c r="E44" s="160">
        <v>0</v>
      </c>
      <c r="F44" s="170">
        <v>1</v>
      </c>
      <c r="G44" s="157">
        <f>SUM(B15:G15,C16:G16,D17:G17,E18:G18,F19:G19,G20)</f>
        <v>0.50499951077066318</v>
      </c>
      <c r="H44" s="171">
        <f>SUM(B16,C17,D18,E19,F20)</f>
        <v>0.23817079620961862</v>
      </c>
      <c r="I44" s="160">
        <v>0</v>
      </c>
      <c r="J44" s="215">
        <v>2</v>
      </c>
      <c r="K44" s="157">
        <f>SUM(E15:L25,D16:D25,C17:C25,B18:B25)</f>
        <v>0.48756071795593892</v>
      </c>
      <c r="L44" s="216">
        <f>SUM(D15,C16,B17)</f>
        <v>0.24964105348392343</v>
      </c>
      <c r="M44" s="160">
        <v>0</v>
      </c>
      <c r="T44" s="231" t="s">
        <v>358</v>
      </c>
      <c r="U44">
        <v>7</v>
      </c>
      <c r="V44"/>
    </row>
    <row r="45" spans="1:22" x14ac:dyDescent="0.25">
      <c r="B45" s="214">
        <v>1.25</v>
      </c>
      <c r="C45" s="157">
        <f>SUM(B15:B20,C16:C20,D17:D20,E18:E20,F19:F20,G20)</f>
        <v>0.74073511202047293</v>
      </c>
      <c r="D45" s="164">
        <f>SUM(C15,D16,E17,F18,G19)</f>
        <v>0.15921199964012553</v>
      </c>
      <c r="E45" s="160">
        <v>0.5</v>
      </c>
      <c r="F45" s="170">
        <v>1.25</v>
      </c>
      <c r="G45" s="157">
        <f>SUM(B15:G15,C16:G16,D17:G17,E18:G18,F19:G19,G20)</f>
        <v>0.50499951077066318</v>
      </c>
      <c r="H45" s="171">
        <f>SUM(B16,C17,D18,E19,F20)</f>
        <v>0.23817079620961862</v>
      </c>
      <c r="I45" s="160">
        <v>0.5</v>
      </c>
      <c r="J45" s="215">
        <v>1.75</v>
      </c>
      <c r="K45" s="157">
        <f>SUM(E15:L25,D16:D25,C17:C25,B18:B25)</f>
        <v>0.48756071795593892</v>
      </c>
      <c r="L45" s="216">
        <f>SUM(D15,C16,B17)</f>
        <v>0.24964105348392343</v>
      </c>
      <c r="M45" s="160">
        <v>0.5</v>
      </c>
      <c r="T45" s="231" t="s">
        <v>382</v>
      </c>
      <c r="U45">
        <v>6</v>
      </c>
      <c r="V45"/>
    </row>
    <row r="46" spans="1:22" x14ac:dyDescent="0.25">
      <c r="B46" s="214">
        <v>1.5</v>
      </c>
      <c r="C46" s="157">
        <f>SUM(B15:B20,C15:C20,D16:D20,E17:E20,F18:F20,G19:G20)</f>
        <v>0.89994711166059871</v>
      </c>
      <c r="D46" s="164"/>
      <c r="F46" s="170">
        <v>1.5</v>
      </c>
      <c r="G46" s="157">
        <f>SUM(B15:G15,B16:G16,C17:G17,D18:G18,E19:G19,F20:G20)</f>
        <v>0.74317030698028164</v>
      </c>
      <c r="H46" s="171"/>
      <c r="J46" s="215">
        <v>1.5</v>
      </c>
      <c r="K46" s="157">
        <f>SUM(D15:L25,C16:C25,B17:B25)</f>
        <v>0.73720177143986243</v>
      </c>
      <c r="L46" s="216"/>
      <c r="T46" s="231" t="s">
        <v>381</v>
      </c>
      <c r="U46">
        <v>6</v>
      </c>
      <c r="V46"/>
    </row>
    <row r="47" spans="1:22" x14ac:dyDescent="0.25">
      <c r="B47" s="214">
        <v>1.75</v>
      </c>
      <c r="C47" s="157">
        <f>SUM(B15:B20,C15:C20,D16:D20,E17:E20,F18:F20,G19:G20)</f>
        <v>0.89994711166059871</v>
      </c>
      <c r="D47" s="164">
        <f>SUM(D15,E16,F17,G18)</f>
        <v>6.7223852337927464E-2</v>
      </c>
      <c r="E47" s="160">
        <v>-0.5</v>
      </c>
      <c r="F47" s="170">
        <v>1.75</v>
      </c>
      <c r="G47" s="157">
        <f>SUM(B15:G15,B16:G16,C17:G17,D18:G18,E19:G19,F20:G20)</f>
        <v>0.74317030698028164</v>
      </c>
      <c r="H47" s="171">
        <f>SUM(B17,C18,D19,E20)</f>
        <v>0.15043497552732316</v>
      </c>
      <c r="I47" s="160">
        <v>-0.5</v>
      </c>
      <c r="J47" s="215">
        <v>1.25</v>
      </c>
      <c r="K47" s="157">
        <f>SUM(D15:L25,C16:C25,B17:B25)</f>
        <v>0.73720177143986243</v>
      </c>
      <c r="L47" s="216">
        <f>SUM(C15,B16)</f>
        <v>0.19028015151543351</v>
      </c>
      <c r="M47" s="160">
        <v>-0.5</v>
      </c>
      <c r="T47" s="231" t="s">
        <v>389</v>
      </c>
      <c r="U47">
        <v>5</v>
      </c>
      <c r="V47"/>
    </row>
    <row r="48" spans="1:22" x14ac:dyDescent="0.25">
      <c r="B48" s="214">
        <v>2</v>
      </c>
      <c r="C48" s="157">
        <f>SUM(B15:B20,C15:C20,D16:D20,E17:E20,F18:F20,G19:G20)</f>
        <v>0.89994711166059871</v>
      </c>
      <c r="D48" s="164">
        <f>SUM(D15,E16,F17,G18)</f>
        <v>6.7223852337927464E-2</v>
      </c>
      <c r="E48" s="160">
        <v>0</v>
      </c>
      <c r="F48" s="170">
        <v>2</v>
      </c>
      <c r="G48" s="157">
        <f>SUM(B15:G15,B16:G16,C17:G17,D18:G18,E19:G19,F20:G20)</f>
        <v>0.74317030698028164</v>
      </c>
      <c r="H48" s="171">
        <f>SUM(B17,C18,D19,E20)</f>
        <v>0.15043497552732316</v>
      </c>
      <c r="I48" s="160">
        <v>0</v>
      </c>
      <c r="J48" s="215">
        <v>1</v>
      </c>
      <c r="K48" s="157">
        <f>SUM(D15:L25,C16:C25,B17:B25)</f>
        <v>0.73720177143986243</v>
      </c>
      <c r="L48" s="216">
        <f>SUM(C15,B16)</f>
        <v>0.19028015151543351</v>
      </c>
      <c r="M48" s="160">
        <v>0</v>
      </c>
      <c r="T48" s="231" t="s">
        <v>36</v>
      </c>
      <c r="U48">
        <v>413</v>
      </c>
      <c r="V48"/>
    </row>
    <row r="49" spans="2:22" x14ac:dyDescent="0.25">
      <c r="B49" s="214">
        <v>2.25</v>
      </c>
      <c r="C49" s="157">
        <f>SUM(B15:B20,C15:C20,D16:D20,E17:E20,F18:F20,G19:G20)</f>
        <v>0.89994711166059871</v>
      </c>
      <c r="D49" s="164">
        <f>SUM(D15,E16,F17,G18)</f>
        <v>6.7223852337927464E-2</v>
      </c>
      <c r="E49" s="160">
        <v>0.5</v>
      </c>
      <c r="F49" s="170">
        <v>2.25</v>
      </c>
      <c r="G49" s="157">
        <f>SUM(B15:G15,B16:G16,C17:G17,D18:G18,E19:G19,F20:G20)</f>
        <v>0.74317030698028164</v>
      </c>
      <c r="H49" s="171">
        <f>SUM(B17,C18,D19,E20)</f>
        <v>0.15043497552732316</v>
      </c>
      <c r="I49" s="160">
        <v>0.5</v>
      </c>
      <c r="J49" s="215">
        <v>0.75</v>
      </c>
      <c r="K49" s="157">
        <f>SUM(D15:L25,C16:C25,B17:B25)</f>
        <v>0.73720177143986243</v>
      </c>
      <c r="L49" s="216">
        <f>SUM(C15,B16)</f>
        <v>0.19028015151543351</v>
      </c>
      <c r="M49" s="160">
        <v>0.5</v>
      </c>
      <c r="T49"/>
      <c r="U49"/>
      <c r="V49"/>
    </row>
    <row r="50" spans="2:22" ht="15.75" thickBot="1" x14ac:dyDescent="0.3">
      <c r="B50" s="224">
        <v>2.5</v>
      </c>
      <c r="C50" s="165">
        <f>SUM(B15:B20,C15:C20,D15:D20,E16:E20,F17:F20,G18:G20)</f>
        <v>0.96717096399852609</v>
      </c>
      <c r="D50" s="166"/>
      <c r="F50" s="173">
        <v>2.5</v>
      </c>
      <c r="G50" s="174">
        <f>SUM(B15:G15,B16:G16,B17:G17,C18:G18,D19:G19,E20:G20)</f>
        <v>0.89360528250760474</v>
      </c>
      <c r="H50" s="175"/>
      <c r="J50" s="225">
        <v>0.5</v>
      </c>
      <c r="K50" s="226">
        <f>SUM(C15:L25,B16:B25)</f>
        <v>0.92748192295529552</v>
      </c>
      <c r="L50" s="227"/>
      <c r="T50"/>
      <c r="U50"/>
      <c r="V50"/>
    </row>
    <row r="51" spans="2:22" ht="15.75" thickTop="1" x14ac:dyDescent="0.25">
      <c r="B51" s="160"/>
      <c r="M51" s="160"/>
      <c r="T51"/>
      <c r="U51"/>
      <c r="V51"/>
    </row>
    <row r="52" spans="2:22" x14ac:dyDescent="0.25">
      <c r="B52" s="160"/>
      <c r="T52"/>
      <c r="U52"/>
    </row>
    <row r="53" spans="2:22" x14ac:dyDescent="0.25">
      <c r="B53" s="160"/>
      <c r="T53"/>
      <c r="U53"/>
    </row>
    <row r="57" spans="2:22" x14ac:dyDescent="0.25">
      <c r="T57" s="230" t="s">
        <v>35</v>
      </c>
      <c r="U57" t="s">
        <v>78</v>
      </c>
      <c r="V57"/>
    </row>
    <row r="58" spans="2:22" x14ac:dyDescent="0.25">
      <c r="T58" s="231" t="s">
        <v>253</v>
      </c>
      <c r="U58">
        <v>296</v>
      </c>
      <c r="V58"/>
    </row>
    <row r="59" spans="2:22" x14ac:dyDescent="0.25">
      <c r="T59" s="231" t="s">
        <v>362</v>
      </c>
      <c r="U59">
        <v>5</v>
      </c>
      <c r="V59"/>
    </row>
    <row r="60" spans="2:22" x14ac:dyDescent="0.25">
      <c r="T60" s="231" t="s">
        <v>352</v>
      </c>
      <c r="U60">
        <v>6</v>
      </c>
      <c r="V60"/>
    </row>
    <row r="61" spans="2:22" x14ac:dyDescent="0.25">
      <c r="T61" s="231" t="s">
        <v>388</v>
      </c>
      <c r="U61">
        <v>6</v>
      </c>
      <c r="V61"/>
    </row>
    <row r="62" spans="2:22" x14ac:dyDescent="0.25">
      <c r="T62" s="231" t="s">
        <v>390</v>
      </c>
      <c r="U62">
        <v>4</v>
      </c>
      <c r="V62"/>
    </row>
    <row r="63" spans="2:22" x14ac:dyDescent="0.25">
      <c r="T63" s="231" t="s">
        <v>356</v>
      </c>
      <c r="U63">
        <v>6</v>
      </c>
      <c r="V63"/>
    </row>
    <row r="64" spans="2:22" x14ac:dyDescent="0.25">
      <c r="T64" s="231" t="s">
        <v>359</v>
      </c>
      <c r="U64">
        <v>7</v>
      </c>
      <c r="V64"/>
    </row>
    <row r="65" spans="20:22" x14ac:dyDescent="0.25">
      <c r="T65" s="231" t="s">
        <v>363</v>
      </c>
      <c r="U65">
        <v>6</v>
      </c>
      <c r="V65"/>
    </row>
    <row r="66" spans="20:22" x14ac:dyDescent="0.25">
      <c r="T66" s="231" t="s">
        <v>357</v>
      </c>
      <c r="U66">
        <v>6</v>
      </c>
      <c r="V66"/>
    </row>
    <row r="67" spans="20:22" x14ac:dyDescent="0.25">
      <c r="T67" s="231" t="s">
        <v>351</v>
      </c>
      <c r="U67">
        <v>7</v>
      </c>
      <c r="V67"/>
    </row>
    <row r="68" spans="20:22" x14ac:dyDescent="0.25">
      <c r="T68" s="231" t="s">
        <v>354</v>
      </c>
      <c r="U68">
        <v>5</v>
      </c>
      <c r="V68"/>
    </row>
    <row r="69" spans="20:22" x14ac:dyDescent="0.25">
      <c r="T69" s="231" t="s">
        <v>353</v>
      </c>
      <c r="U69">
        <v>6</v>
      </c>
      <c r="V69"/>
    </row>
    <row r="70" spans="20:22" x14ac:dyDescent="0.25">
      <c r="T70" s="231" t="s">
        <v>355</v>
      </c>
      <c r="U70">
        <v>6</v>
      </c>
      <c r="V70"/>
    </row>
    <row r="71" spans="20:22" x14ac:dyDescent="0.25">
      <c r="T71" s="231" t="s">
        <v>361</v>
      </c>
      <c r="U71">
        <v>7</v>
      </c>
      <c r="V71"/>
    </row>
    <row r="72" spans="20:22" x14ac:dyDescent="0.25">
      <c r="T72" s="231" t="s">
        <v>387</v>
      </c>
      <c r="U72">
        <v>6</v>
      </c>
      <c r="V72"/>
    </row>
    <row r="73" spans="20:22" x14ac:dyDescent="0.25">
      <c r="T73" s="231" t="s">
        <v>350</v>
      </c>
      <c r="U73">
        <v>7</v>
      </c>
      <c r="V73"/>
    </row>
    <row r="74" spans="20:22" x14ac:dyDescent="0.25">
      <c r="T74" s="231" t="s">
        <v>358</v>
      </c>
      <c r="U74">
        <v>5</v>
      </c>
      <c r="V74"/>
    </row>
    <row r="75" spans="20:22" x14ac:dyDescent="0.25">
      <c r="T75" s="231" t="s">
        <v>360</v>
      </c>
      <c r="U75">
        <v>5</v>
      </c>
      <c r="V75"/>
    </row>
    <row r="76" spans="20:22" x14ac:dyDescent="0.25">
      <c r="T76" s="231" t="s">
        <v>382</v>
      </c>
      <c r="U76">
        <v>5</v>
      </c>
      <c r="V76"/>
    </row>
    <row r="77" spans="20:22" x14ac:dyDescent="0.25">
      <c r="T77" s="231" t="s">
        <v>381</v>
      </c>
      <c r="U77">
        <v>5</v>
      </c>
      <c r="V77"/>
    </row>
    <row r="78" spans="20:22" x14ac:dyDescent="0.25">
      <c r="T78" s="231" t="s">
        <v>389</v>
      </c>
      <c r="U78">
        <v>7</v>
      </c>
      <c r="V78"/>
    </row>
    <row r="79" spans="20:22" x14ac:dyDescent="0.25">
      <c r="T79" s="231" t="s">
        <v>36</v>
      </c>
      <c r="U79">
        <v>413</v>
      </c>
      <c r="V79"/>
    </row>
    <row r="80" spans="20:22" x14ac:dyDescent="0.25">
      <c r="T80"/>
      <c r="U80"/>
      <c r="V80"/>
    </row>
    <row r="81" spans="19:22" x14ac:dyDescent="0.25">
      <c r="T81"/>
      <c r="U81"/>
      <c r="V81"/>
    </row>
    <row r="82" spans="19:22" x14ac:dyDescent="0.25">
      <c r="T82"/>
      <c r="U82"/>
      <c r="V82"/>
    </row>
    <row r="83" spans="19:22" x14ac:dyDescent="0.25">
      <c r="S83"/>
      <c r="T83"/>
    </row>
    <row r="84" spans="19:22" x14ac:dyDescent="0.25">
      <c r="S84"/>
      <c r="T84"/>
    </row>
  </sheetData>
  <conditionalFormatting sqref="P2:P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L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3"/>
  <ignoredErrors>
    <ignoredError sqref="J16" formula="1"/>
  </ignoredError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A9B2-4557-4DCB-87E6-F106AB896DD0}">
  <sheetPr codeName="Planilha6"/>
  <dimension ref="S1:U356"/>
  <sheetViews>
    <sheetView workbookViewId="0">
      <selection activeCell="S3" sqref="S3"/>
    </sheetView>
  </sheetViews>
  <sheetFormatPr defaultColWidth="9.7109375" defaultRowHeight="15" x14ac:dyDescent="0.25"/>
  <cols>
    <col min="1" max="1" width="18" bestFit="1" customWidth="1"/>
    <col min="2" max="3" width="13.85546875" bestFit="1" customWidth="1"/>
    <col min="19" max="19" width="21.5703125" bestFit="1" customWidth="1"/>
    <col min="20" max="21" width="13.85546875" bestFit="1" customWidth="1"/>
  </cols>
  <sheetData>
    <row r="1" spans="19:21" x14ac:dyDescent="0.25">
      <c r="S1" s="230" t="s">
        <v>35</v>
      </c>
      <c r="T1" t="s">
        <v>37</v>
      </c>
      <c r="U1" t="s">
        <v>67</v>
      </c>
    </row>
    <row r="2" spans="19:21" x14ac:dyDescent="0.25">
      <c r="S2" s="231">
        <v>1</v>
      </c>
      <c r="T2">
        <v>2</v>
      </c>
      <c r="U2">
        <v>2</v>
      </c>
    </row>
    <row r="3" spans="19:21" x14ac:dyDescent="0.25">
      <c r="S3" s="234" t="s">
        <v>359</v>
      </c>
      <c r="T3">
        <v>2</v>
      </c>
      <c r="U3">
        <v>2</v>
      </c>
    </row>
    <row r="4" spans="19:21" x14ac:dyDescent="0.25">
      <c r="S4" s="235" t="s">
        <v>353</v>
      </c>
      <c r="T4">
        <v>2</v>
      </c>
      <c r="U4">
        <v>2</v>
      </c>
    </row>
    <row r="5" spans="19:21" x14ac:dyDescent="0.25">
      <c r="S5" s="231">
        <v>2</v>
      </c>
      <c r="T5">
        <v>0</v>
      </c>
      <c r="U5">
        <v>1</v>
      </c>
    </row>
    <row r="6" spans="19:21" x14ac:dyDescent="0.25">
      <c r="S6" s="234" t="s">
        <v>387</v>
      </c>
      <c r="T6">
        <v>0</v>
      </c>
      <c r="U6">
        <v>1</v>
      </c>
    </row>
    <row r="7" spans="19:21" x14ac:dyDescent="0.25">
      <c r="S7" s="235" t="s">
        <v>355</v>
      </c>
      <c r="T7">
        <v>0</v>
      </c>
      <c r="U7">
        <v>1</v>
      </c>
    </row>
    <row r="8" spans="19:21" x14ac:dyDescent="0.25">
      <c r="S8" s="231">
        <v>3</v>
      </c>
      <c r="T8">
        <v>0</v>
      </c>
      <c r="U8">
        <v>1</v>
      </c>
    </row>
    <row r="9" spans="19:21" x14ac:dyDescent="0.25">
      <c r="S9" s="234" t="s">
        <v>354</v>
      </c>
      <c r="T9">
        <v>0</v>
      </c>
      <c r="U9">
        <v>1</v>
      </c>
    </row>
    <row r="10" spans="19:21" x14ac:dyDescent="0.25">
      <c r="S10" s="235" t="s">
        <v>388</v>
      </c>
      <c r="T10">
        <v>0</v>
      </c>
      <c r="U10">
        <v>1</v>
      </c>
    </row>
    <row r="11" spans="19:21" x14ac:dyDescent="0.25">
      <c r="S11" s="231">
        <v>4</v>
      </c>
      <c r="T11">
        <v>2</v>
      </c>
      <c r="U11">
        <v>0</v>
      </c>
    </row>
    <row r="12" spans="19:21" x14ac:dyDescent="0.25">
      <c r="S12" s="234" t="s">
        <v>381</v>
      </c>
      <c r="T12">
        <v>2</v>
      </c>
      <c r="U12">
        <v>0</v>
      </c>
    </row>
    <row r="13" spans="19:21" x14ac:dyDescent="0.25">
      <c r="S13" s="235" t="s">
        <v>389</v>
      </c>
      <c r="T13">
        <v>2</v>
      </c>
      <c r="U13">
        <v>0</v>
      </c>
    </row>
    <row r="14" spans="19:21" x14ac:dyDescent="0.25">
      <c r="S14" s="231">
        <v>5</v>
      </c>
      <c r="T14">
        <v>2</v>
      </c>
      <c r="U14">
        <v>1</v>
      </c>
    </row>
    <row r="15" spans="19:21" x14ac:dyDescent="0.25">
      <c r="S15" s="234" t="s">
        <v>352</v>
      </c>
      <c r="T15">
        <v>2</v>
      </c>
      <c r="U15">
        <v>1</v>
      </c>
    </row>
    <row r="16" spans="19:21" x14ac:dyDescent="0.25">
      <c r="S16" s="235" t="s">
        <v>361</v>
      </c>
      <c r="T16">
        <v>2</v>
      </c>
      <c r="U16">
        <v>1</v>
      </c>
    </row>
    <row r="17" spans="19:21" x14ac:dyDescent="0.25">
      <c r="S17" s="231">
        <v>6</v>
      </c>
      <c r="T17">
        <v>4</v>
      </c>
      <c r="U17">
        <v>2</v>
      </c>
    </row>
    <row r="18" spans="19:21" x14ac:dyDescent="0.25">
      <c r="S18" s="234" t="s">
        <v>390</v>
      </c>
      <c r="T18">
        <v>4</v>
      </c>
      <c r="U18">
        <v>2</v>
      </c>
    </row>
    <row r="19" spans="19:21" x14ac:dyDescent="0.25">
      <c r="S19" s="235" t="s">
        <v>362</v>
      </c>
      <c r="T19">
        <v>4</v>
      </c>
      <c r="U19">
        <v>2</v>
      </c>
    </row>
    <row r="20" spans="19:21" x14ac:dyDescent="0.25">
      <c r="S20" s="231">
        <v>7</v>
      </c>
      <c r="T20">
        <v>1</v>
      </c>
      <c r="U20">
        <v>2</v>
      </c>
    </row>
    <row r="21" spans="19:21" x14ac:dyDescent="0.25">
      <c r="S21" s="234" t="s">
        <v>357</v>
      </c>
      <c r="T21">
        <v>1</v>
      </c>
      <c r="U21">
        <v>2</v>
      </c>
    </row>
    <row r="22" spans="19:21" x14ac:dyDescent="0.25">
      <c r="S22" s="235" t="s">
        <v>356</v>
      </c>
      <c r="T22">
        <v>1</v>
      </c>
      <c r="U22">
        <v>2</v>
      </c>
    </row>
    <row r="23" spans="19:21" x14ac:dyDescent="0.25">
      <c r="S23" s="231">
        <v>8</v>
      </c>
      <c r="T23">
        <v>2</v>
      </c>
      <c r="U23">
        <v>1</v>
      </c>
    </row>
    <row r="24" spans="19:21" x14ac:dyDescent="0.25">
      <c r="S24" s="234" t="s">
        <v>351</v>
      </c>
      <c r="T24">
        <v>2</v>
      </c>
      <c r="U24">
        <v>1</v>
      </c>
    </row>
    <row r="25" spans="19:21" x14ac:dyDescent="0.25">
      <c r="S25" s="235" t="s">
        <v>363</v>
      </c>
      <c r="T25">
        <v>2</v>
      </c>
      <c r="U25">
        <v>1</v>
      </c>
    </row>
    <row r="26" spans="19:21" x14ac:dyDescent="0.25">
      <c r="S26" s="231">
        <v>9</v>
      </c>
      <c r="T26">
        <v>2</v>
      </c>
      <c r="U26">
        <v>1</v>
      </c>
    </row>
    <row r="27" spans="19:21" x14ac:dyDescent="0.25">
      <c r="S27" s="234" t="s">
        <v>382</v>
      </c>
      <c r="T27">
        <v>2</v>
      </c>
      <c r="U27">
        <v>1</v>
      </c>
    </row>
    <row r="28" spans="19:21" x14ac:dyDescent="0.25">
      <c r="S28" s="235" t="s">
        <v>360</v>
      </c>
      <c r="T28">
        <v>2</v>
      </c>
      <c r="U28">
        <v>1</v>
      </c>
    </row>
    <row r="29" spans="19:21" x14ac:dyDescent="0.25">
      <c r="S29" s="231">
        <v>10</v>
      </c>
      <c r="T29">
        <v>4</v>
      </c>
      <c r="U29">
        <v>0</v>
      </c>
    </row>
    <row r="30" spans="19:21" x14ac:dyDescent="0.25">
      <c r="S30" s="234" t="s">
        <v>350</v>
      </c>
      <c r="T30">
        <v>4</v>
      </c>
      <c r="U30">
        <v>0</v>
      </c>
    </row>
    <row r="31" spans="19:21" x14ac:dyDescent="0.25">
      <c r="S31" s="235" t="s">
        <v>358</v>
      </c>
      <c r="T31">
        <v>4</v>
      </c>
      <c r="U31">
        <v>0</v>
      </c>
    </row>
    <row r="32" spans="19:21" x14ac:dyDescent="0.25">
      <c r="S32" s="231">
        <v>11</v>
      </c>
      <c r="T32">
        <v>1</v>
      </c>
      <c r="U32">
        <v>0</v>
      </c>
    </row>
    <row r="33" spans="19:21" x14ac:dyDescent="0.25">
      <c r="S33" s="234" t="s">
        <v>355</v>
      </c>
      <c r="T33">
        <v>1</v>
      </c>
      <c r="U33">
        <v>0</v>
      </c>
    </row>
    <row r="34" spans="19:21" x14ac:dyDescent="0.25">
      <c r="S34" s="235" t="s">
        <v>359</v>
      </c>
      <c r="T34">
        <v>1</v>
      </c>
      <c r="U34">
        <v>0</v>
      </c>
    </row>
    <row r="35" spans="19:21" x14ac:dyDescent="0.25">
      <c r="S35" s="231">
        <v>12</v>
      </c>
      <c r="T35">
        <v>1</v>
      </c>
      <c r="U35">
        <v>1</v>
      </c>
    </row>
    <row r="36" spans="19:21" x14ac:dyDescent="0.25">
      <c r="S36" s="234" t="s">
        <v>363</v>
      </c>
      <c r="T36">
        <v>1</v>
      </c>
      <c r="U36">
        <v>1</v>
      </c>
    </row>
    <row r="37" spans="19:21" x14ac:dyDescent="0.25">
      <c r="S37" s="235" t="s">
        <v>354</v>
      </c>
      <c r="T37">
        <v>1</v>
      </c>
      <c r="U37">
        <v>1</v>
      </c>
    </row>
    <row r="38" spans="19:21" x14ac:dyDescent="0.25">
      <c r="S38" s="231">
        <v>13</v>
      </c>
      <c r="T38">
        <v>2</v>
      </c>
      <c r="U38">
        <v>2</v>
      </c>
    </row>
    <row r="39" spans="19:21" x14ac:dyDescent="0.25">
      <c r="S39" s="234" t="s">
        <v>389</v>
      </c>
      <c r="T39">
        <v>2</v>
      </c>
      <c r="U39">
        <v>2</v>
      </c>
    </row>
    <row r="40" spans="19:21" x14ac:dyDescent="0.25">
      <c r="S40" s="235" t="s">
        <v>382</v>
      </c>
      <c r="T40">
        <v>2</v>
      </c>
      <c r="U40">
        <v>2</v>
      </c>
    </row>
    <row r="41" spans="19:21" x14ac:dyDescent="0.25">
      <c r="S41" s="231">
        <v>14</v>
      </c>
      <c r="T41">
        <v>1</v>
      </c>
      <c r="U41">
        <v>1</v>
      </c>
    </row>
    <row r="42" spans="19:21" x14ac:dyDescent="0.25">
      <c r="S42" s="234" t="s">
        <v>362</v>
      </c>
      <c r="T42">
        <v>1</v>
      </c>
      <c r="U42">
        <v>1</v>
      </c>
    </row>
    <row r="43" spans="19:21" x14ac:dyDescent="0.25">
      <c r="S43" s="235" t="s">
        <v>351</v>
      </c>
      <c r="T43">
        <v>1</v>
      </c>
      <c r="U43">
        <v>1</v>
      </c>
    </row>
    <row r="44" spans="19:21" x14ac:dyDescent="0.25">
      <c r="S44" s="231">
        <v>15</v>
      </c>
      <c r="T44">
        <v>5</v>
      </c>
      <c r="U44">
        <v>3</v>
      </c>
    </row>
    <row r="45" spans="19:21" x14ac:dyDescent="0.25">
      <c r="S45" s="234" t="s">
        <v>361</v>
      </c>
      <c r="T45">
        <v>5</v>
      </c>
      <c r="U45">
        <v>3</v>
      </c>
    </row>
    <row r="46" spans="19:21" x14ac:dyDescent="0.25">
      <c r="S46" s="235" t="s">
        <v>350</v>
      </c>
      <c r="T46">
        <v>5</v>
      </c>
      <c r="U46">
        <v>3</v>
      </c>
    </row>
    <row r="47" spans="19:21" x14ac:dyDescent="0.25">
      <c r="S47" s="231">
        <v>16</v>
      </c>
      <c r="T47">
        <v>5</v>
      </c>
      <c r="U47">
        <v>1</v>
      </c>
    </row>
    <row r="48" spans="19:21" x14ac:dyDescent="0.25">
      <c r="S48" s="234" t="s">
        <v>353</v>
      </c>
      <c r="T48">
        <v>5</v>
      </c>
      <c r="U48">
        <v>1</v>
      </c>
    </row>
    <row r="49" spans="19:21" x14ac:dyDescent="0.25">
      <c r="S49" s="235" t="s">
        <v>381</v>
      </c>
      <c r="T49">
        <v>5</v>
      </c>
      <c r="U49">
        <v>1</v>
      </c>
    </row>
    <row r="50" spans="19:21" x14ac:dyDescent="0.25">
      <c r="S50" s="231">
        <v>17</v>
      </c>
      <c r="T50">
        <v>1</v>
      </c>
      <c r="U50">
        <v>1</v>
      </c>
    </row>
    <row r="51" spans="19:21" x14ac:dyDescent="0.25">
      <c r="S51" s="234" t="s">
        <v>356</v>
      </c>
      <c r="T51">
        <v>1</v>
      </c>
      <c r="U51">
        <v>1</v>
      </c>
    </row>
    <row r="52" spans="19:21" x14ac:dyDescent="0.25">
      <c r="S52" s="235" t="s">
        <v>352</v>
      </c>
      <c r="T52">
        <v>1</v>
      </c>
      <c r="U52">
        <v>1</v>
      </c>
    </row>
    <row r="53" spans="19:21" x14ac:dyDescent="0.25">
      <c r="S53" s="231">
        <v>18</v>
      </c>
      <c r="T53">
        <v>1</v>
      </c>
      <c r="U53">
        <v>1</v>
      </c>
    </row>
    <row r="54" spans="19:21" x14ac:dyDescent="0.25">
      <c r="S54" s="234" t="s">
        <v>360</v>
      </c>
      <c r="T54">
        <v>1</v>
      </c>
      <c r="U54">
        <v>1</v>
      </c>
    </row>
    <row r="55" spans="19:21" x14ac:dyDescent="0.25">
      <c r="S55" s="235" t="s">
        <v>390</v>
      </c>
      <c r="T55">
        <v>1</v>
      </c>
      <c r="U55">
        <v>1</v>
      </c>
    </row>
    <row r="56" spans="19:21" x14ac:dyDescent="0.25">
      <c r="S56" s="231">
        <v>19</v>
      </c>
      <c r="T56">
        <v>1</v>
      </c>
      <c r="U56">
        <v>2</v>
      </c>
    </row>
    <row r="57" spans="19:21" x14ac:dyDescent="0.25">
      <c r="S57" s="234" t="s">
        <v>358</v>
      </c>
      <c r="T57">
        <v>1</v>
      </c>
      <c r="U57">
        <v>2</v>
      </c>
    </row>
    <row r="58" spans="19:21" x14ac:dyDescent="0.25">
      <c r="S58" s="235" t="s">
        <v>387</v>
      </c>
      <c r="T58">
        <v>1</v>
      </c>
      <c r="U58">
        <v>2</v>
      </c>
    </row>
    <row r="59" spans="19:21" x14ac:dyDescent="0.25">
      <c r="S59" s="231">
        <v>20</v>
      </c>
      <c r="T59">
        <v>1</v>
      </c>
      <c r="U59">
        <v>2</v>
      </c>
    </row>
    <row r="60" spans="19:21" x14ac:dyDescent="0.25">
      <c r="S60" s="234" t="s">
        <v>381</v>
      </c>
      <c r="T60">
        <v>1</v>
      </c>
      <c r="U60">
        <v>2</v>
      </c>
    </row>
    <row r="61" spans="19:21" x14ac:dyDescent="0.25">
      <c r="S61" s="235" t="s">
        <v>363</v>
      </c>
      <c r="T61">
        <v>1</v>
      </c>
      <c r="U61">
        <v>2</v>
      </c>
    </row>
    <row r="62" spans="19:21" x14ac:dyDescent="0.25">
      <c r="S62" s="231">
        <v>21</v>
      </c>
      <c r="T62">
        <v>3</v>
      </c>
      <c r="U62">
        <v>3</v>
      </c>
    </row>
    <row r="63" spans="19:21" x14ac:dyDescent="0.25">
      <c r="S63" s="234" t="s">
        <v>390</v>
      </c>
      <c r="T63">
        <v>3</v>
      </c>
      <c r="U63">
        <v>3</v>
      </c>
    </row>
    <row r="64" spans="19:21" x14ac:dyDescent="0.25">
      <c r="S64" s="235" t="s">
        <v>387</v>
      </c>
      <c r="T64">
        <v>3</v>
      </c>
      <c r="U64">
        <v>3</v>
      </c>
    </row>
    <row r="65" spans="19:21" x14ac:dyDescent="0.25">
      <c r="S65" s="231">
        <v>22</v>
      </c>
      <c r="T65">
        <v>2</v>
      </c>
      <c r="U65">
        <v>2</v>
      </c>
    </row>
    <row r="66" spans="19:21" x14ac:dyDescent="0.25">
      <c r="S66" s="234" t="s">
        <v>382</v>
      </c>
      <c r="T66">
        <v>2</v>
      </c>
      <c r="U66">
        <v>2</v>
      </c>
    </row>
    <row r="67" spans="19:21" x14ac:dyDescent="0.25">
      <c r="S67" s="235" t="s">
        <v>358</v>
      </c>
      <c r="T67">
        <v>2</v>
      </c>
      <c r="U67">
        <v>2</v>
      </c>
    </row>
    <row r="68" spans="19:21" x14ac:dyDescent="0.25">
      <c r="S68" s="231">
        <v>23</v>
      </c>
      <c r="T68">
        <v>3</v>
      </c>
      <c r="U68">
        <v>3</v>
      </c>
    </row>
    <row r="69" spans="19:21" x14ac:dyDescent="0.25">
      <c r="S69" s="234" t="s">
        <v>359</v>
      </c>
      <c r="T69">
        <v>3</v>
      </c>
      <c r="U69">
        <v>3</v>
      </c>
    </row>
    <row r="70" spans="19:21" x14ac:dyDescent="0.25">
      <c r="S70" s="235" t="s">
        <v>389</v>
      </c>
      <c r="T70">
        <v>3</v>
      </c>
      <c r="U70">
        <v>3</v>
      </c>
    </row>
    <row r="71" spans="19:21" x14ac:dyDescent="0.25">
      <c r="S71" s="231">
        <v>24</v>
      </c>
      <c r="T71">
        <v>2</v>
      </c>
      <c r="U71">
        <v>0</v>
      </c>
    </row>
    <row r="72" spans="19:21" x14ac:dyDescent="0.25">
      <c r="S72" s="234" t="s">
        <v>351</v>
      </c>
      <c r="T72">
        <v>2</v>
      </c>
      <c r="U72">
        <v>0</v>
      </c>
    </row>
    <row r="73" spans="19:21" x14ac:dyDescent="0.25">
      <c r="S73" s="235" t="s">
        <v>361</v>
      </c>
      <c r="T73">
        <v>2</v>
      </c>
      <c r="U73">
        <v>0</v>
      </c>
    </row>
    <row r="74" spans="19:21" x14ac:dyDescent="0.25">
      <c r="S74" s="231">
        <v>25</v>
      </c>
      <c r="T74">
        <v>0</v>
      </c>
      <c r="U74">
        <v>1</v>
      </c>
    </row>
    <row r="75" spans="19:21" x14ac:dyDescent="0.25">
      <c r="S75" s="234" t="s">
        <v>360</v>
      </c>
      <c r="T75">
        <v>0</v>
      </c>
      <c r="U75">
        <v>1</v>
      </c>
    </row>
    <row r="76" spans="19:21" x14ac:dyDescent="0.25">
      <c r="S76" s="235" t="s">
        <v>356</v>
      </c>
      <c r="T76">
        <v>0</v>
      </c>
      <c r="U76">
        <v>1</v>
      </c>
    </row>
    <row r="77" spans="19:21" x14ac:dyDescent="0.25">
      <c r="S77" s="231">
        <v>26</v>
      </c>
      <c r="T77">
        <v>2</v>
      </c>
      <c r="U77">
        <v>1</v>
      </c>
    </row>
    <row r="78" spans="19:21" x14ac:dyDescent="0.25">
      <c r="S78" s="234" t="s">
        <v>388</v>
      </c>
      <c r="T78">
        <v>2</v>
      </c>
      <c r="U78">
        <v>1</v>
      </c>
    </row>
    <row r="79" spans="19:21" x14ac:dyDescent="0.25">
      <c r="S79" s="235" t="s">
        <v>362</v>
      </c>
      <c r="T79">
        <v>2</v>
      </c>
      <c r="U79">
        <v>1</v>
      </c>
    </row>
    <row r="80" spans="19:21" x14ac:dyDescent="0.25">
      <c r="S80" s="231">
        <v>27</v>
      </c>
      <c r="T80">
        <v>1</v>
      </c>
      <c r="U80">
        <v>0</v>
      </c>
    </row>
    <row r="81" spans="19:21" x14ac:dyDescent="0.25">
      <c r="S81" s="234" t="s">
        <v>352</v>
      </c>
      <c r="T81">
        <v>1</v>
      </c>
      <c r="U81">
        <v>0</v>
      </c>
    </row>
    <row r="82" spans="19:21" x14ac:dyDescent="0.25">
      <c r="S82" s="235" t="s">
        <v>350</v>
      </c>
      <c r="T82">
        <v>1</v>
      </c>
      <c r="U82">
        <v>0</v>
      </c>
    </row>
    <row r="83" spans="19:21" x14ac:dyDescent="0.25">
      <c r="S83" s="231">
        <v>28</v>
      </c>
      <c r="T83">
        <v>2</v>
      </c>
      <c r="U83">
        <v>0</v>
      </c>
    </row>
    <row r="84" spans="19:21" x14ac:dyDescent="0.25">
      <c r="S84" s="234" t="s">
        <v>357</v>
      </c>
      <c r="T84">
        <v>2</v>
      </c>
      <c r="U84">
        <v>0</v>
      </c>
    </row>
    <row r="85" spans="19:21" x14ac:dyDescent="0.25">
      <c r="S85" s="235" t="s">
        <v>355</v>
      </c>
      <c r="T85">
        <v>2</v>
      </c>
      <c r="U85">
        <v>0</v>
      </c>
    </row>
    <row r="86" spans="19:21" x14ac:dyDescent="0.25">
      <c r="S86" s="231">
        <v>29</v>
      </c>
      <c r="T86">
        <v>1</v>
      </c>
      <c r="U86">
        <v>3</v>
      </c>
    </row>
    <row r="87" spans="19:21" x14ac:dyDescent="0.25">
      <c r="S87" s="234" t="s">
        <v>354</v>
      </c>
      <c r="T87">
        <v>1</v>
      </c>
      <c r="U87">
        <v>3</v>
      </c>
    </row>
    <row r="88" spans="19:21" x14ac:dyDescent="0.25">
      <c r="S88" s="235" t="s">
        <v>353</v>
      </c>
      <c r="T88">
        <v>1</v>
      </c>
      <c r="U88">
        <v>3</v>
      </c>
    </row>
    <row r="89" spans="19:21" x14ac:dyDescent="0.25">
      <c r="S89" s="231">
        <v>30</v>
      </c>
      <c r="T89">
        <v>0</v>
      </c>
      <c r="U89">
        <v>1</v>
      </c>
    </row>
    <row r="90" spans="19:21" x14ac:dyDescent="0.25">
      <c r="S90" s="234" t="s">
        <v>388</v>
      </c>
      <c r="T90">
        <v>0</v>
      </c>
      <c r="U90">
        <v>1</v>
      </c>
    </row>
    <row r="91" spans="19:21" x14ac:dyDescent="0.25">
      <c r="S91" s="235" t="s">
        <v>357</v>
      </c>
      <c r="T91">
        <v>0</v>
      </c>
      <c r="U91">
        <v>1</v>
      </c>
    </row>
    <row r="92" spans="19:21" x14ac:dyDescent="0.25">
      <c r="S92" s="231">
        <v>31</v>
      </c>
      <c r="T92">
        <v>1</v>
      </c>
      <c r="U92">
        <v>1</v>
      </c>
    </row>
    <row r="93" spans="19:21" x14ac:dyDescent="0.25">
      <c r="S93" s="234" t="s">
        <v>355</v>
      </c>
      <c r="T93">
        <v>1</v>
      </c>
      <c r="U93">
        <v>1</v>
      </c>
    </row>
    <row r="94" spans="19:21" x14ac:dyDescent="0.25">
      <c r="S94" s="235" t="s">
        <v>388</v>
      </c>
      <c r="T94">
        <v>1</v>
      </c>
      <c r="U94">
        <v>1</v>
      </c>
    </row>
    <row r="95" spans="19:21" x14ac:dyDescent="0.25">
      <c r="S95" s="231">
        <v>32</v>
      </c>
      <c r="T95">
        <v>1</v>
      </c>
      <c r="U95">
        <v>1</v>
      </c>
    </row>
    <row r="96" spans="19:21" x14ac:dyDescent="0.25">
      <c r="S96" s="234" t="s">
        <v>389</v>
      </c>
      <c r="T96">
        <v>1</v>
      </c>
      <c r="U96">
        <v>1</v>
      </c>
    </row>
    <row r="97" spans="19:21" x14ac:dyDescent="0.25">
      <c r="S97" s="235" t="s">
        <v>354</v>
      </c>
      <c r="T97">
        <v>1</v>
      </c>
      <c r="U97">
        <v>1</v>
      </c>
    </row>
    <row r="98" spans="19:21" x14ac:dyDescent="0.25">
      <c r="S98" s="231">
        <v>33</v>
      </c>
      <c r="T98">
        <v>0</v>
      </c>
      <c r="U98">
        <v>1</v>
      </c>
    </row>
    <row r="99" spans="19:21" x14ac:dyDescent="0.25">
      <c r="S99" s="234" t="s">
        <v>387</v>
      </c>
      <c r="T99">
        <v>0</v>
      </c>
      <c r="U99">
        <v>1</v>
      </c>
    </row>
    <row r="100" spans="19:21" x14ac:dyDescent="0.25">
      <c r="S100" s="235" t="s">
        <v>351</v>
      </c>
      <c r="T100">
        <v>0</v>
      </c>
      <c r="U100">
        <v>1</v>
      </c>
    </row>
    <row r="101" spans="19:21" x14ac:dyDescent="0.25">
      <c r="S101" s="231">
        <v>34</v>
      </c>
      <c r="T101">
        <v>1</v>
      </c>
      <c r="U101">
        <v>1</v>
      </c>
    </row>
    <row r="102" spans="19:21" x14ac:dyDescent="0.25">
      <c r="S102" s="234" t="s">
        <v>358</v>
      </c>
      <c r="T102">
        <v>1</v>
      </c>
      <c r="U102">
        <v>1</v>
      </c>
    </row>
    <row r="103" spans="19:21" x14ac:dyDescent="0.25">
      <c r="S103" s="235" t="s">
        <v>357</v>
      </c>
      <c r="T103">
        <v>1</v>
      </c>
      <c r="U103">
        <v>1</v>
      </c>
    </row>
    <row r="104" spans="19:21" x14ac:dyDescent="0.25">
      <c r="S104" s="231">
        <v>35</v>
      </c>
      <c r="T104">
        <v>2</v>
      </c>
      <c r="U104">
        <v>1</v>
      </c>
    </row>
    <row r="105" spans="19:21" x14ac:dyDescent="0.25">
      <c r="S105" s="234" t="s">
        <v>361</v>
      </c>
      <c r="T105">
        <v>2</v>
      </c>
      <c r="U105">
        <v>1</v>
      </c>
    </row>
    <row r="106" spans="19:21" x14ac:dyDescent="0.25">
      <c r="S106" s="235" t="s">
        <v>359</v>
      </c>
      <c r="T106">
        <v>2</v>
      </c>
      <c r="U106">
        <v>1</v>
      </c>
    </row>
    <row r="107" spans="19:21" x14ac:dyDescent="0.25">
      <c r="S107" s="231">
        <v>36</v>
      </c>
      <c r="T107">
        <v>2</v>
      </c>
      <c r="U107">
        <v>1</v>
      </c>
    </row>
    <row r="108" spans="19:21" x14ac:dyDescent="0.25">
      <c r="S108" s="234" t="s">
        <v>353</v>
      </c>
      <c r="T108">
        <v>2</v>
      </c>
      <c r="U108">
        <v>1</v>
      </c>
    </row>
    <row r="109" spans="19:21" x14ac:dyDescent="0.25">
      <c r="S109" s="235" t="s">
        <v>352</v>
      </c>
      <c r="T109">
        <v>2</v>
      </c>
      <c r="U109">
        <v>1</v>
      </c>
    </row>
    <row r="110" spans="19:21" x14ac:dyDescent="0.25">
      <c r="S110" s="231">
        <v>37</v>
      </c>
      <c r="T110">
        <v>2</v>
      </c>
      <c r="U110">
        <v>1</v>
      </c>
    </row>
    <row r="111" spans="19:21" x14ac:dyDescent="0.25">
      <c r="S111" s="234" t="s">
        <v>362</v>
      </c>
      <c r="T111">
        <v>2</v>
      </c>
      <c r="U111">
        <v>1</v>
      </c>
    </row>
    <row r="112" spans="19:21" x14ac:dyDescent="0.25">
      <c r="S112" s="235" t="s">
        <v>360</v>
      </c>
      <c r="T112">
        <v>2</v>
      </c>
      <c r="U112">
        <v>1</v>
      </c>
    </row>
    <row r="113" spans="19:21" x14ac:dyDescent="0.25">
      <c r="S113" s="231">
        <v>38</v>
      </c>
      <c r="T113">
        <v>2</v>
      </c>
      <c r="U113">
        <v>2</v>
      </c>
    </row>
    <row r="114" spans="19:21" x14ac:dyDescent="0.25">
      <c r="S114" s="234" t="s">
        <v>382</v>
      </c>
      <c r="T114">
        <v>2</v>
      </c>
      <c r="U114">
        <v>2</v>
      </c>
    </row>
    <row r="115" spans="19:21" x14ac:dyDescent="0.25">
      <c r="S115" s="235" t="s">
        <v>362</v>
      </c>
      <c r="T115">
        <v>2</v>
      </c>
      <c r="U115">
        <v>2</v>
      </c>
    </row>
    <row r="116" spans="19:21" x14ac:dyDescent="0.25">
      <c r="S116" s="231">
        <v>39</v>
      </c>
      <c r="T116">
        <v>1</v>
      </c>
      <c r="U116">
        <v>0</v>
      </c>
    </row>
    <row r="117" spans="19:21" x14ac:dyDescent="0.25">
      <c r="S117" s="234" t="s">
        <v>359</v>
      </c>
      <c r="T117">
        <v>1</v>
      </c>
      <c r="U117">
        <v>0</v>
      </c>
    </row>
    <row r="118" spans="19:21" x14ac:dyDescent="0.25">
      <c r="S118" s="235" t="s">
        <v>354</v>
      </c>
      <c r="T118">
        <v>1</v>
      </c>
      <c r="U118">
        <v>0</v>
      </c>
    </row>
    <row r="119" spans="19:21" x14ac:dyDescent="0.25">
      <c r="S119" s="231">
        <v>40</v>
      </c>
      <c r="T119">
        <v>1</v>
      </c>
      <c r="U119">
        <v>1</v>
      </c>
    </row>
    <row r="120" spans="19:21" x14ac:dyDescent="0.25">
      <c r="S120" s="234" t="s">
        <v>356</v>
      </c>
      <c r="T120">
        <v>1</v>
      </c>
      <c r="U120">
        <v>1</v>
      </c>
    </row>
    <row r="121" spans="19:21" x14ac:dyDescent="0.25">
      <c r="S121" s="235" t="s">
        <v>381</v>
      </c>
      <c r="T121">
        <v>1</v>
      </c>
      <c r="U121">
        <v>1</v>
      </c>
    </row>
    <row r="122" spans="19:21" x14ac:dyDescent="0.25">
      <c r="S122" s="231">
        <v>41</v>
      </c>
      <c r="T122">
        <v>0</v>
      </c>
      <c r="U122">
        <v>2</v>
      </c>
    </row>
    <row r="123" spans="19:21" x14ac:dyDescent="0.25">
      <c r="S123" s="234" t="s">
        <v>357</v>
      </c>
      <c r="T123">
        <v>0</v>
      </c>
      <c r="U123">
        <v>2</v>
      </c>
    </row>
    <row r="124" spans="19:21" x14ac:dyDescent="0.25">
      <c r="S124" s="235" t="s">
        <v>387</v>
      </c>
      <c r="T124">
        <v>0</v>
      </c>
      <c r="U124">
        <v>2</v>
      </c>
    </row>
    <row r="125" spans="19:21" x14ac:dyDescent="0.25">
      <c r="S125" s="231">
        <v>42</v>
      </c>
      <c r="T125">
        <v>2</v>
      </c>
      <c r="U125">
        <v>0</v>
      </c>
    </row>
    <row r="126" spans="19:21" x14ac:dyDescent="0.25">
      <c r="S126" s="234" t="s">
        <v>363</v>
      </c>
      <c r="T126">
        <v>2</v>
      </c>
      <c r="U126">
        <v>0</v>
      </c>
    </row>
    <row r="127" spans="19:21" x14ac:dyDescent="0.25">
      <c r="S127" s="235" t="s">
        <v>358</v>
      </c>
      <c r="T127">
        <v>2</v>
      </c>
      <c r="U127">
        <v>0</v>
      </c>
    </row>
    <row r="128" spans="19:21" x14ac:dyDescent="0.25">
      <c r="S128" s="231">
        <v>43</v>
      </c>
      <c r="T128">
        <v>0</v>
      </c>
      <c r="U128">
        <v>2</v>
      </c>
    </row>
    <row r="129" spans="19:21" x14ac:dyDescent="0.25">
      <c r="S129" s="234" t="s">
        <v>389</v>
      </c>
      <c r="T129">
        <v>0</v>
      </c>
      <c r="U129">
        <v>2</v>
      </c>
    </row>
    <row r="130" spans="19:21" x14ac:dyDescent="0.25">
      <c r="S130" s="235" t="s">
        <v>352</v>
      </c>
      <c r="T130">
        <v>0</v>
      </c>
      <c r="U130">
        <v>2</v>
      </c>
    </row>
    <row r="131" spans="19:21" x14ac:dyDescent="0.25">
      <c r="S131" s="231">
        <v>44</v>
      </c>
      <c r="T131">
        <v>2</v>
      </c>
      <c r="U131">
        <v>1</v>
      </c>
    </row>
    <row r="132" spans="19:21" x14ac:dyDescent="0.25">
      <c r="S132" s="234" t="s">
        <v>360</v>
      </c>
      <c r="T132">
        <v>2</v>
      </c>
      <c r="U132">
        <v>1</v>
      </c>
    </row>
    <row r="133" spans="19:21" x14ac:dyDescent="0.25">
      <c r="S133" s="235" t="s">
        <v>353</v>
      </c>
      <c r="T133">
        <v>2</v>
      </c>
      <c r="U133">
        <v>1</v>
      </c>
    </row>
    <row r="134" spans="19:21" x14ac:dyDescent="0.25">
      <c r="S134" s="231">
        <v>45</v>
      </c>
      <c r="T134">
        <v>2</v>
      </c>
      <c r="U134">
        <v>0</v>
      </c>
    </row>
    <row r="135" spans="19:21" x14ac:dyDescent="0.25">
      <c r="S135" s="234" t="s">
        <v>351</v>
      </c>
      <c r="T135">
        <v>2</v>
      </c>
      <c r="U135">
        <v>0</v>
      </c>
    </row>
    <row r="136" spans="19:21" x14ac:dyDescent="0.25">
      <c r="S136" s="235" t="s">
        <v>390</v>
      </c>
      <c r="T136">
        <v>2</v>
      </c>
      <c r="U136">
        <v>0</v>
      </c>
    </row>
    <row r="137" spans="19:21" x14ac:dyDescent="0.25">
      <c r="S137" s="231">
        <v>46</v>
      </c>
      <c r="T137">
        <v>1</v>
      </c>
      <c r="U137">
        <v>1</v>
      </c>
    </row>
    <row r="138" spans="19:21" x14ac:dyDescent="0.25">
      <c r="S138" s="234" t="s">
        <v>361</v>
      </c>
      <c r="T138">
        <v>1</v>
      </c>
      <c r="U138">
        <v>1</v>
      </c>
    </row>
    <row r="139" spans="19:21" x14ac:dyDescent="0.25">
      <c r="S139" s="235" t="s">
        <v>355</v>
      </c>
      <c r="T139">
        <v>1</v>
      </c>
      <c r="U139">
        <v>1</v>
      </c>
    </row>
    <row r="140" spans="19:21" x14ac:dyDescent="0.25">
      <c r="S140" s="231">
        <v>47</v>
      </c>
      <c r="T140">
        <v>2</v>
      </c>
      <c r="U140">
        <v>0</v>
      </c>
    </row>
    <row r="141" spans="19:21" x14ac:dyDescent="0.25">
      <c r="S141" s="234" t="s">
        <v>381</v>
      </c>
      <c r="T141">
        <v>2</v>
      </c>
      <c r="U141">
        <v>0</v>
      </c>
    </row>
    <row r="142" spans="19:21" x14ac:dyDescent="0.25">
      <c r="S142" s="235" t="s">
        <v>359</v>
      </c>
      <c r="T142">
        <v>2</v>
      </c>
      <c r="U142">
        <v>0</v>
      </c>
    </row>
    <row r="143" spans="19:21" x14ac:dyDescent="0.25">
      <c r="S143" s="231">
        <v>48</v>
      </c>
      <c r="T143">
        <v>0</v>
      </c>
      <c r="U143">
        <v>3</v>
      </c>
    </row>
    <row r="144" spans="19:21" x14ac:dyDescent="0.25">
      <c r="S144" s="234" t="s">
        <v>350</v>
      </c>
      <c r="T144">
        <v>0</v>
      </c>
      <c r="U144">
        <v>3</v>
      </c>
    </row>
    <row r="145" spans="19:21" x14ac:dyDescent="0.25">
      <c r="S145" s="235" t="s">
        <v>363</v>
      </c>
      <c r="T145">
        <v>0</v>
      </c>
      <c r="U145">
        <v>3</v>
      </c>
    </row>
    <row r="146" spans="19:21" x14ac:dyDescent="0.25">
      <c r="S146" s="231">
        <v>49</v>
      </c>
      <c r="T146">
        <v>3</v>
      </c>
      <c r="U146">
        <v>2</v>
      </c>
    </row>
    <row r="147" spans="19:21" x14ac:dyDescent="0.25">
      <c r="S147" s="234" t="s">
        <v>352</v>
      </c>
      <c r="T147">
        <v>3</v>
      </c>
      <c r="U147">
        <v>2</v>
      </c>
    </row>
    <row r="148" spans="19:21" x14ac:dyDescent="0.25">
      <c r="S148" s="235" t="s">
        <v>388</v>
      </c>
      <c r="T148">
        <v>3</v>
      </c>
      <c r="U148">
        <v>2</v>
      </c>
    </row>
    <row r="149" spans="19:21" x14ac:dyDescent="0.25">
      <c r="S149" s="231">
        <v>50</v>
      </c>
      <c r="T149">
        <v>0</v>
      </c>
      <c r="U149">
        <v>1</v>
      </c>
    </row>
    <row r="150" spans="19:21" x14ac:dyDescent="0.25">
      <c r="S150" s="234" t="s">
        <v>354</v>
      </c>
      <c r="T150">
        <v>0</v>
      </c>
      <c r="U150">
        <v>1</v>
      </c>
    </row>
    <row r="151" spans="19:21" x14ac:dyDescent="0.25">
      <c r="S151" s="235" t="s">
        <v>356</v>
      </c>
      <c r="T151">
        <v>0</v>
      </c>
      <c r="U151">
        <v>1</v>
      </c>
    </row>
    <row r="152" spans="19:21" x14ac:dyDescent="0.25">
      <c r="S152" s="231">
        <v>51</v>
      </c>
      <c r="T152">
        <v>1</v>
      </c>
      <c r="U152">
        <v>1</v>
      </c>
    </row>
    <row r="153" spans="19:21" x14ac:dyDescent="0.25">
      <c r="S153" s="234" t="s">
        <v>362</v>
      </c>
      <c r="T153">
        <v>1</v>
      </c>
      <c r="U153">
        <v>1</v>
      </c>
    </row>
    <row r="154" spans="19:21" x14ac:dyDescent="0.25">
      <c r="S154" s="235" t="s">
        <v>357</v>
      </c>
      <c r="T154">
        <v>1</v>
      </c>
      <c r="U154">
        <v>1</v>
      </c>
    </row>
    <row r="155" spans="19:21" x14ac:dyDescent="0.25">
      <c r="S155" s="231">
        <v>52</v>
      </c>
      <c r="T155">
        <v>1</v>
      </c>
      <c r="U155">
        <v>0</v>
      </c>
    </row>
    <row r="156" spans="19:21" x14ac:dyDescent="0.25">
      <c r="S156" s="234" t="s">
        <v>387</v>
      </c>
      <c r="T156">
        <v>1</v>
      </c>
      <c r="U156">
        <v>0</v>
      </c>
    </row>
    <row r="157" spans="19:21" x14ac:dyDescent="0.25">
      <c r="S157" s="235" t="s">
        <v>389</v>
      </c>
      <c r="T157">
        <v>1</v>
      </c>
      <c r="U157">
        <v>0</v>
      </c>
    </row>
    <row r="158" spans="19:21" x14ac:dyDescent="0.25">
      <c r="S158" s="231">
        <v>53</v>
      </c>
      <c r="T158">
        <v>1</v>
      </c>
      <c r="U158">
        <v>0</v>
      </c>
    </row>
    <row r="159" spans="19:21" x14ac:dyDescent="0.25">
      <c r="S159" s="234" t="s">
        <v>353</v>
      </c>
      <c r="T159">
        <v>1</v>
      </c>
      <c r="U159">
        <v>0</v>
      </c>
    </row>
    <row r="160" spans="19:21" x14ac:dyDescent="0.25">
      <c r="S160" s="235" t="s">
        <v>382</v>
      </c>
      <c r="T160">
        <v>1</v>
      </c>
      <c r="U160">
        <v>0</v>
      </c>
    </row>
    <row r="161" spans="19:21" x14ac:dyDescent="0.25">
      <c r="S161" s="231">
        <v>54</v>
      </c>
      <c r="T161">
        <v>1</v>
      </c>
      <c r="U161">
        <v>2</v>
      </c>
    </row>
    <row r="162" spans="19:21" x14ac:dyDescent="0.25">
      <c r="S162" s="234" t="s">
        <v>355</v>
      </c>
      <c r="T162">
        <v>1</v>
      </c>
      <c r="U162">
        <v>2</v>
      </c>
    </row>
    <row r="163" spans="19:21" x14ac:dyDescent="0.25">
      <c r="S163" s="235" t="s">
        <v>351</v>
      </c>
      <c r="T163">
        <v>1</v>
      </c>
      <c r="U163">
        <v>2</v>
      </c>
    </row>
    <row r="164" spans="19:21" x14ac:dyDescent="0.25">
      <c r="S164" s="231">
        <v>55</v>
      </c>
      <c r="T164">
        <v>3</v>
      </c>
      <c r="U164">
        <v>3</v>
      </c>
    </row>
    <row r="165" spans="19:21" x14ac:dyDescent="0.25">
      <c r="S165" s="234" t="s">
        <v>358</v>
      </c>
      <c r="T165">
        <v>3</v>
      </c>
      <c r="U165">
        <v>3</v>
      </c>
    </row>
    <row r="166" spans="19:21" x14ac:dyDescent="0.25">
      <c r="S166" s="235" t="s">
        <v>360</v>
      </c>
      <c r="T166">
        <v>3</v>
      </c>
      <c r="U166">
        <v>3</v>
      </c>
    </row>
    <row r="167" spans="19:21" x14ac:dyDescent="0.25">
      <c r="S167" s="231">
        <v>56</v>
      </c>
      <c r="T167">
        <v>1</v>
      </c>
      <c r="U167">
        <v>1</v>
      </c>
    </row>
    <row r="168" spans="19:21" x14ac:dyDescent="0.25">
      <c r="S168" s="234" t="s">
        <v>390</v>
      </c>
      <c r="T168">
        <v>1</v>
      </c>
      <c r="U168">
        <v>1</v>
      </c>
    </row>
    <row r="169" spans="19:21" x14ac:dyDescent="0.25">
      <c r="S169" s="235" t="s">
        <v>361</v>
      </c>
      <c r="T169">
        <v>1</v>
      </c>
      <c r="U169">
        <v>1</v>
      </c>
    </row>
    <row r="170" spans="19:21" x14ac:dyDescent="0.25">
      <c r="S170" s="231">
        <v>57</v>
      </c>
      <c r="T170">
        <v>2</v>
      </c>
      <c r="U170">
        <v>0</v>
      </c>
    </row>
    <row r="171" spans="19:21" x14ac:dyDescent="0.25">
      <c r="S171" s="234" t="s">
        <v>356</v>
      </c>
      <c r="T171">
        <v>2</v>
      </c>
      <c r="U171">
        <v>0</v>
      </c>
    </row>
    <row r="172" spans="19:21" x14ac:dyDescent="0.25">
      <c r="S172" s="235" t="s">
        <v>355</v>
      </c>
      <c r="T172">
        <v>2</v>
      </c>
      <c r="U172">
        <v>0</v>
      </c>
    </row>
    <row r="173" spans="19:21" x14ac:dyDescent="0.25">
      <c r="S173" s="231">
        <v>58</v>
      </c>
      <c r="T173">
        <v>2</v>
      </c>
      <c r="U173">
        <v>1</v>
      </c>
    </row>
    <row r="174" spans="19:21" x14ac:dyDescent="0.25">
      <c r="S174" s="234" t="s">
        <v>353</v>
      </c>
      <c r="T174">
        <v>2</v>
      </c>
      <c r="U174">
        <v>1</v>
      </c>
    </row>
    <row r="175" spans="19:21" x14ac:dyDescent="0.25">
      <c r="S175" s="235" t="s">
        <v>350</v>
      </c>
      <c r="T175">
        <v>2</v>
      </c>
      <c r="U175">
        <v>1</v>
      </c>
    </row>
    <row r="176" spans="19:21" x14ac:dyDescent="0.25">
      <c r="S176" s="231">
        <v>59</v>
      </c>
      <c r="T176">
        <v>2</v>
      </c>
      <c r="U176">
        <v>1</v>
      </c>
    </row>
    <row r="177" spans="19:21" x14ac:dyDescent="0.25">
      <c r="S177" s="234" t="s">
        <v>388</v>
      </c>
      <c r="T177">
        <v>2</v>
      </c>
      <c r="U177">
        <v>1</v>
      </c>
    </row>
    <row r="178" spans="19:21" x14ac:dyDescent="0.25">
      <c r="S178" s="235" t="s">
        <v>358</v>
      </c>
      <c r="T178">
        <v>2</v>
      </c>
      <c r="U178">
        <v>1</v>
      </c>
    </row>
    <row r="179" spans="19:21" x14ac:dyDescent="0.25">
      <c r="S179" s="231">
        <v>60</v>
      </c>
      <c r="T179">
        <v>1</v>
      </c>
      <c r="U179">
        <v>0</v>
      </c>
    </row>
    <row r="180" spans="19:21" x14ac:dyDescent="0.25">
      <c r="S180" s="234" t="s">
        <v>359</v>
      </c>
      <c r="T180">
        <v>1</v>
      </c>
      <c r="U180">
        <v>0</v>
      </c>
    </row>
    <row r="181" spans="19:21" x14ac:dyDescent="0.25">
      <c r="S181" s="235" t="s">
        <v>351</v>
      </c>
      <c r="T181">
        <v>1</v>
      </c>
      <c r="U181">
        <v>0</v>
      </c>
    </row>
    <row r="182" spans="19:21" x14ac:dyDescent="0.25">
      <c r="S182" s="231">
        <v>61</v>
      </c>
      <c r="T182">
        <v>0</v>
      </c>
      <c r="U182">
        <v>1</v>
      </c>
    </row>
    <row r="183" spans="19:21" x14ac:dyDescent="0.25">
      <c r="S183" s="234" t="s">
        <v>382</v>
      </c>
      <c r="T183">
        <v>0</v>
      </c>
      <c r="U183">
        <v>1</v>
      </c>
    </row>
    <row r="184" spans="19:21" x14ac:dyDescent="0.25">
      <c r="S184" s="235" t="s">
        <v>387</v>
      </c>
      <c r="T184">
        <v>0</v>
      </c>
      <c r="U184">
        <v>1</v>
      </c>
    </row>
    <row r="185" spans="19:21" x14ac:dyDescent="0.25">
      <c r="S185" s="231">
        <v>62</v>
      </c>
      <c r="T185">
        <v>1</v>
      </c>
      <c r="U185">
        <v>2</v>
      </c>
    </row>
    <row r="186" spans="19:21" x14ac:dyDescent="0.25">
      <c r="S186" s="234" t="s">
        <v>362</v>
      </c>
      <c r="T186">
        <v>1</v>
      </c>
      <c r="U186">
        <v>2</v>
      </c>
    </row>
    <row r="187" spans="19:21" x14ac:dyDescent="0.25">
      <c r="S187" s="235" t="s">
        <v>354</v>
      </c>
      <c r="T187">
        <v>1</v>
      </c>
      <c r="U187">
        <v>2</v>
      </c>
    </row>
    <row r="188" spans="19:21" x14ac:dyDescent="0.25">
      <c r="S188" s="231">
        <v>63</v>
      </c>
      <c r="T188">
        <v>3</v>
      </c>
      <c r="U188">
        <v>2</v>
      </c>
    </row>
    <row r="189" spans="19:21" x14ac:dyDescent="0.25">
      <c r="S189" s="234" t="s">
        <v>360</v>
      </c>
      <c r="T189">
        <v>3</v>
      </c>
      <c r="U189">
        <v>2</v>
      </c>
    </row>
    <row r="190" spans="19:21" x14ac:dyDescent="0.25">
      <c r="S190" s="235" t="s">
        <v>352</v>
      </c>
      <c r="T190">
        <v>3</v>
      </c>
      <c r="U190">
        <v>2</v>
      </c>
    </row>
    <row r="191" spans="19:21" x14ac:dyDescent="0.25">
      <c r="S191" s="231">
        <v>64</v>
      </c>
      <c r="T191">
        <v>2</v>
      </c>
      <c r="U191">
        <v>0</v>
      </c>
    </row>
    <row r="192" spans="19:21" x14ac:dyDescent="0.25">
      <c r="S192" s="234" t="s">
        <v>361</v>
      </c>
      <c r="T192">
        <v>2</v>
      </c>
      <c r="U192">
        <v>0</v>
      </c>
    </row>
    <row r="193" spans="19:21" x14ac:dyDescent="0.25">
      <c r="S193" s="235" t="s">
        <v>381</v>
      </c>
      <c r="T193">
        <v>2</v>
      </c>
      <c r="U193">
        <v>0</v>
      </c>
    </row>
    <row r="194" spans="19:21" x14ac:dyDescent="0.25">
      <c r="S194" s="231">
        <v>65</v>
      </c>
      <c r="T194">
        <v>3</v>
      </c>
      <c r="U194">
        <v>0</v>
      </c>
    </row>
    <row r="195" spans="19:21" x14ac:dyDescent="0.25">
      <c r="S195" s="234" t="s">
        <v>363</v>
      </c>
      <c r="T195">
        <v>3</v>
      </c>
      <c r="U195">
        <v>0</v>
      </c>
    </row>
    <row r="196" spans="19:21" x14ac:dyDescent="0.25">
      <c r="S196" s="235" t="s">
        <v>389</v>
      </c>
      <c r="T196">
        <v>3</v>
      </c>
      <c r="U196">
        <v>0</v>
      </c>
    </row>
    <row r="197" spans="19:21" x14ac:dyDescent="0.25">
      <c r="S197" s="231">
        <v>66</v>
      </c>
      <c r="T197">
        <v>0</v>
      </c>
      <c r="U197">
        <v>0</v>
      </c>
    </row>
    <row r="198" spans="19:21" x14ac:dyDescent="0.25">
      <c r="S198" s="234" t="s">
        <v>390</v>
      </c>
      <c r="T198">
        <v>0</v>
      </c>
      <c r="U198">
        <v>0</v>
      </c>
    </row>
    <row r="199" spans="19:21" x14ac:dyDescent="0.25">
      <c r="S199" s="235" t="s">
        <v>357</v>
      </c>
      <c r="T199">
        <v>0</v>
      </c>
      <c r="U199">
        <v>0</v>
      </c>
    </row>
    <row r="200" spans="19:21" x14ac:dyDescent="0.25">
      <c r="S200" s="231">
        <v>67</v>
      </c>
      <c r="T200">
        <v>1</v>
      </c>
      <c r="U200">
        <v>2</v>
      </c>
    </row>
    <row r="201" spans="19:21" x14ac:dyDescent="0.25">
      <c r="S201" s="234" t="s">
        <v>355</v>
      </c>
      <c r="T201">
        <v>1</v>
      </c>
      <c r="U201">
        <v>2</v>
      </c>
    </row>
    <row r="202" spans="19:21" x14ac:dyDescent="0.25">
      <c r="S202" s="235" t="s">
        <v>350</v>
      </c>
      <c r="T202">
        <v>1</v>
      </c>
      <c r="U202">
        <v>2</v>
      </c>
    </row>
    <row r="203" spans="19:21" x14ac:dyDescent="0.25">
      <c r="S203" s="231">
        <v>68</v>
      </c>
      <c r="T203">
        <v>1</v>
      </c>
      <c r="U203">
        <v>0</v>
      </c>
    </row>
    <row r="204" spans="19:21" x14ac:dyDescent="0.25">
      <c r="S204" s="234" t="s">
        <v>352</v>
      </c>
      <c r="T204">
        <v>1</v>
      </c>
      <c r="U204">
        <v>0</v>
      </c>
    </row>
    <row r="205" spans="19:21" x14ac:dyDescent="0.25">
      <c r="S205" s="235" t="s">
        <v>359</v>
      </c>
      <c r="T205">
        <v>1</v>
      </c>
      <c r="U205">
        <v>0</v>
      </c>
    </row>
    <row r="206" spans="19:21" x14ac:dyDescent="0.25">
      <c r="S206" s="231">
        <v>69</v>
      </c>
      <c r="T206">
        <v>0</v>
      </c>
      <c r="U206">
        <v>1</v>
      </c>
    </row>
    <row r="207" spans="19:21" x14ac:dyDescent="0.25">
      <c r="S207" s="234" t="s">
        <v>351</v>
      </c>
      <c r="T207">
        <v>0</v>
      </c>
      <c r="U207">
        <v>1</v>
      </c>
    </row>
    <row r="208" spans="19:21" x14ac:dyDescent="0.25">
      <c r="S208" s="235" t="s">
        <v>353</v>
      </c>
      <c r="T208">
        <v>0</v>
      </c>
      <c r="U208">
        <v>1</v>
      </c>
    </row>
    <row r="209" spans="19:21" x14ac:dyDescent="0.25">
      <c r="S209" s="231">
        <v>70</v>
      </c>
      <c r="T209">
        <v>2</v>
      </c>
      <c r="U209">
        <v>0</v>
      </c>
    </row>
    <row r="210" spans="19:21" x14ac:dyDescent="0.25">
      <c r="S210" s="234" t="s">
        <v>388</v>
      </c>
      <c r="T210">
        <v>2</v>
      </c>
      <c r="U210">
        <v>0</v>
      </c>
    </row>
    <row r="211" spans="19:21" x14ac:dyDescent="0.25">
      <c r="S211" s="235" t="s">
        <v>387</v>
      </c>
      <c r="T211">
        <v>2</v>
      </c>
      <c r="U211">
        <v>0</v>
      </c>
    </row>
    <row r="212" spans="19:21" x14ac:dyDescent="0.25">
      <c r="S212" s="231">
        <v>71</v>
      </c>
      <c r="T212">
        <v>0</v>
      </c>
      <c r="U212">
        <v>0</v>
      </c>
    </row>
    <row r="213" spans="19:21" x14ac:dyDescent="0.25">
      <c r="S213" s="234" t="s">
        <v>358</v>
      </c>
      <c r="T213">
        <v>0</v>
      </c>
      <c r="U213">
        <v>0</v>
      </c>
    </row>
    <row r="214" spans="19:21" x14ac:dyDescent="0.25">
      <c r="S214" s="235" t="s">
        <v>362</v>
      </c>
      <c r="T214">
        <v>0</v>
      </c>
      <c r="U214">
        <v>0</v>
      </c>
    </row>
    <row r="215" spans="19:21" x14ac:dyDescent="0.25">
      <c r="S215" s="231">
        <v>72</v>
      </c>
      <c r="T215">
        <v>4</v>
      </c>
      <c r="U215">
        <v>1</v>
      </c>
    </row>
    <row r="216" spans="19:21" x14ac:dyDescent="0.25">
      <c r="S216" s="234" t="s">
        <v>389</v>
      </c>
      <c r="T216">
        <v>4</v>
      </c>
      <c r="U216">
        <v>1</v>
      </c>
    </row>
    <row r="217" spans="19:21" x14ac:dyDescent="0.25">
      <c r="S217" s="235" t="s">
        <v>356</v>
      </c>
      <c r="T217">
        <v>4</v>
      </c>
      <c r="U217">
        <v>1</v>
      </c>
    </row>
    <row r="218" spans="19:21" x14ac:dyDescent="0.25">
      <c r="S218" s="231">
        <v>73</v>
      </c>
      <c r="T218">
        <v>2</v>
      </c>
      <c r="U218">
        <v>1</v>
      </c>
    </row>
    <row r="219" spans="19:21" x14ac:dyDescent="0.25">
      <c r="S219" s="234" t="s">
        <v>360</v>
      </c>
      <c r="T219">
        <v>2</v>
      </c>
      <c r="U219">
        <v>1</v>
      </c>
    </row>
    <row r="220" spans="19:21" x14ac:dyDescent="0.25">
      <c r="S220" s="235" t="s">
        <v>361</v>
      </c>
      <c r="T220">
        <v>2</v>
      </c>
      <c r="U220">
        <v>1</v>
      </c>
    </row>
    <row r="221" spans="19:21" x14ac:dyDescent="0.25">
      <c r="S221" s="231">
        <v>74</v>
      </c>
      <c r="T221">
        <v>2</v>
      </c>
      <c r="U221">
        <v>0</v>
      </c>
    </row>
    <row r="222" spans="19:21" x14ac:dyDescent="0.25">
      <c r="S222" s="234" t="s">
        <v>354</v>
      </c>
      <c r="T222">
        <v>2</v>
      </c>
      <c r="U222">
        <v>0</v>
      </c>
    </row>
    <row r="223" spans="19:21" x14ac:dyDescent="0.25">
      <c r="S223" s="235" t="s">
        <v>390</v>
      </c>
      <c r="T223">
        <v>2</v>
      </c>
      <c r="U223">
        <v>0</v>
      </c>
    </row>
    <row r="224" spans="19:21" x14ac:dyDescent="0.25">
      <c r="S224" s="231">
        <v>75</v>
      </c>
      <c r="T224">
        <v>1</v>
      </c>
      <c r="U224">
        <v>0</v>
      </c>
    </row>
    <row r="225" spans="19:21" x14ac:dyDescent="0.25">
      <c r="S225" s="234" t="s">
        <v>381</v>
      </c>
      <c r="T225">
        <v>1</v>
      </c>
      <c r="U225">
        <v>0</v>
      </c>
    </row>
    <row r="226" spans="19:21" x14ac:dyDescent="0.25">
      <c r="S226" s="235" t="s">
        <v>382</v>
      </c>
      <c r="T226">
        <v>1</v>
      </c>
      <c r="U226">
        <v>0</v>
      </c>
    </row>
    <row r="227" spans="19:21" x14ac:dyDescent="0.25">
      <c r="S227" s="231">
        <v>76</v>
      </c>
      <c r="T227">
        <v>1</v>
      </c>
      <c r="U227">
        <v>1</v>
      </c>
    </row>
    <row r="228" spans="19:21" x14ac:dyDescent="0.25">
      <c r="S228" s="234" t="s">
        <v>357</v>
      </c>
      <c r="T228">
        <v>1</v>
      </c>
      <c r="U228">
        <v>1</v>
      </c>
    </row>
    <row r="229" spans="19:21" x14ac:dyDescent="0.25">
      <c r="S229" s="235" t="s">
        <v>363</v>
      </c>
      <c r="T229">
        <v>1</v>
      </c>
      <c r="U229">
        <v>1</v>
      </c>
    </row>
    <row r="230" spans="19:21" x14ac:dyDescent="0.25">
      <c r="S230" s="231">
        <v>77</v>
      </c>
      <c r="T230">
        <v>4</v>
      </c>
      <c r="U230">
        <v>1</v>
      </c>
    </row>
    <row r="231" spans="19:21" x14ac:dyDescent="0.25">
      <c r="S231" s="234" t="s">
        <v>388</v>
      </c>
      <c r="T231">
        <v>4</v>
      </c>
      <c r="U231">
        <v>1</v>
      </c>
    </row>
    <row r="232" spans="19:21" x14ac:dyDescent="0.25">
      <c r="S232" s="235" t="s">
        <v>350</v>
      </c>
      <c r="T232">
        <v>4</v>
      </c>
      <c r="U232">
        <v>1</v>
      </c>
    </row>
    <row r="233" spans="19:21" x14ac:dyDescent="0.25">
      <c r="S233" s="231">
        <v>78</v>
      </c>
      <c r="T233">
        <v>3</v>
      </c>
      <c r="U233">
        <v>2</v>
      </c>
    </row>
    <row r="234" spans="19:21" x14ac:dyDescent="0.25">
      <c r="S234" s="234" t="s">
        <v>350</v>
      </c>
      <c r="T234">
        <v>3</v>
      </c>
      <c r="U234">
        <v>2</v>
      </c>
    </row>
    <row r="235" spans="19:21" x14ac:dyDescent="0.25">
      <c r="S235" s="235" t="s">
        <v>382</v>
      </c>
      <c r="T235">
        <v>3</v>
      </c>
      <c r="U235">
        <v>2</v>
      </c>
    </row>
    <row r="236" spans="19:21" x14ac:dyDescent="0.25">
      <c r="S236" s="231">
        <v>79</v>
      </c>
      <c r="T236">
        <v>1</v>
      </c>
      <c r="U236">
        <v>1</v>
      </c>
    </row>
    <row r="237" spans="19:21" x14ac:dyDescent="0.25">
      <c r="S237" s="234" t="s">
        <v>354</v>
      </c>
      <c r="T237">
        <v>1</v>
      </c>
      <c r="U237">
        <v>1</v>
      </c>
    </row>
    <row r="238" spans="19:21" x14ac:dyDescent="0.25">
      <c r="S238" s="235" t="s">
        <v>351</v>
      </c>
      <c r="T238">
        <v>1</v>
      </c>
      <c r="U238">
        <v>1</v>
      </c>
    </row>
    <row r="239" spans="19:21" x14ac:dyDescent="0.25">
      <c r="S239" s="231">
        <v>80</v>
      </c>
      <c r="T239">
        <v>3</v>
      </c>
      <c r="U239">
        <v>0</v>
      </c>
    </row>
    <row r="240" spans="19:21" x14ac:dyDescent="0.25">
      <c r="S240" s="234" t="s">
        <v>356</v>
      </c>
      <c r="T240">
        <v>3</v>
      </c>
      <c r="U240">
        <v>0</v>
      </c>
    </row>
    <row r="241" spans="19:21" x14ac:dyDescent="0.25">
      <c r="S241" s="235" t="s">
        <v>388</v>
      </c>
      <c r="T241">
        <v>3</v>
      </c>
      <c r="U241">
        <v>0</v>
      </c>
    </row>
    <row r="242" spans="19:21" x14ac:dyDescent="0.25">
      <c r="S242" s="231">
        <v>81</v>
      </c>
      <c r="T242">
        <v>3</v>
      </c>
      <c r="U242">
        <v>0</v>
      </c>
    </row>
    <row r="243" spans="19:21" x14ac:dyDescent="0.25">
      <c r="S243" s="234" t="s">
        <v>358</v>
      </c>
      <c r="T243">
        <v>3</v>
      </c>
      <c r="U243">
        <v>0</v>
      </c>
    </row>
    <row r="244" spans="19:21" x14ac:dyDescent="0.25">
      <c r="S244" s="235" t="s">
        <v>381</v>
      </c>
      <c r="T244">
        <v>3</v>
      </c>
      <c r="U244">
        <v>0</v>
      </c>
    </row>
    <row r="245" spans="19:21" x14ac:dyDescent="0.25">
      <c r="S245" s="231">
        <v>82</v>
      </c>
      <c r="T245">
        <v>1</v>
      </c>
      <c r="U245">
        <v>1</v>
      </c>
    </row>
    <row r="246" spans="19:21" x14ac:dyDescent="0.25">
      <c r="S246" s="234" t="s">
        <v>387</v>
      </c>
      <c r="T246">
        <v>1</v>
      </c>
      <c r="U246">
        <v>1</v>
      </c>
    </row>
    <row r="247" spans="19:21" x14ac:dyDescent="0.25">
      <c r="S247" s="235" t="s">
        <v>360</v>
      </c>
      <c r="T247">
        <v>1</v>
      </c>
      <c r="U247">
        <v>1</v>
      </c>
    </row>
    <row r="248" spans="19:21" x14ac:dyDescent="0.25">
      <c r="S248" s="231">
        <v>83</v>
      </c>
      <c r="T248">
        <v>3</v>
      </c>
      <c r="U248">
        <v>1</v>
      </c>
    </row>
    <row r="249" spans="19:21" x14ac:dyDescent="0.25">
      <c r="S249" s="234" t="s">
        <v>352</v>
      </c>
      <c r="T249">
        <v>3</v>
      </c>
      <c r="U249">
        <v>1</v>
      </c>
    </row>
    <row r="250" spans="19:21" x14ac:dyDescent="0.25">
      <c r="S250" s="235" t="s">
        <v>357</v>
      </c>
      <c r="T250">
        <v>3</v>
      </c>
      <c r="U250">
        <v>1</v>
      </c>
    </row>
    <row r="251" spans="19:21" x14ac:dyDescent="0.25">
      <c r="S251" s="231">
        <v>84</v>
      </c>
      <c r="T251">
        <v>0</v>
      </c>
      <c r="U251">
        <v>4</v>
      </c>
    </row>
    <row r="252" spans="19:21" x14ac:dyDescent="0.25">
      <c r="S252" s="234" t="s">
        <v>390</v>
      </c>
      <c r="T252">
        <v>0</v>
      </c>
      <c r="U252">
        <v>4</v>
      </c>
    </row>
    <row r="253" spans="19:21" x14ac:dyDescent="0.25">
      <c r="S253" s="235" t="s">
        <v>359</v>
      </c>
      <c r="T253">
        <v>0</v>
      </c>
      <c r="U253">
        <v>4</v>
      </c>
    </row>
    <row r="254" spans="19:21" x14ac:dyDescent="0.25">
      <c r="S254" s="231">
        <v>85</v>
      </c>
      <c r="T254">
        <v>2</v>
      </c>
      <c r="U254">
        <v>0</v>
      </c>
    </row>
    <row r="255" spans="19:21" x14ac:dyDescent="0.25">
      <c r="S255" s="234" t="s">
        <v>362</v>
      </c>
      <c r="T255">
        <v>2</v>
      </c>
      <c r="U255">
        <v>0</v>
      </c>
    </row>
    <row r="256" spans="19:21" x14ac:dyDescent="0.25">
      <c r="S256" s="235" t="s">
        <v>389</v>
      </c>
      <c r="T256">
        <v>2</v>
      </c>
      <c r="U256">
        <v>0</v>
      </c>
    </row>
    <row r="257" spans="19:21" x14ac:dyDescent="0.25">
      <c r="S257" s="231">
        <v>86</v>
      </c>
      <c r="T257">
        <v>3</v>
      </c>
      <c r="U257">
        <v>0</v>
      </c>
    </row>
    <row r="258" spans="19:21" x14ac:dyDescent="0.25">
      <c r="S258" s="234" t="s">
        <v>355</v>
      </c>
      <c r="T258">
        <v>3</v>
      </c>
      <c r="U258">
        <v>0</v>
      </c>
    </row>
    <row r="259" spans="19:21" x14ac:dyDescent="0.25">
      <c r="S259" s="235" t="s">
        <v>363</v>
      </c>
      <c r="T259">
        <v>3</v>
      </c>
      <c r="U259">
        <v>0</v>
      </c>
    </row>
    <row r="260" spans="19:21" x14ac:dyDescent="0.25">
      <c r="S260" s="231">
        <v>87</v>
      </c>
      <c r="T260">
        <v>2</v>
      </c>
      <c r="U260">
        <v>1</v>
      </c>
    </row>
    <row r="261" spans="19:21" x14ac:dyDescent="0.25">
      <c r="S261" s="234" t="s">
        <v>353</v>
      </c>
      <c r="T261">
        <v>2</v>
      </c>
      <c r="U261">
        <v>1</v>
      </c>
    </row>
    <row r="262" spans="19:21" x14ac:dyDescent="0.25">
      <c r="S262" s="235" t="s">
        <v>361</v>
      </c>
      <c r="T262">
        <v>2</v>
      </c>
      <c r="U262">
        <v>1</v>
      </c>
    </row>
    <row r="263" spans="19:21" x14ac:dyDescent="0.25">
      <c r="S263" s="231">
        <v>88</v>
      </c>
      <c r="T263">
        <v>4</v>
      </c>
      <c r="U263">
        <v>1</v>
      </c>
    </row>
    <row r="264" spans="19:21" x14ac:dyDescent="0.25">
      <c r="S264" s="234" t="s">
        <v>351</v>
      </c>
      <c r="T264">
        <v>4</v>
      </c>
      <c r="U264">
        <v>1</v>
      </c>
    </row>
    <row r="265" spans="19:21" x14ac:dyDescent="0.25">
      <c r="S265" s="235" t="s">
        <v>358</v>
      </c>
      <c r="T265">
        <v>4</v>
      </c>
      <c r="U265">
        <v>1</v>
      </c>
    </row>
    <row r="266" spans="19:21" x14ac:dyDescent="0.25">
      <c r="S266" s="231">
        <v>89</v>
      </c>
      <c r="T266">
        <v>1</v>
      </c>
      <c r="U266">
        <v>1</v>
      </c>
    </row>
    <row r="267" spans="19:21" x14ac:dyDescent="0.25">
      <c r="S267" s="234" t="s">
        <v>387</v>
      </c>
      <c r="T267">
        <v>1</v>
      </c>
      <c r="U267">
        <v>1</v>
      </c>
    </row>
    <row r="268" spans="19:21" x14ac:dyDescent="0.25">
      <c r="S268" s="235" t="s">
        <v>352</v>
      </c>
      <c r="T268">
        <v>1</v>
      </c>
      <c r="U268">
        <v>1</v>
      </c>
    </row>
    <row r="269" spans="19:21" x14ac:dyDescent="0.25">
      <c r="S269" s="231">
        <v>90</v>
      </c>
      <c r="T269">
        <v>1</v>
      </c>
      <c r="U269">
        <v>2</v>
      </c>
    </row>
    <row r="270" spans="19:21" x14ac:dyDescent="0.25">
      <c r="S270" s="234" t="s">
        <v>360</v>
      </c>
      <c r="T270">
        <v>1</v>
      </c>
      <c r="U270">
        <v>2</v>
      </c>
    </row>
    <row r="271" spans="19:21" x14ac:dyDescent="0.25">
      <c r="S271" s="235" t="s">
        <v>350</v>
      </c>
      <c r="T271">
        <v>1</v>
      </c>
      <c r="U271">
        <v>2</v>
      </c>
    </row>
    <row r="272" spans="19:21" x14ac:dyDescent="0.25">
      <c r="S272" s="231">
        <v>91</v>
      </c>
      <c r="T272">
        <v>1</v>
      </c>
      <c r="U272">
        <v>1</v>
      </c>
    </row>
    <row r="273" spans="19:21" x14ac:dyDescent="0.25">
      <c r="S273" s="234" t="s">
        <v>390</v>
      </c>
      <c r="T273">
        <v>1</v>
      </c>
      <c r="U273">
        <v>1</v>
      </c>
    </row>
    <row r="274" spans="19:21" x14ac:dyDescent="0.25">
      <c r="S274" s="235" t="s">
        <v>381</v>
      </c>
      <c r="T274">
        <v>1</v>
      </c>
      <c r="U274">
        <v>1</v>
      </c>
    </row>
    <row r="275" spans="19:21" x14ac:dyDescent="0.25">
      <c r="S275" s="231">
        <v>92</v>
      </c>
      <c r="T275">
        <v>2</v>
      </c>
      <c r="U275">
        <v>1</v>
      </c>
    </row>
    <row r="276" spans="19:21" x14ac:dyDescent="0.25">
      <c r="S276" s="234" t="s">
        <v>359</v>
      </c>
      <c r="T276">
        <v>2</v>
      </c>
      <c r="U276">
        <v>1</v>
      </c>
    </row>
    <row r="277" spans="19:21" x14ac:dyDescent="0.25">
      <c r="S277" s="235" t="s">
        <v>388</v>
      </c>
      <c r="T277">
        <v>2</v>
      </c>
      <c r="U277">
        <v>1</v>
      </c>
    </row>
    <row r="278" spans="19:21" x14ac:dyDescent="0.25">
      <c r="S278" s="231">
        <v>93</v>
      </c>
      <c r="T278">
        <v>3</v>
      </c>
      <c r="U278">
        <v>1</v>
      </c>
    </row>
    <row r="279" spans="19:21" x14ac:dyDescent="0.25">
      <c r="S279" s="234" t="s">
        <v>363</v>
      </c>
      <c r="T279">
        <v>3</v>
      </c>
      <c r="U279">
        <v>1</v>
      </c>
    </row>
    <row r="280" spans="19:21" x14ac:dyDescent="0.25">
      <c r="S280" s="235" t="s">
        <v>362</v>
      </c>
      <c r="T280">
        <v>3</v>
      </c>
      <c r="U280">
        <v>1</v>
      </c>
    </row>
    <row r="281" spans="19:21" x14ac:dyDescent="0.25">
      <c r="S281" s="231">
        <v>94</v>
      </c>
      <c r="T281">
        <v>1</v>
      </c>
      <c r="U281">
        <v>2</v>
      </c>
    </row>
    <row r="282" spans="19:21" x14ac:dyDescent="0.25">
      <c r="S282" s="234" t="s">
        <v>356</v>
      </c>
      <c r="T282">
        <v>1</v>
      </c>
      <c r="U282">
        <v>2</v>
      </c>
    </row>
    <row r="283" spans="19:21" x14ac:dyDescent="0.25">
      <c r="S283" s="235" t="s">
        <v>353</v>
      </c>
      <c r="T283">
        <v>1</v>
      </c>
      <c r="U283">
        <v>2</v>
      </c>
    </row>
    <row r="284" spans="19:21" x14ac:dyDescent="0.25">
      <c r="S284" s="231">
        <v>95</v>
      </c>
      <c r="T284">
        <v>0</v>
      </c>
      <c r="U284">
        <v>1</v>
      </c>
    </row>
    <row r="285" spans="19:21" x14ac:dyDescent="0.25">
      <c r="S285" s="234" t="s">
        <v>357</v>
      </c>
      <c r="T285">
        <v>0</v>
      </c>
      <c r="U285">
        <v>1</v>
      </c>
    </row>
    <row r="286" spans="19:21" x14ac:dyDescent="0.25">
      <c r="S286" s="235" t="s">
        <v>354</v>
      </c>
      <c r="T286">
        <v>0</v>
      </c>
      <c r="U286">
        <v>1</v>
      </c>
    </row>
    <row r="287" spans="19:21" x14ac:dyDescent="0.25">
      <c r="S287" s="231">
        <v>96</v>
      </c>
      <c r="T287">
        <v>0</v>
      </c>
      <c r="U287">
        <v>1</v>
      </c>
    </row>
    <row r="288" spans="19:21" x14ac:dyDescent="0.25">
      <c r="S288" s="234" t="s">
        <v>382</v>
      </c>
      <c r="T288">
        <v>0</v>
      </c>
      <c r="U288">
        <v>1</v>
      </c>
    </row>
    <row r="289" spans="19:21" x14ac:dyDescent="0.25">
      <c r="S289" s="235" t="s">
        <v>355</v>
      </c>
      <c r="T289">
        <v>0</v>
      </c>
      <c r="U289">
        <v>1</v>
      </c>
    </row>
    <row r="290" spans="19:21" x14ac:dyDescent="0.25">
      <c r="S290" s="231">
        <v>97</v>
      </c>
      <c r="T290">
        <v>0</v>
      </c>
      <c r="U290">
        <v>0</v>
      </c>
    </row>
    <row r="291" spans="19:21" x14ac:dyDescent="0.25">
      <c r="S291" s="234" t="s">
        <v>361</v>
      </c>
      <c r="T291">
        <v>0</v>
      </c>
      <c r="U291">
        <v>0</v>
      </c>
    </row>
    <row r="292" spans="19:21" x14ac:dyDescent="0.25">
      <c r="S292" s="235" t="s">
        <v>389</v>
      </c>
      <c r="T292">
        <v>0</v>
      </c>
      <c r="U292">
        <v>0</v>
      </c>
    </row>
    <row r="293" spans="19:21" x14ac:dyDescent="0.25">
      <c r="S293" s="231">
        <v>98</v>
      </c>
      <c r="T293">
        <v>1</v>
      </c>
      <c r="U293">
        <v>1</v>
      </c>
    </row>
    <row r="294" spans="19:21" x14ac:dyDescent="0.25">
      <c r="S294" s="234" t="s">
        <v>389</v>
      </c>
      <c r="T294">
        <v>1</v>
      </c>
      <c r="U294">
        <v>1</v>
      </c>
    </row>
    <row r="295" spans="19:21" x14ac:dyDescent="0.25">
      <c r="S295" s="235" t="s">
        <v>360</v>
      </c>
      <c r="T295">
        <v>1</v>
      </c>
      <c r="U295">
        <v>1</v>
      </c>
    </row>
    <row r="296" spans="19:21" x14ac:dyDescent="0.25">
      <c r="S296" s="231">
        <v>99</v>
      </c>
      <c r="T296">
        <v>2</v>
      </c>
      <c r="U296">
        <v>0</v>
      </c>
    </row>
    <row r="297" spans="19:21" x14ac:dyDescent="0.25">
      <c r="S297" s="234" t="s">
        <v>381</v>
      </c>
      <c r="T297">
        <v>2</v>
      </c>
      <c r="U297">
        <v>0</v>
      </c>
    </row>
    <row r="298" spans="19:21" x14ac:dyDescent="0.25">
      <c r="S298" s="235" t="s">
        <v>351</v>
      </c>
      <c r="T298">
        <v>2</v>
      </c>
      <c r="U298">
        <v>0</v>
      </c>
    </row>
    <row r="299" spans="19:21" x14ac:dyDescent="0.25">
      <c r="S299" s="231">
        <v>100</v>
      </c>
      <c r="T299">
        <v>1</v>
      </c>
      <c r="U299">
        <v>2</v>
      </c>
    </row>
    <row r="300" spans="19:21" x14ac:dyDescent="0.25">
      <c r="S300" s="234" t="s">
        <v>382</v>
      </c>
      <c r="T300">
        <v>1</v>
      </c>
      <c r="U300">
        <v>2</v>
      </c>
    </row>
    <row r="301" spans="19:21" x14ac:dyDescent="0.25">
      <c r="S301" s="235" t="s">
        <v>356</v>
      </c>
      <c r="T301">
        <v>1</v>
      </c>
      <c r="U301">
        <v>2</v>
      </c>
    </row>
    <row r="302" spans="19:21" x14ac:dyDescent="0.25">
      <c r="S302" s="231">
        <v>101</v>
      </c>
      <c r="T302">
        <v>1</v>
      </c>
      <c r="U302">
        <v>0</v>
      </c>
    </row>
    <row r="303" spans="19:21" x14ac:dyDescent="0.25">
      <c r="S303" s="234" t="s">
        <v>362</v>
      </c>
      <c r="T303">
        <v>1</v>
      </c>
      <c r="U303">
        <v>0</v>
      </c>
    </row>
    <row r="304" spans="19:21" x14ac:dyDescent="0.25">
      <c r="S304" s="235" t="s">
        <v>359</v>
      </c>
      <c r="T304">
        <v>1</v>
      </c>
      <c r="U304">
        <v>0</v>
      </c>
    </row>
    <row r="305" spans="19:21" x14ac:dyDescent="0.25">
      <c r="S305" s="231">
        <v>102</v>
      </c>
      <c r="T305">
        <v>0</v>
      </c>
      <c r="U305">
        <v>0</v>
      </c>
    </row>
    <row r="306" spans="19:21" x14ac:dyDescent="0.25">
      <c r="S306" s="234" t="s">
        <v>354</v>
      </c>
      <c r="T306">
        <v>0</v>
      </c>
      <c r="U306">
        <v>0</v>
      </c>
    </row>
    <row r="307" spans="19:21" x14ac:dyDescent="0.25">
      <c r="S307" s="235" t="s">
        <v>361</v>
      </c>
      <c r="T307">
        <v>0</v>
      </c>
      <c r="U307">
        <v>0</v>
      </c>
    </row>
    <row r="308" spans="19:21" x14ac:dyDescent="0.25">
      <c r="S308" s="231">
        <v>103</v>
      </c>
      <c r="T308">
        <v>2</v>
      </c>
      <c r="U308">
        <v>0</v>
      </c>
    </row>
    <row r="309" spans="19:21" x14ac:dyDescent="0.25">
      <c r="S309" s="234" t="s">
        <v>388</v>
      </c>
      <c r="T309">
        <v>2</v>
      </c>
      <c r="U309">
        <v>0</v>
      </c>
    </row>
    <row r="310" spans="19:21" x14ac:dyDescent="0.25">
      <c r="S310" s="235" t="s">
        <v>390</v>
      </c>
      <c r="T310">
        <v>2</v>
      </c>
      <c r="U310">
        <v>0</v>
      </c>
    </row>
    <row r="311" spans="19:21" x14ac:dyDescent="0.25">
      <c r="S311" s="231">
        <v>104</v>
      </c>
      <c r="T311">
        <v>2</v>
      </c>
      <c r="U311">
        <v>2</v>
      </c>
    </row>
    <row r="312" spans="19:21" x14ac:dyDescent="0.25">
      <c r="S312" s="234" t="s">
        <v>350</v>
      </c>
      <c r="T312">
        <v>2</v>
      </c>
      <c r="U312">
        <v>2</v>
      </c>
    </row>
    <row r="313" spans="19:21" x14ac:dyDescent="0.25">
      <c r="S313" s="235" t="s">
        <v>387</v>
      </c>
      <c r="T313">
        <v>2</v>
      </c>
      <c r="U313">
        <v>2</v>
      </c>
    </row>
    <row r="314" spans="19:21" x14ac:dyDescent="0.25">
      <c r="S314" s="231">
        <v>105</v>
      </c>
      <c r="T314">
        <v>1</v>
      </c>
      <c r="U314">
        <v>2</v>
      </c>
    </row>
    <row r="315" spans="19:21" x14ac:dyDescent="0.25">
      <c r="S315" s="234" t="s">
        <v>352</v>
      </c>
      <c r="T315">
        <v>1</v>
      </c>
      <c r="U315">
        <v>2</v>
      </c>
    </row>
    <row r="316" spans="19:21" x14ac:dyDescent="0.25">
      <c r="S316" s="235" t="s">
        <v>363</v>
      </c>
      <c r="T316">
        <v>1</v>
      </c>
      <c r="U316">
        <v>2</v>
      </c>
    </row>
    <row r="317" spans="19:21" x14ac:dyDescent="0.25">
      <c r="S317" s="231">
        <v>106</v>
      </c>
      <c r="T317">
        <v>0</v>
      </c>
      <c r="U317">
        <v>0</v>
      </c>
    </row>
    <row r="318" spans="19:21" x14ac:dyDescent="0.25">
      <c r="S318" s="234" t="s">
        <v>357</v>
      </c>
      <c r="T318">
        <v>0</v>
      </c>
      <c r="U318">
        <v>0</v>
      </c>
    </row>
    <row r="319" spans="19:21" x14ac:dyDescent="0.25">
      <c r="S319" s="235" t="s">
        <v>353</v>
      </c>
      <c r="T319">
        <v>0</v>
      </c>
      <c r="U319">
        <v>0</v>
      </c>
    </row>
    <row r="320" spans="19:21" x14ac:dyDescent="0.25">
      <c r="S320" s="231">
        <v>107</v>
      </c>
      <c r="T320">
        <v>2</v>
      </c>
      <c r="U320">
        <v>1</v>
      </c>
    </row>
    <row r="321" spans="19:21" x14ac:dyDescent="0.25">
      <c r="S321" s="234" t="s">
        <v>358</v>
      </c>
      <c r="T321">
        <v>2</v>
      </c>
      <c r="U321">
        <v>1</v>
      </c>
    </row>
    <row r="322" spans="19:21" x14ac:dyDescent="0.25">
      <c r="S322" s="235" t="s">
        <v>355</v>
      </c>
      <c r="T322">
        <v>2</v>
      </c>
      <c r="U322">
        <v>1</v>
      </c>
    </row>
    <row r="323" spans="19:21" x14ac:dyDescent="0.25">
      <c r="S323" s="231">
        <v>108</v>
      </c>
      <c r="T323">
        <v>1</v>
      </c>
      <c r="U323">
        <v>4</v>
      </c>
    </row>
    <row r="324" spans="19:21" x14ac:dyDescent="0.25">
      <c r="S324" s="234" t="s">
        <v>390</v>
      </c>
      <c r="T324">
        <v>1</v>
      </c>
      <c r="U324">
        <v>4</v>
      </c>
    </row>
    <row r="325" spans="19:21" x14ac:dyDescent="0.25">
      <c r="S325" s="235" t="s">
        <v>350</v>
      </c>
      <c r="T325">
        <v>1</v>
      </c>
      <c r="U325">
        <v>4</v>
      </c>
    </row>
    <row r="326" spans="19:21" x14ac:dyDescent="0.25">
      <c r="S326" s="231">
        <v>109</v>
      </c>
      <c r="T326">
        <v>2</v>
      </c>
      <c r="U326">
        <v>1</v>
      </c>
    </row>
    <row r="327" spans="19:21" x14ac:dyDescent="0.25">
      <c r="S327" s="234" t="s">
        <v>360</v>
      </c>
      <c r="T327">
        <v>2</v>
      </c>
      <c r="U327">
        <v>1</v>
      </c>
    </row>
    <row r="328" spans="19:21" x14ac:dyDescent="0.25">
      <c r="S328" s="235" t="s">
        <v>351</v>
      </c>
      <c r="T328">
        <v>2</v>
      </c>
      <c r="U328">
        <v>1</v>
      </c>
    </row>
    <row r="329" spans="19:21" x14ac:dyDescent="0.25">
      <c r="S329" s="231">
        <v>110</v>
      </c>
      <c r="T329">
        <v>0</v>
      </c>
      <c r="U329">
        <v>0</v>
      </c>
    </row>
    <row r="330" spans="19:21" x14ac:dyDescent="0.25">
      <c r="S330" s="234" t="s">
        <v>381</v>
      </c>
      <c r="T330">
        <v>0</v>
      </c>
      <c r="U330">
        <v>0</v>
      </c>
    </row>
    <row r="331" spans="19:21" x14ac:dyDescent="0.25">
      <c r="S331" s="235" t="s">
        <v>357</v>
      </c>
      <c r="T331">
        <v>0</v>
      </c>
      <c r="U331">
        <v>0</v>
      </c>
    </row>
    <row r="332" spans="19:21" x14ac:dyDescent="0.25">
      <c r="S332" s="231">
        <v>111</v>
      </c>
      <c r="T332">
        <v>2</v>
      </c>
      <c r="U332">
        <v>0</v>
      </c>
    </row>
    <row r="333" spans="19:21" x14ac:dyDescent="0.25">
      <c r="S333" s="234" t="s">
        <v>358</v>
      </c>
      <c r="T333">
        <v>2</v>
      </c>
      <c r="U333">
        <v>0</v>
      </c>
    </row>
    <row r="334" spans="19:21" x14ac:dyDescent="0.25">
      <c r="S334" s="235" t="s">
        <v>361</v>
      </c>
      <c r="T334">
        <v>2</v>
      </c>
      <c r="U334">
        <v>0</v>
      </c>
    </row>
    <row r="335" spans="19:21" x14ac:dyDescent="0.25">
      <c r="S335" s="231">
        <v>112</v>
      </c>
      <c r="T335">
        <v>1</v>
      </c>
      <c r="U335">
        <v>2</v>
      </c>
    </row>
    <row r="336" spans="19:21" x14ac:dyDescent="0.25">
      <c r="S336" s="234" t="s">
        <v>354</v>
      </c>
      <c r="T336">
        <v>1</v>
      </c>
      <c r="U336">
        <v>2</v>
      </c>
    </row>
    <row r="337" spans="19:21" x14ac:dyDescent="0.25">
      <c r="S337" s="235" t="s">
        <v>382</v>
      </c>
      <c r="T337">
        <v>1</v>
      </c>
      <c r="U337">
        <v>2</v>
      </c>
    </row>
    <row r="338" spans="19:21" x14ac:dyDescent="0.25">
      <c r="S338" s="231">
        <v>113</v>
      </c>
      <c r="T338">
        <v>2</v>
      </c>
      <c r="U338">
        <v>0</v>
      </c>
    </row>
    <row r="339" spans="19:21" x14ac:dyDescent="0.25">
      <c r="S339" s="234" t="s">
        <v>387</v>
      </c>
      <c r="T339">
        <v>2</v>
      </c>
      <c r="U339">
        <v>0</v>
      </c>
    </row>
    <row r="340" spans="19:21" x14ac:dyDescent="0.25">
      <c r="S340" s="235" t="s">
        <v>359</v>
      </c>
      <c r="T340">
        <v>2</v>
      </c>
      <c r="U340">
        <v>0</v>
      </c>
    </row>
    <row r="341" spans="19:21" x14ac:dyDescent="0.25">
      <c r="S341" s="231">
        <v>114</v>
      </c>
      <c r="T341">
        <v>2</v>
      </c>
      <c r="U341">
        <v>3</v>
      </c>
    </row>
    <row r="342" spans="19:21" x14ac:dyDescent="0.25">
      <c r="S342" s="234" t="s">
        <v>362</v>
      </c>
      <c r="T342">
        <v>2</v>
      </c>
      <c r="U342">
        <v>3</v>
      </c>
    </row>
    <row r="343" spans="19:21" x14ac:dyDescent="0.25">
      <c r="S343" s="235" t="s">
        <v>352</v>
      </c>
      <c r="T343">
        <v>2</v>
      </c>
      <c r="U343">
        <v>3</v>
      </c>
    </row>
    <row r="344" spans="19:21" x14ac:dyDescent="0.25">
      <c r="S344" s="231">
        <v>115</v>
      </c>
      <c r="T344">
        <v>4</v>
      </c>
      <c r="U344">
        <v>2</v>
      </c>
    </row>
    <row r="345" spans="19:21" x14ac:dyDescent="0.25">
      <c r="S345" s="234" t="s">
        <v>355</v>
      </c>
      <c r="T345">
        <v>4</v>
      </c>
      <c r="U345">
        <v>2</v>
      </c>
    </row>
    <row r="346" spans="19:21" x14ac:dyDescent="0.25">
      <c r="S346" s="235" t="s">
        <v>389</v>
      </c>
      <c r="T346">
        <v>4</v>
      </c>
      <c r="U346">
        <v>2</v>
      </c>
    </row>
    <row r="347" spans="19:21" x14ac:dyDescent="0.25">
      <c r="S347" s="231">
        <v>116</v>
      </c>
      <c r="T347">
        <v>1</v>
      </c>
      <c r="U347">
        <v>0</v>
      </c>
    </row>
    <row r="348" spans="19:21" x14ac:dyDescent="0.25">
      <c r="S348" s="234" t="s">
        <v>353</v>
      </c>
      <c r="T348">
        <v>1</v>
      </c>
      <c r="U348">
        <v>0</v>
      </c>
    </row>
    <row r="349" spans="19:21" x14ac:dyDescent="0.25">
      <c r="S349" s="235" t="s">
        <v>388</v>
      </c>
      <c r="T349">
        <v>1</v>
      </c>
      <c r="U349">
        <v>0</v>
      </c>
    </row>
    <row r="350" spans="19:21" x14ac:dyDescent="0.25">
      <c r="S350" s="231">
        <v>117</v>
      </c>
      <c r="T350">
        <v>2</v>
      </c>
      <c r="U350">
        <v>0</v>
      </c>
    </row>
    <row r="351" spans="19:21" x14ac:dyDescent="0.25">
      <c r="S351" s="234" t="s">
        <v>363</v>
      </c>
      <c r="T351">
        <v>2</v>
      </c>
      <c r="U351">
        <v>0</v>
      </c>
    </row>
    <row r="352" spans="19:21" x14ac:dyDescent="0.25">
      <c r="S352" s="235" t="s">
        <v>356</v>
      </c>
      <c r="T352">
        <v>2</v>
      </c>
      <c r="U352">
        <v>0</v>
      </c>
    </row>
    <row r="353" spans="19:21" x14ac:dyDescent="0.25">
      <c r="S353" s="231" t="s">
        <v>349</v>
      </c>
    </row>
    <row r="354" spans="19:21" x14ac:dyDescent="0.25">
      <c r="S354" s="234" t="s">
        <v>253</v>
      </c>
    </row>
    <row r="355" spans="19:21" x14ac:dyDescent="0.25">
      <c r="S355" s="235" t="s">
        <v>253</v>
      </c>
    </row>
    <row r="356" spans="19:21" x14ac:dyDescent="0.25">
      <c r="S356" s="231" t="s">
        <v>36</v>
      </c>
      <c r="T356">
        <v>184</v>
      </c>
      <c r="U356">
        <v>123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97DC-DA86-4EE4-A47A-F74B13F6EC92}">
  <sheetPr codeName="Planilha7"/>
  <dimension ref="A3:E47"/>
  <sheetViews>
    <sheetView topLeftCell="A3" zoomScaleNormal="100" workbookViewId="0">
      <selection activeCell="L36" sqref="L36"/>
    </sheetView>
  </sheetViews>
  <sheetFormatPr defaultRowHeight="15" x14ac:dyDescent="0.25"/>
  <cols>
    <col min="1" max="1" width="13.42578125" bestFit="1" customWidth="1"/>
    <col min="2" max="2" width="17" style="1" bestFit="1" customWidth="1"/>
    <col min="3" max="3" width="15.140625" style="1" bestFit="1" customWidth="1"/>
    <col min="4" max="4" width="17.28515625" style="1" bestFit="1" customWidth="1"/>
    <col min="5" max="5" width="10" style="2" bestFit="1" customWidth="1"/>
    <col min="6" max="6" width="10" bestFit="1" customWidth="1"/>
  </cols>
  <sheetData>
    <row r="3" spans="1:5" x14ac:dyDescent="0.25">
      <c r="A3" s="230" t="s">
        <v>340</v>
      </c>
      <c r="B3" s="1" t="s">
        <v>75</v>
      </c>
      <c r="C3" s="1" t="s">
        <v>128</v>
      </c>
      <c r="D3" s="1" t="s">
        <v>76</v>
      </c>
      <c r="E3" t="s">
        <v>301</v>
      </c>
    </row>
    <row r="4" spans="1:5" ht="15.75" thickBot="1" x14ac:dyDescent="0.3">
      <c r="A4" s="231" t="s">
        <v>365</v>
      </c>
      <c r="B4" s="1">
        <v>0.59999999999999987</v>
      </c>
      <c r="C4" s="1">
        <v>-3</v>
      </c>
      <c r="D4" s="1">
        <v>-2.5</v>
      </c>
      <c r="E4">
        <v>12</v>
      </c>
    </row>
    <row r="5" spans="1:5" x14ac:dyDescent="0.25">
      <c r="A5" s="231" t="s">
        <v>366</v>
      </c>
      <c r="B5" s="1">
        <v>-1.4999999999999987</v>
      </c>
      <c r="C5" s="1">
        <v>3.0000000000000009</v>
      </c>
      <c r="D5" s="1">
        <v>-7.75</v>
      </c>
      <c r="E5">
        <v>19</v>
      </c>
    </row>
    <row r="6" spans="1:5" x14ac:dyDescent="0.25">
      <c r="A6" s="231" t="s">
        <v>367</v>
      </c>
      <c r="B6" s="1">
        <v>2.08</v>
      </c>
      <c r="C6" s="1">
        <v>-7</v>
      </c>
      <c r="D6" s="1">
        <v>-1.37</v>
      </c>
      <c r="E6">
        <v>14</v>
      </c>
    </row>
    <row r="7" spans="1:5" x14ac:dyDescent="0.25">
      <c r="A7" s="231" t="s">
        <v>368</v>
      </c>
      <c r="B7" s="1">
        <v>2.6899999999999986</v>
      </c>
      <c r="C7" s="1">
        <v>-5</v>
      </c>
      <c r="D7" s="1">
        <v>-3.3999999999999995</v>
      </c>
      <c r="E7">
        <v>15</v>
      </c>
    </row>
    <row r="8" spans="1:5" x14ac:dyDescent="0.25">
      <c r="A8" s="231" t="s">
        <v>369</v>
      </c>
      <c r="B8" s="1">
        <v>-2.2499999999999996</v>
      </c>
      <c r="C8" s="1">
        <v>-5.5</v>
      </c>
      <c r="D8" s="1">
        <v>5.5</v>
      </c>
      <c r="E8">
        <v>15</v>
      </c>
    </row>
    <row r="9" spans="1:5" x14ac:dyDescent="0.25">
      <c r="A9" s="231" t="s">
        <v>370</v>
      </c>
      <c r="B9" s="1">
        <v>4.5399999999999991</v>
      </c>
      <c r="C9" s="1">
        <v>-4</v>
      </c>
      <c r="D9" s="1">
        <v>-3.8</v>
      </c>
      <c r="E9">
        <v>7</v>
      </c>
    </row>
    <row r="10" spans="1:5" x14ac:dyDescent="0.25">
      <c r="A10" s="231" t="s">
        <v>371</v>
      </c>
      <c r="B10" s="1">
        <v>-6.43</v>
      </c>
      <c r="C10" s="1">
        <v>3.2</v>
      </c>
      <c r="D10" s="1">
        <v>2.5500000000000007</v>
      </c>
      <c r="E10">
        <v>9</v>
      </c>
    </row>
    <row r="11" spans="1:5" x14ac:dyDescent="0.25">
      <c r="A11" s="231" t="s">
        <v>372</v>
      </c>
      <c r="B11" s="1">
        <v>-5</v>
      </c>
      <c r="C11" s="1">
        <v>7.8</v>
      </c>
      <c r="D11" s="1">
        <v>-2.1800000000000002</v>
      </c>
      <c r="E11">
        <v>5</v>
      </c>
    </row>
    <row r="12" spans="1:5" x14ac:dyDescent="0.25">
      <c r="A12" s="231" t="s">
        <v>373</v>
      </c>
      <c r="B12" s="1">
        <v>5</v>
      </c>
      <c r="C12" s="1">
        <v>-0.89999999999999991</v>
      </c>
      <c r="D12" s="1">
        <v>-4</v>
      </c>
      <c r="E12">
        <v>4</v>
      </c>
    </row>
    <row r="13" spans="1:5" x14ac:dyDescent="0.25">
      <c r="A13" s="231" t="s">
        <v>374</v>
      </c>
      <c r="B13" s="1">
        <v>-2.9</v>
      </c>
      <c r="C13" s="1">
        <v>3.5</v>
      </c>
      <c r="D13" s="1">
        <v>-1.4</v>
      </c>
      <c r="E13">
        <v>6</v>
      </c>
    </row>
    <row r="14" spans="1:5" x14ac:dyDescent="0.25">
      <c r="A14" s="231" t="s">
        <v>375</v>
      </c>
      <c r="B14" s="1">
        <v>-3</v>
      </c>
      <c r="C14" s="1">
        <v>3.2</v>
      </c>
      <c r="D14" s="1">
        <v>-0.79999999999999982</v>
      </c>
      <c r="E14">
        <v>3</v>
      </c>
    </row>
    <row r="15" spans="1:5" x14ac:dyDescent="0.25">
      <c r="A15" s="231" t="s">
        <v>391</v>
      </c>
      <c r="B15" s="1">
        <v>7.1999999999999993</v>
      </c>
      <c r="C15" s="1">
        <v>-4</v>
      </c>
      <c r="D15" s="1">
        <v>-2.04</v>
      </c>
      <c r="E15">
        <v>4</v>
      </c>
    </row>
    <row r="16" spans="1:5" x14ac:dyDescent="0.25">
      <c r="A16" s="231" t="s">
        <v>392</v>
      </c>
      <c r="B16" s="1">
        <v>-1</v>
      </c>
      <c r="C16" s="1">
        <v>-1</v>
      </c>
      <c r="D16" s="1">
        <v>0.8600000000000001</v>
      </c>
      <c r="E16">
        <v>1</v>
      </c>
    </row>
    <row r="17" spans="1:5" x14ac:dyDescent="0.25">
      <c r="A17" s="231" t="s">
        <v>393</v>
      </c>
      <c r="B17" s="1">
        <v>-1</v>
      </c>
      <c r="C17" s="1">
        <v>-1</v>
      </c>
      <c r="D17" s="1">
        <v>0.90999999999999992</v>
      </c>
      <c r="E17">
        <v>1</v>
      </c>
    </row>
    <row r="18" spans="1:5" x14ac:dyDescent="0.25">
      <c r="A18" s="231" t="s">
        <v>383</v>
      </c>
      <c r="B18" s="1">
        <v>-1</v>
      </c>
      <c r="C18" s="1">
        <v>-1</v>
      </c>
      <c r="D18" s="1">
        <v>0.57000000000000006</v>
      </c>
      <c r="E18">
        <v>1</v>
      </c>
    </row>
    <row r="19" spans="1:5" x14ac:dyDescent="0.25">
      <c r="A19" s="231" t="s">
        <v>36</v>
      </c>
      <c r="B19" s="1">
        <v>-1.9700000000000015</v>
      </c>
      <c r="C19" s="1">
        <v>-11.700000000000001</v>
      </c>
      <c r="D19" s="1">
        <v>-18.850000000000001</v>
      </c>
      <c r="E19">
        <v>116</v>
      </c>
    </row>
    <row r="20" spans="1:5" x14ac:dyDescent="0.25">
      <c r="B20"/>
      <c r="C20"/>
      <c r="D20"/>
      <c r="E20"/>
    </row>
    <row r="21" spans="1:5" x14ac:dyDescent="0.25">
      <c r="B21"/>
      <c r="C21"/>
      <c r="D21"/>
      <c r="E21"/>
    </row>
    <row r="22" spans="1:5" x14ac:dyDescent="0.25">
      <c r="B22"/>
      <c r="C22"/>
      <c r="D22"/>
      <c r="E22"/>
    </row>
    <row r="23" spans="1:5" x14ac:dyDescent="0.25">
      <c r="B23"/>
      <c r="C23"/>
      <c r="D23"/>
      <c r="E23"/>
    </row>
    <row r="24" spans="1:5" x14ac:dyDescent="0.25">
      <c r="B24"/>
      <c r="C24"/>
      <c r="D24"/>
      <c r="E24"/>
    </row>
    <row r="25" spans="1:5" x14ac:dyDescent="0.25">
      <c r="B25"/>
      <c r="C25"/>
      <c r="D25"/>
      <c r="E25"/>
    </row>
    <row r="26" spans="1:5" x14ac:dyDescent="0.25">
      <c r="B26"/>
      <c r="C26"/>
      <c r="D26"/>
      <c r="E26"/>
    </row>
    <row r="27" spans="1:5" x14ac:dyDescent="0.25">
      <c r="B27"/>
      <c r="C27"/>
      <c r="D27"/>
      <c r="E27"/>
    </row>
    <row r="28" spans="1:5" x14ac:dyDescent="0.25">
      <c r="B28"/>
      <c r="C28"/>
      <c r="D28"/>
      <c r="E28"/>
    </row>
    <row r="29" spans="1:5" x14ac:dyDescent="0.25">
      <c r="B29"/>
      <c r="C29"/>
      <c r="D29"/>
      <c r="E29"/>
    </row>
    <row r="30" spans="1:5" x14ac:dyDescent="0.25">
      <c r="E30" s="1"/>
    </row>
    <row r="31" spans="1:5" x14ac:dyDescent="0.25">
      <c r="E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ht="15.75" thickBot="1" x14ac:dyDescent="0.3">
      <c r="E46" s="1"/>
    </row>
    <row r="47" spans="5:5" x14ac:dyDescent="0.25">
      <c r="E47" s="1"/>
    </row>
  </sheetData>
  <conditionalFormatting sqref="E1:E3 E30:E1048576">
    <cfRule type="colorScale" priority="8">
      <colorScale>
        <cfvo type="min"/>
        <cfvo type="percent" val="50"/>
        <cfvo type="max"/>
        <color rgb="FFF8696B"/>
        <color rgb="FFFFEB84"/>
        <color rgb="FF63BE7B"/>
      </colorScale>
    </cfRule>
  </conditionalFormatting>
  <conditionalFormatting pivot="1" sqref="B4:D14 B18:D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E24A-A287-41BA-AAC2-81CCDCC96C57}">
  <sheetPr codeName="Planilha1"/>
  <dimension ref="A1:DS1088"/>
  <sheetViews>
    <sheetView topLeftCell="AQ1" zoomScaleNormal="100" workbookViewId="0">
      <selection activeCell="A2" sqref="A2:I118"/>
    </sheetView>
  </sheetViews>
  <sheetFormatPr defaultRowHeight="15" x14ac:dyDescent="0.25"/>
  <cols>
    <col min="1" max="1" width="10.7109375" bestFit="1" customWidth="1"/>
    <col min="2" max="3" width="15.85546875" bestFit="1" customWidth="1"/>
    <col min="4" max="5" width="10.28515625" style="1" bestFit="1" customWidth="1"/>
    <col min="6" max="6" width="8.7109375" style="1" bestFit="1" customWidth="1"/>
    <col min="7" max="7" width="8.42578125" bestFit="1" customWidth="1"/>
    <col min="8" max="8" width="8.28515625" bestFit="1" customWidth="1"/>
    <col min="9" max="9" width="8.5703125" bestFit="1" customWidth="1"/>
    <col min="10" max="10" width="8.85546875" style="1" bestFit="1" customWidth="1"/>
    <col min="11" max="11" width="9" style="1" bestFit="1" customWidth="1"/>
    <col min="12" max="13" width="14.28515625" style="1" bestFit="1" customWidth="1"/>
    <col min="14" max="15" width="14.28515625" style="1" customWidth="1"/>
    <col min="16" max="16" width="9.85546875" style="1" bestFit="1" customWidth="1"/>
    <col min="17" max="17" width="10" style="1" bestFit="1" customWidth="1"/>
    <col min="18" max="18" width="13.42578125" style="1" bestFit="1" customWidth="1"/>
    <col min="19" max="19" width="13.5703125" style="1" bestFit="1" customWidth="1"/>
    <col min="20" max="20" width="11.5703125" style="1" bestFit="1" customWidth="1"/>
    <col min="21" max="21" width="12.7109375" style="1" bestFit="1" customWidth="1"/>
    <col min="22" max="22" width="12.85546875" style="1" bestFit="1" customWidth="1"/>
    <col min="23" max="28" width="10.140625" style="1" bestFit="1" customWidth="1"/>
    <col min="29" max="29" width="11.85546875" style="1" bestFit="1" customWidth="1"/>
    <col min="30" max="30" width="9.42578125" style="1" bestFit="1" customWidth="1"/>
    <col min="31" max="31" width="10" style="3" customWidth="1"/>
    <col min="32" max="33" width="7.28515625" bestFit="1" customWidth="1"/>
    <col min="34" max="34" width="7.42578125" bestFit="1" customWidth="1"/>
    <col min="35" max="35" width="8" bestFit="1" customWidth="1"/>
    <col min="36" max="36" width="8.140625" bestFit="1" customWidth="1"/>
    <col min="37" max="40" width="8.140625" customWidth="1"/>
    <col min="41" max="41" width="9.7109375" bestFit="1" customWidth="1"/>
    <col min="42" max="42" width="9.85546875" bestFit="1" customWidth="1"/>
    <col min="43" max="43" width="15.85546875" style="1" bestFit="1" customWidth="1"/>
    <col min="44" max="44" width="10.7109375" style="1" bestFit="1" customWidth="1"/>
    <col min="45" max="45" width="10.85546875" style="1" bestFit="1" customWidth="1"/>
    <col min="46" max="46" width="13.140625" style="1" bestFit="1" customWidth="1"/>
    <col min="47" max="47" width="13.28515625" style="1" bestFit="1" customWidth="1"/>
    <col min="48" max="48" width="13.140625" style="1" bestFit="1" customWidth="1"/>
    <col min="49" max="49" width="13.28515625" style="1" bestFit="1" customWidth="1"/>
    <col min="50" max="50" width="15.85546875" style="1" bestFit="1" customWidth="1"/>
    <col min="51" max="52" width="14.28515625" style="1" bestFit="1" customWidth="1"/>
    <col min="53" max="54" width="14.42578125" style="1" customWidth="1"/>
    <col min="55" max="55" width="15.85546875" style="1" bestFit="1" customWidth="1"/>
    <col min="56" max="56" width="12" style="1" bestFit="1" customWidth="1"/>
    <col min="57" max="57" width="10.140625" style="1" bestFit="1" customWidth="1"/>
    <col min="58" max="58" width="12.42578125" style="1" bestFit="1" customWidth="1"/>
    <col min="59" max="59" width="12.5703125" style="1" bestFit="1" customWidth="1"/>
    <col min="60" max="60" width="12.42578125" style="1" bestFit="1" customWidth="1"/>
    <col min="61" max="61" width="12.5703125" style="1" bestFit="1" customWidth="1"/>
    <col min="62" max="62" width="15.85546875" style="1" bestFit="1" customWidth="1"/>
    <col min="63" max="63" width="11" style="1" bestFit="1" customWidth="1"/>
    <col min="64" max="64" width="11.140625" style="1" bestFit="1" customWidth="1"/>
    <col min="65" max="65" width="13.42578125" style="1" bestFit="1" customWidth="1"/>
    <col min="66" max="66" width="13.5703125" style="1" bestFit="1" customWidth="1"/>
    <col min="67" max="67" width="13.42578125" style="1" bestFit="1" customWidth="1"/>
    <col min="68" max="68" width="13.5703125" style="1" bestFit="1" customWidth="1"/>
    <col min="69" max="69" width="15.85546875" style="1" bestFit="1" customWidth="1"/>
    <col min="70" max="70" width="10.85546875" style="1" bestFit="1" customWidth="1"/>
    <col min="71" max="71" width="11" style="1" bestFit="1" customWidth="1"/>
    <col min="72" max="72" width="10.85546875" style="1" bestFit="1" customWidth="1"/>
    <col min="73" max="73" width="11" style="1" bestFit="1" customWidth="1"/>
    <col min="74" max="74" width="13.28515625" style="1" bestFit="1" customWidth="1"/>
    <col min="75" max="75" width="13.42578125" style="1" customWidth="1"/>
    <col min="76" max="76" width="15.85546875" style="1" bestFit="1" customWidth="1"/>
    <col min="77" max="77" width="12.5703125" style="1" bestFit="1" customWidth="1"/>
    <col min="78" max="78" width="12.7109375" style="1" bestFit="1" customWidth="1"/>
    <col min="79" max="79" width="15" style="1" bestFit="1" customWidth="1"/>
    <col min="80" max="80" width="15.140625" style="1" bestFit="1" customWidth="1"/>
    <col min="81" max="81" width="15" style="1" bestFit="1" customWidth="1"/>
    <col min="82" max="82" width="15.140625" style="1" bestFit="1" customWidth="1"/>
    <col min="83" max="83" width="15.85546875" bestFit="1" customWidth="1"/>
    <col min="84" max="84" width="14.42578125" bestFit="1" customWidth="1"/>
    <col min="85" max="85" width="14.5703125" bestFit="1" customWidth="1"/>
    <col min="86" max="86" width="14.42578125" bestFit="1" customWidth="1"/>
    <col min="87" max="87" width="14.5703125" bestFit="1" customWidth="1"/>
    <col min="88" max="88" width="14.42578125" bestFit="1" customWidth="1"/>
    <col min="89" max="89" width="14.5703125" bestFit="1" customWidth="1"/>
    <col min="90" max="90" width="14.42578125" bestFit="1" customWidth="1"/>
    <col min="91" max="91" width="14.5703125" bestFit="1" customWidth="1"/>
    <col min="92" max="92" width="14.42578125" bestFit="1" customWidth="1"/>
    <col min="93" max="93" width="14.5703125" bestFit="1" customWidth="1"/>
    <col min="94" max="94" width="14.42578125" bestFit="1" customWidth="1"/>
    <col min="95" max="95" width="14.5703125" bestFit="1" customWidth="1"/>
    <col min="96" max="96" width="15.85546875" bestFit="1" customWidth="1"/>
    <col min="97" max="97" width="13" bestFit="1" customWidth="1"/>
    <col min="98" max="98" width="13.140625" bestFit="1" customWidth="1"/>
    <col min="99" max="99" width="15.85546875" bestFit="1" customWidth="1"/>
    <col min="100" max="105" width="12.28515625" customWidth="1"/>
    <col min="106" max="106" width="15.85546875" bestFit="1" customWidth="1"/>
    <col min="107" max="112" width="12.140625" customWidth="1"/>
    <col min="113" max="113" width="15.85546875" bestFit="1" customWidth="1"/>
    <col min="114" max="114" width="15.7109375" bestFit="1" customWidth="1"/>
    <col min="115" max="116" width="15.85546875" bestFit="1" customWidth="1"/>
    <col min="117" max="117" width="14.140625" bestFit="1" customWidth="1"/>
    <col min="118" max="118" width="14.28515625" bestFit="1" customWidth="1"/>
    <col min="119" max="119" width="12.7109375" bestFit="1" customWidth="1"/>
    <col min="120" max="120" width="12.85546875" bestFit="1" customWidth="1"/>
  </cols>
  <sheetData>
    <row r="1" spans="1:123" ht="15.75" thickBot="1" x14ac:dyDescent="0.3">
      <c r="A1" t="s">
        <v>34</v>
      </c>
      <c r="B1" t="s">
        <v>33</v>
      </c>
      <c r="C1" t="s">
        <v>32</v>
      </c>
      <c r="D1" s="1" t="s">
        <v>31</v>
      </c>
      <c r="E1" s="1" t="s">
        <v>30</v>
      </c>
      <c r="F1" s="1" t="s">
        <v>38</v>
      </c>
      <c r="G1" t="s">
        <v>68</v>
      </c>
      <c r="H1" t="s">
        <v>70</v>
      </c>
      <c r="I1" t="s">
        <v>69</v>
      </c>
      <c r="J1" s="1" t="s">
        <v>29</v>
      </c>
      <c r="K1" s="1" t="s">
        <v>28</v>
      </c>
      <c r="L1" s="1" t="s">
        <v>144</v>
      </c>
      <c r="M1" s="1" t="s">
        <v>145</v>
      </c>
      <c r="N1" s="1" t="s">
        <v>216</v>
      </c>
      <c r="O1" s="1" t="s">
        <v>217</v>
      </c>
      <c r="P1" s="1" t="s">
        <v>24</v>
      </c>
      <c r="Q1" s="1" t="s">
        <v>23</v>
      </c>
      <c r="R1" s="1" t="s">
        <v>63</v>
      </c>
      <c r="S1" s="1" t="s">
        <v>64</v>
      </c>
      <c r="T1" s="1" t="s">
        <v>71</v>
      </c>
      <c r="U1" s="1" t="s">
        <v>47</v>
      </c>
      <c r="V1" s="1" t="s">
        <v>48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49</v>
      </c>
      <c r="AD1" s="1" t="s">
        <v>54</v>
      </c>
      <c r="AE1" s="1" t="s">
        <v>55</v>
      </c>
      <c r="AF1" t="s">
        <v>58</v>
      </c>
      <c r="AG1" t="s">
        <v>59</v>
      </c>
      <c r="AH1" t="s">
        <v>60</v>
      </c>
      <c r="AI1" t="s">
        <v>56</v>
      </c>
      <c r="AJ1" t="s">
        <v>57</v>
      </c>
      <c r="AK1" t="s">
        <v>263</v>
      </c>
      <c r="AL1" t="s">
        <v>262</v>
      </c>
      <c r="AM1" t="s">
        <v>264</v>
      </c>
      <c r="AN1" t="s">
        <v>265</v>
      </c>
      <c r="AO1" t="s">
        <v>266</v>
      </c>
      <c r="AP1" t="s">
        <v>267</v>
      </c>
      <c r="AQ1" s="1" t="s">
        <v>27</v>
      </c>
      <c r="AR1" s="1" t="s">
        <v>26</v>
      </c>
      <c r="AS1" s="1" t="s">
        <v>25</v>
      </c>
      <c r="AT1" s="1" t="s">
        <v>324</v>
      </c>
      <c r="AU1" s="1" t="s">
        <v>325</v>
      </c>
      <c r="AV1" s="1" t="s">
        <v>326</v>
      </c>
      <c r="AW1" s="1" t="s">
        <v>327</v>
      </c>
      <c r="AX1" s="1" t="s">
        <v>50</v>
      </c>
      <c r="AY1" s="1" t="s">
        <v>22</v>
      </c>
      <c r="AZ1" s="1" t="s">
        <v>21</v>
      </c>
      <c r="BA1" s="1" t="s">
        <v>20</v>
      </c>
      <c r="BB1" s="1" t="s">
        <v>19</v>
      </c>
      <c r="BC1" s="1" t="s">
        <v>272</v>
      </c>
      <c r="BD1" s="1" t="s">
        <v>18</v>
      </c>
      <c r="BE1" s="1" t="s">
        <v>17</v>
      </c>
      <c r="BF1" s="1" t="s">
        <v>16</v>
      </c>
      <c r="BG1" s="1" t="s">
        <v>15</v>
      </c>
      <c r="BH1" s="1" t="s">
        <v>14</v>
      </c>
      <c r="BI1" s="1" t="s">
        <v>13</v>
      </c>
      <c r="BJ1" s="1" t="s">
        <v>6</v>
      </c>
      <c r="BK1" s="1" t="s">
        <v>12</v>
      </c>
      <c r="BL1" s="1" t="s">
        <v>11</v>
      </c>
      <c r="BM1" s="1" t="s">
        <v>10</v>
      </c>
      <c r="BN1" s="1" t="s">
        <v>9</v>
      </c>
      <c r="BO1" s="1" t="s">
        <v>8</v>
      </c>
      <c r="BP1" s="1" t="s">
        <v>7</v>
      </c>
      <c r="BQ1" s="1" t="s">
        <v>5</v>
      </c>
      <c r="BR1" s="1" t="s">
        <v>39</v>
      </c>
      <c r="BS1" s="1" t="s">
        <v>42</v>
      </c>
      <c r="BT1" s="1" t="s">
        <v>40</v>
      </c>
      <c r="BU1" s="1" t="s">
        <v>41</v>
      </c>
      <c r="BV1" s="1" t="s">
        <v>43</v>
      </c>
      <c r="BW1" s="1" t="s">
        <v>44</v>
      </c>
      <c r="BX1" s="1" t="s">
        <v>4</v>
      </c>
      <c r="BY1" s="1" t="s">
        <v>3</v>
      </c>
      <c r="BZ1" s="1" t="s">
        <v>2</v>
      </c>
      <c r="CA1" s="1" t="s">
        <v>45</v>
      </c>
      <c r="CB1" s="1" t="s">
        <v>46</v>
      </c>
      <c r="CC1" s="1" t="s">
        <v>1</v>
      </c>
      <c r="CD1" s="1" t="s">
        <v>0</v>
      </c>
      <c r="CE1" s="1" t="s">
        <v>273</v>
      </c>
      <c r="CF1" s="1" t="s">
        <v>176</v>
      </c>
      <c r="CG1" s="1" t="s">
        <v>177</v>
      </c>
      <c r="CH1" s="1" t="s">
        <v>178</v>
      </c>
      <c r="CI1" s="1" t="s">
        <v>179</v>
      </c>
      <c r="CJ1" s="1" t="s">
        <v>180</v>
      </c>
      <c r="CK1" s="1" t="s">
        <v>181</v>
      </c>
      <c r="CL1" s="1" t="s">
        <v>182</v>
      </c>
      <c r="CM1" s="1" t="s">
        <v>183</v>
      </c>
      <c r="CN1" s="1" t="s">
        <v>184</v>
      </c>
      <c r="CO1" s="1" t="s">
        <v>185</v>
      </c>
      <c r="CP1" s="1" t="s">
        <v>186</v>
      </c>
      <c r="CQ1" s="1" t="s">
        <v>187</v>
      </c>
      <c r="CR1" s="1" t="s">
        <v>274</v>
      </c>
      <c r="CS1" s="1" t="s">
        <v>52</v>
      </c>
      <c r="CT1" s="1" t="s">
        <v>53</v>
      </c>
      <c r="CU1" s="1" t="s">
        <v>275</v>
      </c>
      <c r="CV1" s="1" t="s">
        <v>189</v>
      </c>
      <c r="CW1" s="1" t="s">
        <v>188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276</v>
      </c>
      <c r="DC1" s="1" t="s">
        <v>260</v>
      </c>
      <c r="DD1" s="1" t="s">
        <v>261</v>
      </c>
      <c r="DE1" s="1" t="s">
        <v>268</v>
      </c>
      <c r="DF1" s="1" t="s">
        <v>269</v>
      </c>
      <c r="DG1" s="1" t="s">
        <v>270</v>
      </c>
      <c r="DH1" s="1" t="s">
        <v>271</v>
      </c>
      <c r="DI1" s="1" t="s">
        <v>277</v>
      </c>
      <c r="DJ1" s="1" t="s">
        <v>61</v>
      </c>
      <c r="DK1" s="1" t="s">
        <v>62</v>
      </c>
      <c r="DL1" s="1" t="s">
        <v>51</v>
      </c>
      <c r="DM1" s="1" t="s">
        <v>65</v>
      </c>
      <c r="DN1" s="1" t="s">
        <v>66</v>
      </c>
      <c r="DO1" s="1" t="s">
        <v>191</v>
      </c>
      <c r="DP1" s="1" t="s">
        <v>190</v>
      </c>
    </row>
    <row r="2" spans="1:123" x14ac:dyDescent="0.25">
      <c r="A2" s="4">
        <v>46050</v>
      </c>
      <c r="B2" t="s">
        <v>359</v>
      </c>
      <c r="C2" t="s">
        <v>353</v>
      </c>
      <c r="D2">
        <v>2</v>
      </c>
      <c r="E2">
        <v>2</v>
      </c>
      <c r="F2" t="s">
        <v>348</v>
      </c>
      <c r="G2">
        <v>3</v>
      </c>
      <c r="H2">
        <v>3.1</v>
      </c>
      <c r="I2">
        <v>2.5</v>
      </c>
      <c r="J2" s="68">
        <f>IF(A2="","",IF(F2="H",3,IF(F2="D",1,0)))</f>
        <v>1</v>
      </c>
      <c r="K2" s="68">
        <f>IF(A2="","",IF(F2="H",0,IF(F2="D",1,3)))</f>
        <v>1</v>
      </c>
      <c r="L2" s="69">
        <f>IF(A2="","",D2/I2)</f>
        <v>0.8</v>
      </c>
      <c r="M2" s="69">
        <f>IF(A2="","",E2/G2)</f>
        <v>0.66666666666666663</v>
      </c>
      <c r="N2" s="69">
        <f>IF(A2="","",Tabela1[[#This Row],[PTC]]*Tabela1[[#This Row],[ODDC]])</f>
        <v>3</v>
      </c>
      <c r="O2" s="69">
        <f>IF(A2="","",Tabela1[[#This Row],[PTV]]*Tabela1[[#This Row],[ODDV]])</f>
        <v>2.5</v>
      </c>
      <c r="P2" s="68">
        <f>IF(A2="","",D2-E2)</f>
        <v>0</v>
      </c>
      <c r="Q2" s="68">
        <f>IF(A2="","",E2-D2)</f>
        <v>0</v>
      </c>
      <c r="R2" s="68">
        <f>IF(A2="","",IF(F2="H",G2-1,-1))</f>
        <v>-1</v>
      </c>
      <c r="S2" s="68">
        <f>IF(A2="","",IF(F2="A",I2-1,-1))</f>
        <v>-1</v>
      </c>
      <c r="T2" s="68">
        <f>IF(A2="","",IF(F2="D",Tabela1[[#This Row],[ODDE]]-1,-1))</f>
        <v>2.1</v>
      </c>
      <c r="U2" s="70">
        <f>IF(A2="","",IF(AND(Tabela1[[#This Row],[FTHG]]&gt;3,F2="H"),1,0))</f>
        <v>0</v>
      </c>
      <c r="V2" s="70">
        <f>IF(A2="","",IF(AND(Tabela1[[#This Row],[FTAG]]&gt;3,F2="A"),1,0))</f>
        <v>0</v>
      </c>
      <c r="W2" s="70">
        <f>IF(A2="","",IF(D2+E2&gt;0,1,0))</f>
        <v>1</v>
      </c>
      <c r="X2" s="70">
        <f>IF(A2="","",IF(D2+E2&gt;1,1,0))</f>
        <v>1</v>
      </c>
      <c r="Y2" s="71">
        <f>IF(A2="","",IF(D2+E2&gt;2,1,0))</f>
        <v>1</v>
      </c>
      <c r="Z2" s="70">
        <f>IF(A2="","",IF(D2+E2&gt;3,1,0))</f>
        <v>1</v>
      </c>
      <c r="AA2" s="70">
        <f>IF(A2="","",IF(D2+E2&gt;4,1,0))</f>
        <v>0</v>
      </c>
      <c r="AB2" s="70">
        <f>IF(A2="","",IF(D2+E2&gt;5,1,0))</f>
        <v>0</v>
      </c>
      <c r="AC2" s="71">
        <f>IF(A2="","",IFERROR(IF(AND(D2&gt;0,E2&gt;0),1,0),0))</f>
        <v>1</v>
      </c>
      <c r="AD2" s="72" t="str">
        <f>IF(A2="","",UPPER(TEXT(A2,"MMM")))</f>
        <v>JAN</v>
      </c>
      <c r="AE2" s="73">
        <f>IF(A2="","",COUNT($N$2:N2))</f>
        <v>1</v>
      </c>
      <c r="AF2" s="74">
        <f>IF(A2="","",IF(F2="H",1,0))</f>
        <v>0</v>
      </c>
      <c r="AG2" s="74">
        <f>IF(A2="","",IF(F2="D",1,0))</f>
        <v>1</v>
      </c>
      <c r="AH2" s="74">
        <f>IF(A2="","",IF(F2="A",1,0))</f>
        <v>0</v>
      </c>
      <c r="AI2" s="74" t="str">
        <f>IF(A2="","",IF(G2&lt;1.21,"1,01-1,2",IF(G2&lt;1.41,"1,21-1,4",IF(G2&lt;1.71,"1,41-1,7",IF(G2&lt;2.01,"1,71-2,0",IF(G2&lt;2.41,"2,01-2,4",IF(G2&lt;3.01,"2,41-3,0",IF(G2&lt;4.01,"3,01-4.0",IF(G2&lt;5.51,"4,01-5,5",IF(G2&lt;9.01,"5,51-9,0",IF(G2&lt;16.01,"9,01-16","Z16-99")))))))))))</f>
        <v>2,41-3,0</v>
      </c>
      <c r="AJ2" s="74" t="str">
        <f>IF(A2="","",IF(I2&lt;1.21,"1,01-1,2",IF(I2&lt;1.41,"1,21-1,4",IF(I2&lt;1.71,"1,41-1,7",IF(I2&lt;2.01,"1,71-2,0",IF(I2&lt;2.41,"2,01-2,4",IF(I2&lt;3.01,"2,41-3,0",IF(I2&lt;4.01,"3,01-4.0",IF(I2&lt;5.51,"4,01-5,5",IF(I2&lt;9.01,"5,51-9,0",IF(I2&lt;16.01,"9,01-16","Z16-99")))))))))))</f>
        <v>2,41-3,0</v>
      </c>
      <c r="AK2" s="74">
        <f>IF(A2="","",1/Tabela1[[#This Row],[ODDC]])</f>
        <v>0.33333333333333331</v>
      </c>
      <c r="AL2" s="74">
        <f>IF(A2="","",1/Tabela1[[#This Row],[ODDE]])</f>
        <v>0.32258064516129031</v>
      </c>
      <c r="AM2" s="74">
        <f>IF(A2="","",1/Tabela1[[#This Row],[ODDV]])</f>
        <v>0.4</v>
      </c>
      <c r="AN2" s="74">
        <f>IF(A2="","",1-(Tabela1[[#This Row],[p(H)]]+Tabela1[[#This Row],[p(D)]]+Tabela1[[#This Row],[p(A)]]))</f>
        <v>-5.5913978494623651E-2</v>
      </c>
      <c r="AO2" s="74">
        <f>IF(A2="","",IFERROR(Tabela1[[#This Row],[p(H)]]/Tabela1[[#This Row],[FTHG]],1))</f>
        <v>0.16666666666666666</v>
      </c>
      <c r="AP2" s="74">
        <f>IF(A2="","",IFERROR(Tabela1[[#This Row],[p(A)]]/Tabela1[[#This Row],[FTAG]],1))</f>
        <v>0.2</v>
      </c>
      <c r="AQ2" s="244" t="s">
        <v>388</v>
      </c>
      <c r="AR2" s="75">
        <f>AVERAGEIF($B$2:$B$1203,Tabela2[[#This Row],[T]],$J$2:$J$1214)</f>
        <v>2.5</v>
      </c>
      <c r="AS2" s="75">
        <f>AVERAGEIF($C$2:$C$1203,Tabela2[[#This Row],[T]],$K$2:$K$1214)</f>
        <v>0.66666666666666663</v>
      </c>
      <c r="AT2" s="75">
        <f t="array" ref="AT2">_xlfn.STDEV.S(IF($B$2:$B$1203=Tabela2[[#This Row],[T]],$J$2:$J$1203))</f>
        <v>1.2247448713915889</v>
      </c>
      <c r="AU2" s="75">
        <f t="array" ref="AU2">_xlfn.STDEV.S(IF($C$2:$C$1203=Tabela2[[#This Row],[T]],$K$2:$K$1203))</f>
        <v>1.2110601416389968</v>
      </c>
      <c r="AV2" s="77">
        <f>Tabela2[[#This Row],[DPMPTC]]/Tabela2[[#This Row],[MPTC]]</f>
        <v>0.4898979485566356</v>
      </c>
      <c r="AW2" s="78">
        <f>Tabela2[[#This Row],[DPMPTV]]/Tabela2[[#This Row],[MPTV]]</f>
        <v>1.8165902124584952</v>
      </c>
      <c r="AX2" s="241" t="str">
        <f>Tabela2[[#This Row],[T]]</f>
        <v>Athletico-PR</v>
      </c>
      <c r="AY2" s="75">
        <f ca="1">AVERAGEIF($B$2:$B$1203,Tabela2[[#This Row],[T]],$U$2:$U$1194)</f>
        <v>0.16666666666666666</v>
      </c>
      <c r="AZ2" s="75">
        <f ca="1">AVERAGEIF($B$2:$B$1203,Tabela2[[#This Row],[T]],$V$2:$V$1194)</f>
        <v>0</v>
      </c>
      <c r="BA2" s="75">
        <f ca="1">AVERAGEIF($C$2:$C$1203,Tabela2[[#This Row],[T1]],$V$2:$V$1194)</f>
        <v>0</v>
      </c>
      <c r="BB2" s="75">
        <f ca="1">AVERAGEIF($C$2:$C$1203,Tabela2[[#This Row],[T]],$U$2:$U$1194)</f>
        <v>0</v>
      </c>
      <c r="BC2" s="241" t="str">
        <f>Tabela2[[#This Row],[T]]</f>
        <v>Athletico-PR</v>
      </c>
      <c r="BD2" s="75">
        <f>AVERAGEIF($B$2:$B$1203,Tabela2[[#This Row],[T]],$D$2:$D$1203)</f>
        <v>2</v>
      </c>
      <c r="BE2" s="75">
        <f>AVERAGEIF($C$2:$C$1203,Tabela2[[#This Row],[T]],$E$2:$E$1203)</f>
        <v>0.83333333333333337</v>
      </c>
      <c r="BF2" s="76">
        <f t="array" ref="BF2">_xlfn.STDEV.S(IF($B$2:$B$1203=Tabela2[[#This Row],[T]],$D$2:$D$1203))</f>
        <v>1.2649110640673518</v>
      </c>
      <c r="BG2" s="76">
        <f t="array" ref="BG2">_xlfn.STDEV.S(IF($C$2:$C$1203=Tabela2[[#This Row],[T]],$E$2:$E$1203))</f>
        <v>0.752772652709081</v>
      </c>
      <c r="BH2" s="77">
        <f t="shared" ref="BH2:BH21" si="0">BF2/BD2</f>
        <v>0.63245553203367588</v>
      </c>
      <c r="BI2" s="78">
        <f t="shared" ref="BI2:BI21" si="1">BG2/BE2</f>
        <v>0.90332718325089711</v>
      </c>
      <c r="BJ2" s="241" t="str">
        <f>Tabela2[[#This Row],[T]]</f>
        <v>Athletico-PR</v>
      </c>
      <c r="BK2" s="75">
        <f>AVERAGEIF($B$2:$B$1203,Tabela2[[#This Row],[T]],$E$2:$E$1203)</f>
        <v>0.66666666666666663</v>
      </c>
      <c r="BL2" s="75">
        <f>AVERAGEIF($C$2:$C$1203,Tabela2[[#This Row],[T]],$D$2:$D$1203)</f>
        <v>1.6666666666666667</v>
      </c>
      <c r="BM2" s="76">
        <f t="array" ref="BM2">_xlfn.STDEV.S(IF($B$2:$B$1203=Tabela2[[#This Row],[T]],$E$2:$E$1203))</f>
        <v>0.51639777949432231</v>
      </c>
      <c r="BN2" s="76">
        <f t="array" ref="BN2">_xlfn.STDEV.S(IF($C$2:$C$1203=Tabela2[[#This Row],[T]],$D$2:$D$1203))</f>
        <v>1.2110601416389966</v>
      </c>
      <c r="BO2" s="77">
        <f t="shared" ref="BO2:BO21" si="2">BM2/BK2</f>
        <v>0.77459666924148352</v>
      </c>
      <c r="BP2" s="78">
        <f t="shared" ref="BP2:BP21" si="3">BN2/BL2</f>
        <v>0.72663608498339793</v>
      </c>
      <c r="BQ2" s="241" t="str">
        <f>Tabela2[[#This Row],[T]]</f>
        <v>Athletico-PR</v>
      </c>
      <c r="BR2" s="79">
        <f t="shared" ref="BR2:BR21" si="4">BD2/$BD$22</f>
        <v>1.2445366323431364</v>
      </c>
      <c r="BS2" s="79">
        <f t="shared" ref="BS2:BS21" si="5">BE2/$BE$22</f>
        <v>0.8000914390216024</v>
      </c>
      <c r="BT2" s="79">
        <f t="shared" ref="BT2:BT21" si="6">BK2/$BK$22</f>
        <v>0.63905055346342587</v>
      </c>
      <c r="BU2" s="79">
        <f t="shared" ref="BU2:BU21" si="7">BL2/$BL$22</f>
        <v>1.0481395522946768</v>
      </c>
      <c r="BV2" s="75">
        <f t="shared" ref="BV2:BV21" si="8">BR2-BT2</f>
        <v>0.60548607887971051</v>
      </c>
      <c r="BW2" s="75">
        <f t="shared" ref="BW2:BW21" si="9">BS2-BU2</f>
        <v>-0.24804811327307441</v>
      </c>
      <c r="BX2" s="241" t="str">
        <f>Tabela2[[#This Row],[T]]</f>
        <v>Athletico-PR</v>
      </c>
      <c r="BY2" s="75">
        <f ca="1">AVERAGEIF($B$2:$B$1469,Tabela2[[#This Row],[T]],$G$2:$G$1214)</f>
        <v>1.9733333333333334</v>
      </c>
      <c r="BZ2" s="75">
        <f ca="1">AVERAGEIF($C$2:$C$1469,Tabela2[[#This Row],[T]],$I$2:$I$1214)</f>
        <v>4.5166666666666666</v>
      </c>
      <c r="CA2" s="76">
        <f t="array" ref="CA2">_xlfn.STDEV.S(IF($B$2:$B$1469=Tabela2[[#This Row],[T]],$G$2:$G$1183))</f>
        <v>0.37961383887664901</v>
      </c>
      <c r="CB2" s="76">
        <f t="array" ref="CB2">_xlfn.STDEV.S(IF($C$2:$C1469=Tabela2[[#This Row],[T]],$I$2:$I$1183))</f>
        <v>1.1210114480533477</v>
      </c>
      <c r="CC2" s="80">
        <f t="shared" ref="CC2:CC21" ca="1" si="10">CA2/BY2</f>
        <v>0.19237187780911266</v>
      </c>
      <c r="CD2" s="81">
        <f t="shared" ref="CD2:CD21" ca="1" si="11">CB2/BZ2</f>
        <v>0.24819441654317662</v>
      </c>
      <c r="CE2" s="241" t="str">
        <f>Tabela2[[#This Row],[T]]</f>
        <v>Athletico-PR</v>
      </c>
      <c r="CF2" s="75">
        <f ca="1">AVERAGEIF($B$2:$B$1469,Tabela2[[#This Row],[T]],$W$2:$W$1203)</f>
        <v>1</v>
      </c>
      <c r="CG2" s="75">
        <f ca="1">AVERAGEIF($C$2:$C$1469,Tabela2[[#This Row],[T]],$W$2:$W$1203)</f>
        <v>1</v>
      </c>
      <c r="CH2" s="75">
        <f ca="1">AVERAGEIF($B$2:$B$1469,Tabela2[[#This Row],[T]],$X$2:$X$1203)</f>
        <v>0.83333333333333337</v>
      </c>
      <c r="CI2" s="75">
        <f ca="1">AVERAGEIF($C$2:$C$1469,Tabela2[[#This Row],[T]],$X$2:$X$1183)</f>
        <v>0.66666666666666663</v>
      </c>
      <c r="CJ2" s="77">
        <f ca="1">AVERAGEIF($B$2:$B$1469,Tabela2[[#This Row],[T]],$Y$2:$Y$1203)</f>
        <v>0.5</v>
      </c>
      <c r="CK2" s="78">
        <f ca="1">AVERAGEIF($C$2:$C$1469,Tabela2[[#This Row],[T]],$Y$2:$Y$1203)</f>
        <v>0.5</v>
      </c>
      <c r="CL2" s="75">
        <f ca="1">AVERAGEIF($B$2:$B$1469,Tabela2[[#This Row],[T]],$Z$2:$Z$1203)</f>
        <v>0.16666666666666666</v>
      </c>
      <c r="CM2" s="75">
        <f ca="1">AVERAGEIF($C$2:$C$1469,Tabela2[[#This Row],[T]],$Z$2:$Z$1183)</f>
        <v>0.16666666666666666</v>
      </c>
      <c r="CN2" s="75">
        <f ca="1">AVERAGEIF($B$2:$B$1469,Tabela2[[#This Row],[T]],$AA$2:$AA$1203)</f>
        <v>0.16666666666666666</v>
      </c>
      <c r="CO2" s="75">
        <f ca="1">AVERAGEIF($C$2:$C$1469,Tabela2[[#This Row],[T]],$AA$2:$AA$1203)</f>
        <v>0.16666666666666666</v>
      </c>
      <c r="CP2" s="75">
        <f ca="1">AVERAGEIF($B$2:$B$1469,Tabela2[[#This Row],[T]],$AB$2:$AB$1203)</f>
        <v>0</v>
      </c>
      <c r="CQ2" s="75">
        <f ca="1">AVERAGEIF($C$2:$C$1469,Tabela2[[#This Row],[T]],$AB$2:$AB$1183)</f>
        <v>0</v>
      </c>
      <c r="CR2" s="241" t="str">
        <f>Tabela2[[#This Row],[T]]</f>
        <v>Athletico-PR</v>
      </c>
      <c r="CS2" s="75">
        <f ca="1">AVERAGEIF($B$2:$B$1469,Tabela2[[#This Row],[T]],$AC$2:$AC$1240)</f>
        <v>0.5</v>
      </c>
      <c r="CT2" s="75">
        <f ca="1">AVERAGEIF($C$2:$C$1469,Tabela2[[#This Row],[T]],$AC$2:$AC$1220)</f>
        <v>0.5</v>
      </c>
      <c r="CU2" s="241" t="str">
        <f>Tabela2[[#This Row],[T]]</f>
        <v>Athletico-PR</v>
      </c>
      <c r="CV2" s="75">
        <f ca="1">AVERAGEIF($B$2:$B$1240,Tabela2[[#This Row],[T]],$L$2:$L$1205)</f>
        <v>0.4750125499553417</v>
      </c>
      <c r="CW2" s="75">
        <f ca="1">AVERAGEIF($C$2:$C$1240,Tabela2[[#This Row],[T]],$M$2:$M$1205)</f>
        <v>0.43353757189804409</v>
      </c>
      <c r="CX2" s="75">
        <f t="array" ref="CX2">_xlfn.STDEV.S(IF($B$2:$B$1203=Tabela2[[#This Row],[T]],$L$2:$L$1203))</f>
        <v>0.33317510664009814</v>
      </c>
      <c r="CY2" s="75">
        <f t="array" ref="CY2">_xlfn.STDEV.S(IF($C$2:$C$1203=Tabela2[[#This Row],[T]],$M$2:$M$1203))</f>
        <v>0.41358329988006054</v>
      </c>
      <c r="CZ2" s="75">
        <f ca="1">Tabela2[[#This Row],[DPPGC]]/Tabela2[[#This Row],[PESOGC]]</f>
        <v>0.7014027454041406</v>
      </c>
      <c r="DA2" s="75">
        <f ca="1">Tabela2[[#This Row],[DPPGV]]/Tabela2[[#This Row],[PESOGV]]</f>
        <v>0.95397337321740538</v>
      </c>
      <c r="DB2" s="241" t="str">
        <f>Tabela2[[#This Row],[T]]</f>
        <v>Athletico-PR</v>
      </c>
      <c r="DC2" s="75">
        <f ca="1">AVERAGEIF($B$2:$B$1240,Tabela2[[#This Row],[T]],$AO$2:$AO$1205)</f>
        <v>0.3742632776992425</v>
      </c>
      <c r="DD2" s="75">
        <f ca="1">AVERAGEIF($C$2:$C$1240,Tabela2[[#This Row],[T]],$AP$2:$AP$1205)</f>
        <v>0.48685232895759212</v>
      </c>
      <c r="DE2" s="75">
        <f t="array" ref="DE2">_xlfn.STDEV.S(IF($B$2:$B$1203=Tabela2[[#This Row],[T]],$AO$2:$AO$1203))</f>
        <v>0.31508167354603622</v>
      </c>
      <c r="DF2" s="75">
        <f t="array" ref="DF2">_xlfn.STDEV.S(IF($C$2:$C$1203=Tabela2[[#This Row],[T]],$AP$2:$AP$1203))</f>
        <v>0.40305061589849173</v>
      </c>
      <c r="DG2" s="75">
        <f ca="1">Tabela2[[#This Row],[DPCGC]]/Tabela2[[#This Row],[CUSTGC]]</f>
        <v>0.84187173126623305</v>
      </c>
      <c r="DH2" s="75">
        <f ca="1">Tabela2[[#This Row],[DPCGV]]/Tabela2[[#This Row],[CUSTGV]]</f>
        <v>0.82787036628020316</v>
      </c>
      <c r="DI2" s="241" t="str">
        <f>Tabela2[[#This Row],[T]]</f>
        <v>Athletico-PR</v>
      </c>
      <c r="DJ2" s="77">
        <f t="shared" ref="DJ2:DJ21" ca="1" si="12">AR2*BY2</f>
        <v>4.9333333333333336</v>
      </c>
      <c r="DK2" s="78">
        <f t="shared" ref="DK2:DK21" ca="1" si="13">AS2*BZ2</f>
        <v>3.0111111111111111</v>
      </c>
      <c r="DL2" s="241" t="str">
        <f>Tabela2[[#This Row],[T]]</f>
        <v>Athletico-PR</v>
      </c>
      <c r="DM2" s="82">
        <f ca="1">SUMIF($B$2:$B$1340,Tabela2[[#This Row],[T]],$R$2:$R$1240)</f>
        <v>3.2699999999999996</v>
      </c>
      <c r="DN2" s="83">
        <f ca="1">SUMIF($C$2:$C$1340,Tabela2[[#This Row],[T]],$S$2:$S$1240)</f>
        <v>-2.1</v>
      </c>
      <c r="DO2" s="83">
        <f>SUMIF($B$2:$B$1240,Tabela2[[#This Row],[T]],$T$2:$T$1240)</f>
        <v>-6</v>
      </c>
      <c r="DP2" s="83">
        <f>SUMIF($C$2:$C$1240,Tabela2[[#This Row],[T]],$T$2:$T$1240)</f>
        <v>-2.7</v>
      </c>
    </row>
    <row r="3" spans="1:123" x14ac:dyDescent="0.25">
      <c r="A3" s="4">
        <v>46050</v>
      </c>
      <c r="B3" t="s">
        <v>387</v>
      </c>
      <c r="C3" t="s">
        <v>355</v>
      </c>
      <c r="D3">
        <v>0</v>
      </c>
      <c r="E3">
        <v>1</v>
      </c>
      <c r="F3" t="s">
        <v>346</v>
      </c>
      <c r="G3">
        <v>2.7</v>
      </c>
      <c r="H3">
        <v>2.82</v>
      </c>
      <c r="I3">
        <v>2.82</v>
      </c>
      <c r="J3" s="68">
        <f t="shared" ref="J3:J66" si="14">IF(A3="","",IF(F3="H",3,IF(F3="D",1,0)))</f>
        <v>0</v>
      </c>
      <c r="K3" s="68">
        <f t="shared" ref="K3:K66" si="15">IF(A3="","",IF(F3="H",0,IF(F3="D",1,3)))</f>
        <v>3</v>
      </c>
      <c r="L3" s="69">
        <f t="shared" ref="L3:L66" si="16">IF(A3="","",D3/I3)</f>
        <v>0</v>
      </c>
      <c r="M3" s="69">
        <f t="shared" ref="M3:M66" si="17">IF(A3="","",E3/G3)</f>
        <v>0.37037037037037035</v>
      </c>
      <c r="N3" s="69">
        <f>IF(A3="","",Tabela1[[#This Row],[PTC]]*Tabela1[[#This Row],[ODDC]])</f>
        <v>0</v>
      </c>
      <c r="O3" s="69">
        <f>IF(A3="","",Tabela1[[#This Row],[PTV]]*Tabela1[[#This Row],[ODDV]])</f>
        <v>8.4599999999999991</v>
      </c>
      <c r="P3" s="68">
        <f t="shared" ref="P3:P66" si="18">IF(A3="","",D3-E3)</f>
        <v>-1</v>
      </c>
      <c r="Q3" s="68">
        <f t="shared" ref="Q3:Q66" si="19">IF(A3="","",E3-D3)</f>
        <v>1</v>
      </c>
      <c r="R3" s="68">
        <f t="shared" ref="R3:R66" si="20">IF(A3="","",IF(F3="H",G3-1,-1))</f>
        <v>-1</v>
      </c>
      <c r="S3" s="68">
        <f t="shared" ref="S3:S66" si="21">IF(A3="","",IF(F3="A",I3-1,-1))</f>
        <v>1.8199999999999998</v>
      </c>
      <c r="T3" s="68">
        <f>IF(A3="","",IF(F3="D",Tabela1[[#This Row],[ODDE]]-1,-1))</f>
        <v>-1</v>
      </c>
      <c r="U3" s="70">
        <f>IF(A3="","",IF(AND(Tabela1[[#This Row],[FTHG]]&gt;3,F3="H"),1,0))</f>
        <v>0</v>
      </c>
      <c r="V3" s="70">
        <f>IF(A3="","",IF(AND(Tabela1[[#This Row],[FTAG]]&gt;3,F3="A"),1,0))</f>
        <v>0</v>
      </c>
      <c r="W3" s="70">
        <f t="shared" ref="W3:W66" si="22">IF(A3="","",IF(D3+E3&gt;0,1,0))</f>
        <v>1</v>
      </c>
      <c r="X3" s="70">
        <f t="shared" ref="X3:X66" si="23">IF(A3="","",IF(D3+E3&gt;1,1,0))</f>
        <v>0</v>
      </c>
      <c r="Y3" s="71">
        <f t="shared" ref="Y3:Y66" si="24">IF(A3="","",IF(D3+E3&gt;2,1,0))</f>
        <v>0</v>
      </c>
      <c r="Z3" s="70">
        <f t="shared" ref="Z3:Z66" si="25">IF(A3="","",IF(D3+E3&gt;3,1,0))</f>
        <v>0</v>
      </c>
      <c r="AA3" s="70">
        <f t="shared" ref="AA3:AA66" si="26">IF(A3="","",IF(D3+E3&gt;4,1,0))</f>
        <v>0</v>
      </c>
      <c r="AB3" s="70">
        <f t="shared" ref="AB3:AB66" si="27">IF(A3="","",IF(D3+E3&gt;5,1,0))</f>
        <v>0</v>
      </c>
      <c r="AC3" s="71">
        <f t="shared" ref="AC3:AC66" si="28">IF(A3="","",IFERROR(IF(AND(D3&gt;0,E3&gt;0),1,0),0))</f>
        <v>0</v>
      </c>
      <c r="AD3" s="72" t="str">
        <f t="shared" ref="AD3:AD66" si="29">IF(A3="","",UPPER(TEXT(A3,"MMM")))</f>
        <v>JAN</v>
      </c>
      <c r="AE3" s="73">
        <f>IF(A3="","",COUNT($N$2:N3))</f>
        <v>2</v>
      </c>
      <c r="AF3" s="74">
        <f t="shared" ref="AF3:AF66" si="30">IF(A3="","",IF(F3="H",1,0))</f>
        <v>0</v>
      </c>
      <c r="AG3" s="74">
        <f t="shared" ref="AG3:AG66" si="31">IF(A3="","",IF(F3="D",1,0))</f>
        <v>0</v>
      </c>
      <c r="AH3" s="74">
        <f t="shared" ref="AH3:AH66" si="32">IF(A3="","",IF(F3="A",1,0))</f>
        <v>1</v>
      </c>
      <c r="AI3" s="74" t="str">
        <f t="shared" ref="AI3:AI66" si="33">IF(A3="","",IF(G3&lt;1.21,"1,01-1,2",IF(G3&lt;1.41,"1,21-1,4",IF(G3&lt;1.71,"1,41-1,7",IF(G3&lt;2.01,"1,71-2,0",IF(G3&lt;2.41,"2,01-2,4",IF(G3&lt;3.01,"2,41-3,0",IF(G3&lt;4.01,"3,01-4.0",IF(G3&lt;5.51,"4,01-5,5",IF(G3&lt;9.01,"5,51-9,0",IF(G3&lt;16.01,"9,01-16","Z16-99")))))))))))</f>
        <v>2,41-3,0</v>
      </c>
      <c r="AJ3" s="74" t="str">
        <f t="shared" ref="AJ3:AJ66" si="34">IF(A3="","",IF(I3&lt;1.21,"1,01-1,2",IF(I3&lt;1.41,"1,21-1,4",IF(I3&lt;1.71,"1,41-1,7",IF(I3&lt;2.01,"1,71-2,0",IF(I3&lt;2.41,"2,01-2,4",IF(I3&lt;3.01,"2,41-3,0",IF(I3&lt;4.01,"3,01-4.0",IF(I3&lt;5.51,"4,01-5,5",IF(I3&lt;9.01,"5,51-9,0",IF(I3&lt;16.01,"9,01-16","Z16-99")))))))))))</f>
        <v>2,41-3,0</v>
      </c>
      <c r="AK3" s="74">
        <f>IF(A3="","",1/Tabela1[[#This Row],[ODDC]])</f>
        <v>0.37037037037037035</v>
      </c>
      <c r="AL3" s="74">
        <f>IF(A3="","",1/Tabela1[[#This Row],[ODDE]])</f>
        <v>0.3546099290780142</v>
      </c>
      <c r="AM3" s="74">
        <f>IF(A3="","",1/Tabela1[[#This Row],[ODDV]])</f>
        <v>0.3546099290780142</v>
      </c>
      <c r="AN3" s="74">
        <f>IF(A3="","",1-(Tabela1[[#This Row],[p(H)]]+Tabela1[[#This Row],[p(D)]]+Tabela1[[#This Row],[p(A)]]))</f>
        <v>-7.9590228526398743E-2</v>
      </c>
      <c r="AO3" s="74">
        <f>IF(A3="","",IFERROR(Tabela1[[#This Row],[p(H)]]/Tabela1[[#This Row],[FTHG]],1))</f>
        <v>1</v>
      </c>
      <c r="AP3" s="74">
        <f>IF(A3="","",IFERROR(Tabela1[[#This Row],[p(A)]]/Tabela1[[#This Row],[FTAG]],1))</f>
        <v>0.3546099290780142</v>
      </c>
      <c r="AQ3" s="244" t="s">
        <v>359</v>
      </c>
      <c r="AR3" s="75">
        <f>AVERAGEIF($B$2:$B$1203,Tabela2[[#This Row],[T]],$J$2:$J$1214)</f>
        <v>2.2000000000000002</v>
      </c>
      <c r="AS3" s="75">
        <f>AVERAGEIF($C$2:$C$1203,Tabela2[[#This Row],[T]],$K$2:$K$1214)</f>
        <v>0.42857142857142855</v>
      </c>
      <c r="AT3" s="75">
        <f t="array" ref="AT3">_xlfn.STDEV.S(IF($B$2:$B$1203=Tabela2[[#This Row],[T]],$J$2:$J$1203))</f>
        <v>1.0954451150103324</v>
      </c>
      <c r="AU3" s="75">
        <f t="array" ref="AU3">_xlfn.STDEV.S(IF($C$2:$C$1203=Tabela2[[#This Row],[T]],$K$2:$K$1203))</f>
        <v>1.1338934190276817</v>
      </c>
      <c r="AV3" s="84">
        <f>Tabela2[[#This Row],[DPMPTC]]/Tabela2[[#This Row],[MPTC]]</f>
        <v>0.49792959773196921</v>
      </c>
      <c r="AW3" s="85">
        <f>Tabela2[[#This Row],[DPMPTV]]/Tabela2[[#This Row],[MPTV]]</f>
        <v>2.6457513110645907</v>
      </c>
      <c r="AX3" s="242" t="str">
        <f>Tabela2[[#This Row],[T]]</f>
        <v>Atletico-MG</v>
      </c>
      <c r="AY3" s="75">
        <f ca="1">AVERAGEIF($B$2:$B$1203,Tabela2[[#This Row],[T]],$U$2:$U$1194)</f>
        <v>0</v>
      </c>
      <c r="AZ3" s="75">
        <f ca="1">AVERAGEIF($B$2:$B$1203,Tabela2[[#This Row],[T]],$V$2:$V$1194)</f>
        <v>0</v>
      </c>
      <c r="BA3" s="75">
        <f ca="1">AVERAGEIF($C$2:$C$1203,Tabela2[[#This Row],[T1]],$V$2:$V$1194)</f>
        <v>0.14285714285714285</v>
      </c>
      <c r="BB3" s="75">
        <f ca="1">AVERAGEIF($C$2:$C$1203,Tabela2[[#This Row],[T]],$U$2:$U$1194)</f>
        <v>0</v>
      </c>
      <c r="BC3" s="242" t="str">
        <f>Tabela2[[#This Row],[T]]</f>
        <v>Atletico-MG</v>
      </c>
      <c r="BD3" s="75">
        <f>AVERAGEIF($B$2:$B$1203,Tabela2[[#This Row],[T]],$D$2:$D$1203)</f>
        <v>1.8</v>
      </c>
      <c r="BE3" s="75">
        <f>AVERAGEIF($C$2:$C$1203,Tabela2[[#This Row],[T]],$E$2:$E$1203)</f>
        <v>0.7142857142857143</v>
      </c>
      <c r="BF3" s="76">
        <f t="array" ref="BF3">_xlfn.STDEV.S(IF($B$2:$B$1203=Tabela2[[#This Row],[T]],$D$2:$D$1203))</f>
        <v>0.83666002653407567</v>
      </c>
      <c r="BG3" s="76">
        <f t="array" ref="BG3">_xlfn.STDEV.S(IF($C$2:$C$1203=Tabela2[[#This Row],[T]],$E$2:$E$1203))</f>
        <v>1.4960264830861913</v>
      </c>
      <c r="BH3" s="84">
        <f t="shared" si="0"/>
        <v>0.46481112585226425</v>
      </c>
      <c r="BI3" s="85">
        <f t="shared" si="1"/>
        <v>2.0944370763206677</v>
      </c>
      <c r="BJ3" s="242" t="str">
        <f>Tabela2[[#This Row],[T]]</f>
        <v>Atletico-MG</v>
      </c>
      <c r="BK3" s="75">
        <f>AVERAGEIF($B$2:$B$1203,Tabela2[[#This Row],[T]],$E$2:$E$1203)</f>
        <v>1.2</v>
      </c>
      <c r="BL3" s="75">
        <f>AVERAGEIF($C$2:$C$1203,Tabela2[[#This Row],[T]],$D$2:$D$1203)</f>
        <v>1.2857142857142858</v>
      </c>
      <c r="BM3" s="76">
        <f t="array" ref="BM3">_xlfn.STDEV.S(IF($B$2:$B$1203=Tabela2[[#This Row],[T]],$E$2:$E$1203))</f>
        <v>1.3038404810405297</v>
      </c>
      <c r="BN3" s="76">
        <f t="array" ref="BN3">_xlfn.STDEV.S(IF($C$2:$C$1203=Tabela2[[#This Row],[T]],$D$2:$D$1203))</f>
        <v>0.75592894601845451</v>
      </c>
      <c r="BO3" s="84">
        <f t="shared" si="2"/>
        <v>1.0865337342004415</v>
      </c>
      <c r="BP3" s="85">
        <f t="shared" si="3"/>
        <v>0.58794473579213125</v>
      </c>
      <c r="BQ3" s="242" t="str">
        <f>Tabela2[[#This Row],[T]]</f>
        <v>Atletico-MG</v>
      </c>
      <c r="BR3" s="79">
        <f t="shared" si="4"/>
        <v>1.1200829691088228</v>
      </c>
      <c r="BS3" s="79">
        <f t="shared" si="5"/>
        <v>0.6857926620185163</v>
      </c>
      <c r="BT3" s="79">
        <f t="shared" si="6"/>
        <v>1.1502909962341668</v>
      </c>
      <c r="BU3" s="79">
        <f t="shared" si="7"/>
        <v>0.80856479748446497</v>
      </c>
      <c r="BV3" s="75">
        <f t="shared" si="8"/>
        <v>-3.0208027125343984E-2</v>
      </c>
      <c r="BW3" s="75">
        <f t="shared" si="9"/>
        <v>-0.12277213546594867</v>
      </c>
      <c r="BX3" s="242" t="str">
        <f>Tabela2[[#This Row],[T]]</f>
        <v>Atletico-MG</v>
      </c>
      <c r="BY3" s="75">
        <f ca="1">AVERAGEIF($B$2:$B$1469,Tabela2[[#This Row],[T]],$G$2:$G$1214)</f>
        <v>2.1639999999999997</v>
      </c>
      <c r="BZ3" s="75">
        <f ca="1">AVERAGEIF($C$2:$C$1469,Tabela2[[#This Row],[T]],$I$2:$I$1214)</f>
        <v>3.6785714285714279</v>
      </c>
      <c r="CA3" s="76">
        <f t="array" ref="CA3">_xlfn.STDEV.S(IF($B$2:$B$1469=Tabela2[[#This Row],[T]],$G$2:$G$1183))</f>
        <v>0.57308812585849389</v>
      </c>
      <c r="CB3" s="76">
        <f t="array" ref="CB3">_xlfn.STDEV.S(IF($C$2:$C1470=Tabela2[[#This Row],[T]],$I$2:$I$1183))</f>
        <v>1.1582519669949309</v>
      </c>
      <c r="CC3" s="86">
        <f t="shared" ca="1" si="10"/>
        <v>0.26482815427841683</v>
      </c>
      <c r="CD3" s="87">
        <f t="shared" ca="1" si="11"/>
        <v>0.31486461238697155</v>
      </c>
      <c r="CE3" s="242" t="str">
        <f>Tabela2[[#This Row],[T]]</f>
        <v>Atletico-MG</v>
      </c>
      <c r="CF3" s="75">
        <f ca="1">AVERAGEIF($B$2:$B$1469,Tabela2[[#This Row],[T]],$W$2:$W$1203)</f>
        <v>1</v>
      </c>
      <c r="CG3" s="75">
        <f ca="1">AVERAGEIF($C$2:$C$1469,Tabela2[[#This Row],[T]],$W$2:$W$1203)</f>
        <v>1</v>
      </c>
      <c r="CH3" s="75">
        <f ca="1">AVERAGEIF($B$2:$B$1469,Tabela2[[#This Row],[T]],$X$2:$X$1203)</f>
        <v>0.6</v>
      </c>
      <c r="CI3" s="75">
        <f ca="1">AVERAGEIF($C$2:$C$1469,Tabela2[[#This Row],[T]],$X$2:$X$1183)</f>
        <v>0.5714285714285714</v>
      </c>
      <c r="CJ3" s="84">
        <f ca="1">AVERAGEIF($B$2:$B$1469,Tabela2[[#This Row],[T]],$Y$2:$Y$1203)</f>
        <v>0.6</v>
      </c>
      <c r="CK3" s="85">
        <f ca="1">AVERAGEIF($C$2:$C$1469,Tabela2[[#This Row],[T]],$Y$2:$Y$1203)</f>
        <v>0.2857142857142857</v>
      </c>
      <c r="CL3" s="75">
        <f ca="1">AVERAGEIF($B$2:$B$1469,Tabela2[[#This Row],[T]],$Z$2:$Z$1203)</f>
        <v>0.4</v>
      </c>
      <c r="CM3" s="75">
        <f ca="1">AVERAGEIF($C$2:$C$1469,Tabela2[[#This Row],[T]],$Z$2:$Z$1183)</f>
        <v>0.14285714285714285</v>
      </c>
      <c r="CN3" s="75">
        <f ca="1">AVERAGEIF($B$2:$B$1469,Tabela2[[#This Row],[T]],$AA$2:$AA$1203)</f>
        <v>0.2</v>
      </c>
      <c r="CO3" s="75">
        <f ca="1">AVERAGEIF($C$2:$C$1469,Tabela2[[#This Row],[T]],$AA$2:$AA$1203)</f>
        <v>0</v>
      </c>
      <c r="CP3" s="75">
        <f ca="1">AVERAGEIF($B$2:$B$1469,Tabela2[[#This Row],[T]],$AB$2:$AB$1203)</f>
        <v>0.2</v>
      </c>
      <c r="CQ3" s="75">
        <f ca="1">AVERAGEIF($C$2:$C$1469,Tabela2[[#This Row],[T]],$AB$2:$AB$1183)</f>
        <v>0</v>
      </c>
      <c r="CR3" s="242" t="str">
        <f>Tabela2[[#This Row],[T]]</f>
        <v>Atletico-MG</v>
      </c>
      <c r="CS3" s="75">
        <f ca="1">AVERAGEIF($B$2:$B$1469,Tabela2[[#This Row],[T]],$AC$2:$AC$1240)</f>
        <v>0.6</v>
      </c>
      <c r="CT3" s="75">
        <f ca="1">AVERAGEIF($C$2:$C$1469,Tabela2[[#This Row],[T]],$AC$2:$AC$1220)</f>
        <v>0.14285714285714285</v>
      </c>
      <c r="CU3" s="242" t="str">
        <f>Tabela2[[#This Row],[T]]</f>
        <v>Atletico-MG</v>
      </c>
      <c r="CV3" s="75">
        <f ca="1">AVERAGEIF($B$2:$B$1240,Tabela2[[#This Row],[T]],$L$2:$L$1205)</f>
        <v>0.47408970467794004</v>
      </c>
      <c r="CW3" s="75">
        <f ca="1">AVERAGEIF($C$2:$C$1240,Tabela2[[#This Row],[T]],$M$2:$M$1205)</f>
        <v>0.23609443777511002</v>
      </c>
      <c r="CX3" s="75">
        <f t="array" ref="CX3">_xlfn.STDEV.S(IF($B$2:$B$1203=Tabela2[[#This Row],[T]],$L$2:$L$1203))</f>
        <v>0.22530835931776419</v>
      </c>
      <c r="CY3" s="75">
        <f t="array" ref="CY3">_xlfn.STDEV.S(IF($C$2:$C$1203=Tabela2[[#This Row],[T]],$M$2:$M$1203))</f>
        <v>0.45104625220310357</v>
      </c>
      <c r="CZ3" s="75">
        <f ca="1">Tabela2[[#This Row],[DPPGC]]/Tabela2[[#This Row],[PESOGC]]</f>
        <v>0.47524415125365632</v>
      </c>
      <c r="DA3" s="75">
        <f ca="1">Tabela2[[#This Row],[DPPGV]]/Tabela2[[#This Row],[PESOGV]]</f>
        <v>1.9104484478907728</v>
      </c>
      <c r="DB3" s="242" t="str">
        <f>Tabela2[[#This Row],[T]]</f>
        <v>Atletico-MG</v>
      </c>
      <c r="DC3" s="75">
        <f ca="1">AVERAGEIF($B$2:$B$1240,Tabela2[[#This Row],[T]],$AO$2:$AO$1205)</f>
        <v>0.31469271413076905</v>
      </c>
      <c r="DD3" s="75">
        <f ca="1">AVERAGEIF($C$2:$C$1240,Tabela2[[#This Row],[T]],$AP$2:$AP$1205)</f>
        <v>0.77253628724216961</v>
      </c>
      <c r="DE3" s="75">
        <f t="array" ref="DE3">_xlfn.STDEV.S(IF($B$2:$B$1203=Tabela2[[#This Row],[T]],$AO$2:$AO$1203))</f>
        <v>0.14296173512206778</v>
      </c>
      <c r="DF3" s="75">
        <f t="array" ref="DF3">_xlfn.STDEV.S(IF($C$2:$C$1203=Tabela2[[#This Row],[T]],$AP$2:$AP$1203))</f>
        <v>0.39194646907252156</v>
      </c>
      <c r="DG3" s="75">
        <f ca="1">Tabela2[[#This Row],[DPCGC]]/Tabela2[[#This Row],[CUSTGC]]</f>
        <v>0.45428994286363017</v>
      </c>
      <c r="DH3" s="75">
        <f ca="1">Tabela2[[#This Row],[DPCGV]]/Tabela2[[#This Row],[CUSTGV]]</f>
        <v>0.50735023784022815</v>
      </c>
      <c r="DI3" s="242" t="str">
        <f>Tabela2[[#This Row],[T]]</f>
        <v>Atletico-MG</v>
      </c>
      <c r="DJ3" s="84">
        <f t="shared" ca="1" si="12"/>
        <v>4.7607999999999997</v>
      </c>
      <c r="DK3" s="85">
        <f t="shared" ca="1" si="13"/>
        <v>1.5765306122448977</v>
      </c>
      <c r="DL3" s="242" t="str">
        <f>Tabela2[[#This Row],[T]]</f>
        <v>Atletico-MG</v>
      </c>
      <c r="DM3" s="82">
        <f ca="1">SUMIF($B$2:$B$1340,Tabela2[[#This Row],[T]],$R$2:$R$1240)</f>
        <v>1.4099999999999997</v>
      </c>
      <c r="DN3" s="83">
        <f ca="1">SUMIF($C$2:$C$1340,Tabela2[[#This Row],[T]],$S$2:$S$1240)</f>
        <v>-4.8</v>
      </c>
      <c r="DO3" s="83">
        <f>SUMIF($B$2:$B$1240,Tabela2[[#This Row],[T]],$T$2:$T$1240)</f>
        <v>2.5999999999999996</v>
      </c>
      <c r="DP3" s="83">
        <f>SUMIF($C$2:$C$1240,Tabela2[[#This Row],[T]],$T$2:$T$1240)</f>
        <v>-7</v>
      </c>
      <c r="DR3" s="237"/>
      <c r="DS3" s="237"/>
    </row>
    <row r="4" spans="1:123" x14ac:dyDescent="0.25">
      <c r="A4" s="4">
        <v>46050</v>
      </c>
      <c r="B4" t="s">
        <v>354</v>
      </c>
      <c r="C4" t="s">
        <v>388</v>
      </c>
      <c r="D4">
        <v>0</v>
      </c>
      <c r="E4">
        <v>1</v>
      </c>
      <c r="F4" t="s">
        <v>346</v>
      </c>
      <c r="G4">
        <v>1.96</v>
      </c>
      <c r="H4">
        <v>3.25</v>
      </c>
      <c r="I4">
        <v>3.9</v>
      </c>
      <c r="J4" s="68">
        <f t="shared" si="14"/>
        <v>0</v>
      </c>
      <c r="K4" s="68">
        <f t="shared" si="15"/>
        <v>3</v>
      </c>
      <c r="L4" s="69">
        <f t="shared" si="16"/>
        <v>0</v>
      </c>
      <c r="M4" s="69">
        <f t="shared" si="17"/>
        <v>0.51020408163265307</v>
      </c>
      <c r="N4" s="69">
        <f>IF(A4="","",Tabela1[[#This Row],[PTC]]*Tabela1[[#This Row],[ODDC]])</f>
        <v>0</v>
      </c>
      <c r="O4" s="69">
        <f>IF(A4="","",Tabela1[[#This Row],[PTV]]*Tabela1[[#This Row],[ODDV]])</f>
        <v>11.7</v>
      </c>
      <c r="P4" s="68">
        <f t="shared" si="18"/>
        <v>-1</v>
      </c>
      <c r="Q4" s="68">
        <f t="shared" si="19"/>
        <v>1</v>
      </c>
      <c r="R4" s="68">
        <f t="shared" si="20"/>
        <v>-1</v>
      </c>
      <c r="S4" s="68">
        <f t="shared" si="21"/>
        <v>2.9</v>
      </c>
      <c r="T4" s="68">
        <f>IF(A4="","",IF(F4="D",Tabela1[[#This Row],[ODDE]]-1,-1))</f>
        <v>-1</v>
      </c>
      <c r="U4" s="70">
        <f>IF(A4="","",IF(AND(Tabela1[[#This Row],[FTHG]]&gt;3,F4="H"),1,0))</f>
        <v>0</v>
      </c>
      <c r="V4" s="70">
        <f>IF(A4="","",IF(AND(Tabela1[[#This Row],[FTAG]]&gt;3,F4="A"),1,0))</f>
        <v>0</v>
      </c>
      <c r="W4" s="70">
        <f t="shared" si="22"/>
        <v>1</v>
      </c>
      <c r="X4" s="70">
        <f t="shared" si="23"/>
        <v>0</v>
      </c>
      <c r="Y4" s="71">
        <f t="shared" si="24"/>
        <v>0</v>
      </c>
      <c r="Z4" s="70">
        <f t="shared" si="25"/>
        <v>0</v>
      </c>
      <c r="AA4" s="70">
        <f t="shared" si="26"/>
        <v>0</v>
      </c>
      <c r="AB4" s="70">
        <f t="shared" si="27"/>
        <v>0</v>
      </c>
      <c r="AC4" s="71">
        <f t="shared" si="28"/>
        <v>0</v>
      </c>
      <c r="AD4" s="72" t="str">
        <f t="shared" si="29"/>
        <v>JAN</v>
      </c>
      <c r="AE4" s="73">
        <f>IF(A4="","",COUNT($N$2:N4))</f>
        <v>3</v>
      </c>
      <c r="AF4" s="74">
        <f t="shared" si="30"/>
        <v>0</v>
      </c>
      <c r="AG4" s="74">
        <f t="shared" si="31"/>
        <v>0</v>
      </c>
      <c r="AH4" s="74">
        <f t="shared" si="32"/>
        <v>1</v>
      </c>
      <c r="AI4" s="74" t="str">
        <f t="shared" si="33"/>
        <v>1,71-2,0</v>
      </c>
      <c r="AJ4" s="74" t="str">
        <f t="shared" si="34"/>
        <v>3,01-4.0</v>
      </c>
      <c r="AK4" s="74">
        <f>IF(A4="","",1/Tabela1[[#This Row],[ODDC]])</f>
        <v>0.51020408163265307</v>
      </c>
      <c r="AL4" s="74">
        <f>IF(A4="","",1/Tabela1[[#This Row],[ODDE]])</f>
        <v>0.30769230769230771</v>
      </c>
      <c r="AM4" s="74">
        <f>IF(A4="","",1/Tabela1[[#This Row],[ODDV]])</f>
        <v>0.25641025641025644</v>
      </c>
      <c r="AN4" s="74">
        <f>IF(A4="","",1-(Tabela1[[#This Row],[p(H)]]+Tabela1[[#This Row],[p(D)]]+Tabela1[[#This Row],[p(A)]]))</f>
        <v>-7.430664573521728E-2</v>
      </c>
      <c r="AO4" s="74">
        <f>IF(A4="","",IFERROR(Tabela1[[#This Row],[p(H)]]/Tabela1[[#This Row],[FTHG]],1))</f>
        <v>1</v>
      </c>
      <c r="AP4" s="74">
        <f>IF(A4="","",IFERROR(Tabela1[[#This Row],[p(A)]]/Tabela1[[#This Row],[FTAG]],1))</f>
        <v>0.25641025641025644</v>
      </c>
      <c r="AQ4" s="244" t="s">
        <v>356</v>
      </c>
      <c r="AR4" s="75">
        <f>AVERAGEIF($B$2:$B$1203,Tabela2[[#This Row],[T]],$J$2:$J$1214)</f>
        <v>1.6</v>
      </c>
      <c r="AS4" s="75">
        <f>AVERAGEIF($C$2:$C$1203,Tabela2[[#This Row],[T]],$K$2:$K$1214)</f>
        <v>2</v>
      </c>
      <c r="AT4" s="75">
        <f t="array" ref="AT4">_xlfn.STDEV.S(IF($B$2:$B$1203=Tabela2[[#This Row],[T]],$J$2:$J$1203))</f>
        <v>1.3416407864998738</v>
      </c>
      <c r="AU4" s="75">
        <f t="array" ref="AU4">_xlfn.STDEV.S(IF($C$2:$C$1203=Tabela2[[#This Row],[T]],$K$2:$K$1203))</f>
        <v>1.5491933384829668</v>
      </c>
      <c r="AV4" s="84">
        <f>Tabela2[[#This Row],[DPMPTC]]/Tabela2[[#This Row],[MPTC]]</f>
        <v>0.83852549156242107</v>
      </c>
      <c r="AW4" s="85">
        <f>Tabela2[[#This Row],[DPMPTV]]/Tabela2[[#This Row],[MPTV]]</f>
        <v>0.7745966692414834</v>
      </c>
      <c r="AX4" s="242" t="str">
        <f>Tabela2[[#This Row],[T]]</f>
        <v>Bahia</v>
      </c>
      <c r="AY4" s="75">
        <f ca="1">AVERAGEIF($B$2:$B$1203,Tabela2[[#This Row],[T]],$U$2:$U$1194)</f>
        <v>0</v>
      </c>
      <c r="AZ4" s="75">
        <f ca="1">AVERAGEIF($B$2:$B$1203,Tabela2[[#This Row],[T]],$V$2:$V$1194)</f>
        <v>0</v>
      </c>
      <c r="BA4" s="75">
        <f ca="1">AVERAGEIF($C$2:$C$1203,Tabela2[[#This Row],[T1]],$V$2:$V$1194)</f>
        <v>0</v>
      </c>
      <c r="BB4" s="75">
        <f ca="1">AVERAGEIF($C$2:$C$1203,Tabela2[[#This Row],[T]],$U$2:$U$1194)</f>
        <v>0.16666666666666666</v>
      </c>
      <c r="BC4" s="242" t="str">
        <f>Tabela2[[#This Row],[T]]</f>
        <v>Bahia</v>
      </c>
      <c r="BD4" s="75">
        <f>AVERAGEIF($B$2:$B$1203,Tabela2[[#This Row],[T]],$D$2:$D$1203)</f>
        <v>1.6</v>
      </c>
      <c r="BE4" s="75">
        <f>AVERAGEIF($C$2:$C$1203,Tabela2[[#This Row],[T]],$E$2:$E$1203)</f>
        <v>1.1666666666666667</v>
      </c>
      <c r="BF4" s="76">
        <f t="array" ref="BF4">_xlfn.STDEV.S(IF($B$2:$B$1203=Tabela2[[#This Row],[T]],$D$2:$D$1203))</f>
        <v>0.89442719099991574</v>
      </c>
      <c r="BG4" s="76">
        <f t="array" ref="BG4">_xlfn.STDEV.S(IF($C$2:$C$1203=Tabela2[[#This Row],[T]],$E$2:$E$1203))</f>
        <v>0.75277265270908111</v>
      </c>
      <c r="BH4" s="84">
        <f t="shared" si="0"/>
        <v>0.55901699437494734</v>
      </c>
      <c r="BI4" s="85">
        <f>IFERROR(BG4/BE4,0)</f>
        <v>0.64523370232206945</v>
      </c>
      <c r="BJ4" s="242" t="str">
        <f>Tabela2[[#This Row],[T]]</f>
        <v>Bahia</v>
      </c>
      <c r="BK4" s="75">
        <f>AVERAGEIF($B$2:$B$1203,Tabela2[[#This Row],[T]],$E$2:$E$1203)</f>
        <v>0.8</v>
      </c>
      <c r="BL4" s="75">
        <f>AVERAGEIF($C$2:$C$1203,Tabela2[[#This Row],[T]],$D$2:$D$1203)</f>
        <v>1.3333333333333333</v>
      </c>
      <c r="BM4" s="76">
        <f t="array" ref="BM4">_xlfn.STDEV.S(IF($B$2:$B$1203=Tabela2[[#This Row],[T]],$E$2:$E$1203))</f>
        <v>0.83666002653407556</v>
      </c>
      <c r="BN4" s="76">
        <f t="array" ref="BN4">_xlfn.STDEV.S(IF($C$2:$C$1203=Tabela2[[#This Row],[T]],$D$2:$D$1203))</f>
        <v>1.505545305418162</v>
      </c>
      <c r="BO4" s="84">
        <f t="shared" si="2"/>
        <v>1.0458250331675945</v>
      </c>
      <c r="BP4" s="85">
        <f t="shared" si="3"/>
        <v>1.1291589790636216</v>
      </c>
      <c r="BQ4" s="242" t="str">
        <f>Tabela2[[#This Row],[T]]</f>
        <v>Bahia</v>
      </c>
      <c r="BR4" s="79">
        <f t="shared" si="4"/>
        <v>0.99562930587450926</v>
      </c>
      <c r="BS4" s="79">
        <f t="shared" si="5"/>
        <v>1.1201280146302435</v>
      </c>
      <c r="BT4" s="79">
        <f t="shared" si="6"/>
        <v>0.7668606641561112</v>
      </c>
      <c r="BU4" s="79">
        <f t="shared" si="7"/>
        <v>0.83851164183574134</v>
      </c>
      <c r="BV4" s="75">
        <f t="shared" si="8"/>
        <v>0.22876864171839806</v>
      </c>
      <c r="BW4" s="75">
        <f t="shared" si="9"/>
        <v>0.28161637279450213</v>
      </c>
      <c r="BX4" s="242" t="str">
        <f>Tabela2[[#This Row],[T]]</f>
        <v>Bahia</v>
      </c>
      <c r="BY4" s="75">
        <f ca="1">AVERAGEIF($B$2:$B$1469,Tabela2[[#This Row],[T]],$G$2:$G$1214)</f>
        <v>1.9079999999999999</v>
      </c>
      <c r="BZ4" s="75">
        <f ca="1">AVERAGEIF($C$2:$C$1469,Tabela2[[#This Row],[T]],$I$2:$I$1214)</f>
        <v>3.813333333333333</v>
      </c>
      <c r="CA4" s="76">
        <f t="array" ref="CA4">_xlfn.STDEV.S(IF($B$2:$B$1469=Tabela2[[#This Row],[T]],$G$2:$G$1183))</f>
        <v>0.36162134892729997</v>
      </c>
      <c r="CB4" s="76">
        <f t="array" ref="CB4">_xlfn.STDEV.S(IF($C$2:$C1471=Tabela2[[#This Row],[T]],$I$2:$I$1183))</f>
        <v>1.4616657164573128</v>
      </c>
      <c r="CC4" s="86">
        <f t="shared" ca="1" si="10"/>
        <v>0.1895290088717505</v>
      </c>
      <c r="CD4" s="87">
        <f t="shared" ca="1" si="11"/>
        <v>0.38330394662342121</v>
      </c>
      <c r="CE4" s="242" t="str">
        <f>Tabela2[[#This Row],[T]]</f>
        <v>Bahia</v>
      </c>
      <c r="CF4" s="75">
        <f ca="1">AVERAGEIF($B$2:$B$1469,Tabela2[[#This Row],[T]],$W$2:$W$1203)</f>
        <v>1</v>
      </c>
      <c r="CG4" s="75">
        <f ca="1">AVERAGEIF($C$2:$C$1469,Tabela2[[#This Row],[T]],$W$2:$W$1203)</f>
        <v>1</v>
      </c>
      <c r="CH4" s="75">
        <f ca="1">AVERAGEIF($B$2:$B$1469,Tabela2[[#This Row],[T]],$X$2:$X$1203)</f>
        <v>1</v>
      </c>
      <c r="CI4" s="75">
        <f ca="1">AVERAGEIF($C$2:$C$1469,Tabela2[[#This Row],[T]],$X$2:$X$1183)</f>
        <v>0.66666666666666663</v>
      </c>
      <c r="CJ4" s="84">
        <f ca="1">AVERAGEIF($B$2:$B$1469,Tabela2[[#This Row],[T]],$Y$2:$Y$1203)</f>
        <v>0.4</v>
      </c>
      <c r="CK4" s="85">
        <f ca="1">AVERAGEIF($C$2:$C$1469,Tabela2[[#This Row],[T]],$Y$2:$Y$1203)</f>
        <v>0.5</v>
      </c>
      <c r="CL4" s="75">
        <f ca="1">AVERAGEIF($B$2:$B$1469,Tabela2[[#This Row],[T]],$Z$2:$Z$1203)</f>
        <v>0</v>
      </c>
      <c r="CM4" s="75">
        <f ca="1">AVERAGEIF($C$2:$C$1469,Tabela2[[#This Row],[T]],$Z$2:$Z$1183)</f>
        <v>0.16666666666666666</v>
      </c>
      <c r="CN4" s="75">
        <f ca="1">AVERAGEIF($B$2:$B$1469,Tabela2[[#This Row],[T]],$AA$2:$AA$1203)</f>
        <v>0</v>
      </c>
      <c r="CO4" s="75">
        <f ca="1">AVERAGEIF($C$2:$C$1469,Tabela2[[#This Row],[T]],$AA$2:$AA$1203)</f>
        <v>0.16666666666666666</v>
      </c>
      <c r="CP4" s="75">
        <f ca="1">AVERAGEIF($B$2:$B$1469,Tabela2[[#This Row],[T]],$AB$2:$AB$1203)</f>
        <v>0</v>
      </c>
      <c r="CQ4" s="75">
        <f ca="1">AVERAGEIF($C$2:$C$1469,Tabela2[[#This Row],[T]],$AB$2:$AB$1183)</f>
        <v>0</v>
      </c>
      <c r="CR4" s="242" t="str">
        <f>Tabela2[[#This Row],[T]]</f>
        <v>Bahia</v>
      </c>
      <c r="CS4" s="75">
        <f ca="1">AVERAGEIF($B$2:$B$1469,Tabela2[[#This Row],[T]],$AC$2:$AC$1240)</f>
        <v>0.6</v>
      </c>
      <c r="CT4" s="75">
        <f ca="1">AVERAGEIF($C$2:$C$1469,Tabela2[[#This Row],[T]],$AC$2:$AC$1220)</f>
        <v>0.5</v>
      </c>
      <c r="CU4" s="242" t="str">
        <f>Tabela2[[#This Row],[T]]</f>
        <v>Bahia</v>
      </c>
      <c r="CV4" s="75">
        <f ca="1">AVERAGEIF($B$2:$B$1240,Tabela2[[#This Row],[T]],$L$2:$L$1205)</f>
        <v>0.36633249791144523</v>
      </c>
      <c r="CW4" s="75">
        <f ca="1">AVERAGEIF($C$2:$C$1240,Tabela2[[#This Row],[T]],$M$2:$M$1205)</f>
        <v>0.53256401221517502</v>
      </c>
      <c r="CX4" s="75">
        <f t="array" ref="CX4">_xlfn.STDEV.S(IF($B$2:$B$1203=Tabela2[[#This Row],[T]],$L$2:$L$1203))</f>
        <v>0.1655110764441656</v>
      </c>
      <c r="CY4" s="75">
        <f t="array" ref="CY4">_xlfn.STDEV.S(IF($C$2:$C$1203=Tabela2[[#This Row],[T]],$M$2:$M$1203))</f>
        <v>0.3551297200870831</v>
      </c>
      <c r="CZ4" s="75">
        <f ca="1">Tabela2[[#This Row],[DPPGC]]/Tabela2[[#This Row],[PESOGC]]</f>
        <v>0.45180560662181585</v>
      </c>
      <c r="DA4" s="75">
        <f ca="1">Tabela2[[#This Row],[DPPGV]]/Tabela2[[#This Row],[PESOGV]]</f>
        <v>0.66683011232760114</v>
      </c>
      <c r="DB4" s="242" t="str">
        <f>Tabela2[[#This Row],[T]]</f>
        <v>Bahia</v>
      </c>
      <c r="DC4" s="75">
        <f ca="1">AVERAGEIF($B$2:$B$1240,Tabela2[[#This Row],[T]],$AO$2:$AO$1205)</f>
        <v>0.39921173390428261</v>
      </c>
      <c r="DD4" s="75">
        <f ca="1">AVERAGEIF($C$2:$C$1240,Tabela2[[#This Row],[T]],$AP$2:$AP$1205)</f>
        <v>0.38039471096690153</v>
      </c>
      <c r="DE4" s="75">
        <f t="array" ref="DE4">_xlfn.STDEV.S(IF($B$2:$B$1203=Tabela2[[#This Row],[T]],$AO$2:$AO$1203))</f>
        <v>0.15991301978631853</v>
      </c>
      <c r="DF4" s="75">
        <f t="array" ref="DF4">_xlfn.STDEV.S(IF($C$2:$C$1203=Tabela2[[#This Row],[T]],$AP$2:$AP$1203))</f>
        <v>0.32134457795948462</v>
      </c>
      <c r="DG4" s="75">
        <f ca="1">Tabela2[[#This Row],[DPCGC]]/Tabela2[[#This Row],[CUSTGC]]</f>
        <v>0.4005719426690505</v>
      </c>
      <c r="DH4" s="75">
        <f ca="1">Tabela2[[#This Row],[DPCGV]]/Tabela2[[#This Row],[CUSTGV]]</f>
        <v>0.84476615656058662</v>
      </c>
      <c r="DI4" s="242" t="str">
        <f>Tabela2[[#This Row],[T]]</f>
        <v>Bahia</v>
      </c>
      <c r="DJ4" s="84">
        <f t="shared" ca="1" si="12"/>
        <v>3.0528</v>
      </c>
      <c r="DK4" s="85">
        <f t="shared" ca="1" si="13"/>
        <v>7.626666666666666</v>
      </c>
      <c r="DL4" s="242" t="str">
        <f>Tabela2[[#This Row],[T]]</f>
        <v>Bahia</v>
      </c>
      <c r="DM4" s="82">
        <f ca="1">SUMIF($B$2:$B$1340,Tabela2[[#This Row],[T]],$R$2:$R$1240)</f>
        <v>-1.6300000000000001</v>
      </c>
      <c r="DN4" s="83">
        <f ca="1">SUMIF($C$2:$C$1340,Tabela2[[#This Row],[T]],$S$2:$S$1240)</f>
        <v>8.0300000000000011</v>
      </c>
      <c r="DO4" s="83">
        <f>SUMIF($B$2:$B$1240,Tabela2[[#This Row],[T]],$T$2:$T$1240)</f>
        <v>1.9000000000000004</v>
      </c>
      <c r="DP4" s="83">
        <f>SUMIF($C$2:$C$1240,Tabela2[[#This Row],[T]],$T$2:$T$1240)</f>
        <v>-6</v>
      </c>
      <c r="DR4" s="237"/>
      <c r="DS4" s="237"/>
    </row>
    <row r="5" spans="1:123" x14ac:dyDescent="0.25">
      <c r="A5" s="4">
        <v>46050</v>
      </c>
      <c r="B5" t="s">
        <v>381</v>
      </c>
      <c r="C5" t="s">
        <v>389</v>
      </c>
      <c r="D5">
        <v>2</v>
      </c>
      <c r="E5">
        <v>0</v>
      </c>
      <c r="F5" t="s">
        <v>347</v>
      </c>
      <c r="G5">
        <v>1.79</v>
      </c>
      <c r="H5">
        <v>3.4</v>
      </c>
      <c r="I5">
        <v>4.75</v>
      </c>
      <c r="J5" s="68">
        <f t="shared" si="14"/>
        <v>3</v>
      </c>
      <c r="K5" s="68">
        <f t="shared" si="15"/>
        <v>0</v>
      </c>
      <c r="L5" s="69">
        <f t="shared" si="16"/>
        <v>0.42105263157894735</v>
      </c>
      <c r="M5" s="69">
        <f t="shared" si="17"/>
        <v>0</v>
      </c>
      <c r="N5" s="69">
        <f>IF(A5="","",Tabela1[[#This Row],[PTC]]*Tabela1[[#This Row],[ODDC]])</f>
        <v>5.37</v>
      </c>
      <c r="O5" s="69">
        <f>IF(A5="","",Tabela1[[#This Row],[PTV]]*Tabela1[[#This Row],[ODDV]])</f>
        <v>0</v>
      </c>
      <c r="P5" s="68">
        <f t="shared" si="18"/>
        <v>2</v>
      </c>
      <c r="Q5" s="68">
        <f t="shared" si="19"/>
        <v>-2</v>
      </c>
      <c r="R5" s="68">
        <f t="shared" si="20"/>
        <v>0.79</v>
      </c>
      <c r="S5" s="68">
        <f t="shared" si="21"/>
        <v>-1</v>
      </c>
      <c r="T5" s="68">
        <f>IF(A5="","",IF(F5="D",Tabela1[[#This Row],[ODDE]]-1,-1))</f>
        <v>-1</v>
      </c>
      <c r="U5" s="70">
        <f>IF(A5="","",IF(AND(Tabela1[[#This Row],[FTHG]]&gt;3,F5="H"),1,0))</f>
        <v>0</v>
      </c>
      <c r="V5" s="70">
        <f>IF(A5="","",IF(AND(Tabela1[[#This Row],[FTAG]]&gt;3,F5="A"),1,0))</f>
        <v>0</v>
      </c>
      <c r="W5" s="70">
        <f t="shared" si="22"/>
        <v>1</v>
      </c>
      <c r="X5" s="70">
        <f t="shared" si="23"/>
        <v>1</v>
      </c>
      <c r="Y5" s="71">
        <f t="shared" si="24"/>
        <v>0</v>
      </c>
      <c r="Z5" s="70">
        <f t="shared" si="25"/>
        <v>0</v>
      </c>
      <c r="AA5" s="70">
        <f t="shared" si="26"/>
        <v>0</v>
      </c>
      <c r="AB5" s="70">
        <f t="shared" si="27"/>
        <v>0</v>
      </c>
      <c r="AC5" s="71">
        <f t="shared" si="28"/>
        <v>0</v>
      </c>
      <c r="AD5" s="72" t="str">
        <f t="shared" si="29"/>
        <v>JAN</v>
      </c>
      <c r="AE5" s="73">
        <f>IF(A5="","",COUNT($N$2:N5))</f>
        <v>4</v>
      </c>
      <c r="AF5" s="74">
        <f t="shared" si="30"/>
        <v>1</v>
      </c>
      <c r="AG5" s="74">
        <f t="shared" si="31"/>
        <v>0</v>
      </c>
      <c r="AH5" s="74">
        <f t="shared" si="32"/>
        <v>0</v>
      </c>
      <c r="AI5" s="74" t="str">
        <f t="shared" si="33"/>
        <v>1,71-2,0</v>
      </c>
      <c r="AJ5" s="74" t="str">
        <f t="shared" si="34"/>
        <v>4,01-5,5</v>
      </c>
      <c r="AK5" s="74">
        <f>IF(A5="","",1/Tabela1[[#This Row],[ODDC]])</f>
        <v>0.55865921787709494</v>
      </c>
      <c r="AL5" s="74">
        <f>IF(A5="","",1/Tabela1[[#This Row],[ODDE]])</f>
        <v>0.29411764705882354</v>
      </c>
      <c r="AM5" s="74">
        <f>IF(A5="","",1/Tabela1[[#This Row],[ODDV]])</f>
        <v>0.21052631578947367</v>
      </c>
      <c r="AN5" s="74">
        <f>IF(A5="","",1-(Tabela1[[#This Row],[p(H)]]+Tabela1[[#This Row],[p(D)]]+Tabela1[[#This Row],[p(A)]]))</f>
        <v>-6.3303180725392094E-2</v>
      </c>
      <c r="AO5" s="74">
        <f>IF(A5="","",IFERROR(Tabela1[[#This Row],[p(H)]]/Tabela1[[#This Row],[FTHG]],1))</f>
        <v>0.27932960893854747</v>
      </c>
      <c r="AP5" s="74">
        <f>IF(A5="","",IFERROR(Tabela1[[#This Row],[p(A)]]/Tabela1[[#This Row],[FTAG]],1))</f>
        <v>1</v>
      </c>
      <c r="AQ5" s="244" t="s">
        <v>350</v>
      </c>
      <c r="AR5" s="75">
        <f>AVERAGEIF($B$2:$B$1203,Tabela2[[#This Row],[T]],$J$2:$J$1214)</f>
        <v>1.75</v>
      </c>
      <c r="AS5" s="75">
        <f>AVERAGEIF($C$2:$C$1203,Tabela2[[#This Row],[T]],$K$2:$K$1214)</f>
        <v>1.2857142857142858</v>
      </c>
      <c r="AT5" s="75">
        <f t="array" ref="AT5">_xlfn.STDEV.S(IF($B$2:$B$1203=Tabela2[[#This Row],[T]],$J$2:$J$1203))</f>
        <v>1.5</v>
      </c>
      <c r="AU5" s="75">
        <f t="array" ref="AU5">_xlfn.STDEV.S(IF($C$2:$C$1203=Tabela2[[#This Row],[T]],$K$2:$K$1203))</f>
        <v>1.6035674514745464</v>
      </c>
      <c r="AV5" s="84">
        <f>Tabela2[[#This Row],[DPMPTC]]/Tabela2[[#This Row],[MPTC]]</f>
        <v>0.8571428571428571</v>
      </c>
      <c r="AW5" s="85">
        <f>Tabela2[[#This Row],[DPMPTV]]/Tabela2[[#This Row],[MPTV]]</f>
        <v>1.247219128924647</v>
      </c>
      <c r="AX5" s="242" t="str">
        <f>Tabela2[[#This Row],[T]]</f>
        <v>Botafogo RJ</v>
      </c>
      <c r="AY5" s="75">
        <f ca="1">AVERAGEIF($B$2:$B$1203,Tabela2[[#This Row],[T]],$U$2:$U$1194)</f>
        <v>0.25</v>
      </c>
      <c r="AZ5" s="75">
        <f ca="1">AVERAGEIF($B$2:$B$1203,Tabela2[[#This Row],[T]],$V$2:$V$1194)</f>
        <v>0</v>
      </c>
      <c r="BA5" s="75">
        <f ca="1">AVERAGEIF($C$2:$C$1203,Tabela2[[#This Row],[T1]],$V$2:$V$1194)</f>
        <v>0.14285714285714285</v>
      </c>
      <c r="BB5" s="75">
        <f ca="1">AVERAGEIF($C$2:$C$1203,Tabela2[[#This Row],[T]],$U$2:$U$1194)</f>
        <v>0.2857142857142857</v>
      </c>
      <c r="BC5" s="242" t="str">
        <f>Tabela2[[#This Row],[T]]</f>
        <v>Botafogo RJ</v>
      </c>
      <c r="BD5" s="75">
        <f>AVERAGEIF($B$2:$B$1203,Tabela2[[#This Row],[T]],$D$2:$D$1203)</f>
        <v>2.25</v>
      </c>
      <c r="BE5" s="75">
        <f>AVERAGEIF($C$2:$C$1203,Tabela2[[#This Row],[T]],$E$2:$E$1203)</f>
        <v>1.8571428571428572</v>
      </c>
      <c r="BF5" s="76">
        <f t="array" ref="BF5">_xlfn.STDEV.S(IF($B$2:$B$1203=Tabela2[[#This Row],[T]],$D$2:$D$1203))</f>
        <v>1.707825127659933</v>
      </c>
      <c r="BG5" s="76">
        <f t="array" ref="BG5">_xlfn.STDEV.S(IF($C$2:$C$1203=Tabela2[[#This Row],[T]],$E$2:$E$1203))</f>
        <v>1.3451854182690985</v>
      </c>
      <c r="BH5" s="84">
        <f t="shared" si="0"/>
        <v>0.75903339007108128</v>
      </c>
      <c r="BI5" s="85">
        <f t="shared" si="1"/>
        <v>0.72433060983720687</v>
      </c>
      <c r="BJ5" s="242" t="str">
        <f>Tabela2[[#This Row],[T]]</f>
        <v>Botafogo RJ</v>
      </c>
      <c r="BK5" s="75">
        <f>AVERAGEIF($B$2:$B$1203,Tabela2[[#This Row],[T]],$E$2:$E$1203)</f>
        <v>1.75</v>
      </c>
      <c r="BL5" s="75">
        <f>AVERAGEIF($C$2:$C$1203,Tabela2[[#This Row],[T]],$D$2:$D$1203)</f>
        <v>2.1428571428571428</v>
      </c>
      <c r="BM5" s="76">
        <f t="array" ref="BM5">_xlfn.STDEV.S(IF($B$2:$B$1203=Tabela2[[#This Row],[T]],$E$2:$E$1203))</f>
        <v>1.2583057392117916</v>
      </c>
      <c r="BN5" s="76">
        <f t="array" ref="BN5">_xlfn.STDEV.S(IF($C$2:$C$1203=Tabela2[[#This Row],[T]],$D$2:$D$1203))</f>
        <v>1.6761634196950514</v>
      </c>
      <c r="BO5" s="84">
        <f t="shared" si="2"/>
        <v>0.71903185097816658</v>
      </c>
      <c r="BP5" s="85">
        <f t="shared" si="3"/>
        <v>0.78220959585769068</v>
      </c>
      <c r="BQ5" s="242" t="str">
        <f>Tabela2[[#This Row],[T]]</f>
        <v>Botafogo RJ</v>
      </c>
      <c r="BR5" s="79">
        <f t="shared" si="4"/>
        <v>1.4001037113860284</v>
      </c>
      <c r="BS5" s="79">
        <f t="shared" si="5"/>
        <v>1.7830609212481425</v>
      </c>
      <c r="BT5" s="79">
        <f t="shared" si="6"/>
        <v>1.6775077028414931</v>
      </c>
      <c r="BU5" s="79">
        <f t="shared" si="7"/>
        <v>1.3476079958074416</v>
      </c>
      <c r="BV5" s="75">
        <f t="shared" si="8"/>
        <v>-0.27740399145546468</v>
      </c>
      <c r="BW5" s="75">
        <f t="shared" si="9"/>
        <v>0.43545292544070091</v>
      </c>
      <c r="BX5" s="242" t="str">
        <f>Tabela2[[#This Row],[T]]</f>
        <v>Botafogo RJ</v>
      </c>
      <c r="BY5" s="75">
        <f ca="1">AVERAGEIF($B$2:$B$1469,Tabela2[[#This Row],[T]],$G$2:$G$1214)</f>
        <v>2.6449999999999996</v>
      </c>
      <c r="BZ5" s="75">
        <f ca="1">AVERAGEIF($C$2:$C$1469,Tabela2[[#This Row],[T]],$I$2:$I$1214)</f>
        <v>4.1728571428571426</v>
      </c>
      <c r="CA5" s="76">
        <f t="array" ref="CA5">_xlfn.STDEV.S(IF($B$2:$B$1469=Tabela2[[#This Row],[T]],$G$2:$G$1183))</f>
        <v>0.99295854226985214</v>
      </c>
      <c r="CB5" s="76">
        <f t="array" ref="CB5">_xlfn.STDEV.S(IF($C$2:$C1472=Tabela2[[#This Row],[T]],$I$2:$I$1183))</f>
        <v>1.394927886854302</v>
      </c>
      <c r="CC5" s="86">
        <f t="shared" ca="1" si="10"/>
        <v>0.37540965681279859</v>
      </c>
      <c r="CD5" s="87">
        <f t="shared" ca="1" si="11"/>
        <v>0.33428603930092826</v>
      </c>
      <c r="CE5" s="242" t="str">
        <f>Tabela2[[#This Row],[T]]</f>
        <v>Botafogo RJ</v>
      </c>
      <c r="CF5" s="75">
        <f ca="1">AVERAGEIF($B$2:$B$1469,Tabela2[[#This Row],[T]],$W$2:$W$1203)</f>
        <v>1</v>
      </c>
      <c r="CG5" s="75">
        <f ca="1">AVERAGEIF($C$2:$C$1469,Tabela2[[#This Row],[T]],$W$2:$W$1203)</f>
        <v>1</v>
      </c>
      <c r="CH5" s="75">
        <f ca="1">AVERAGEIF($B$2:$B$1469,Tabela2[[#This Row],[T]],$X$2:$X$1203)</f>
        <v>1</v>
      </c>
      <c r="CI5" s="75">
        <f ca="1">AVERAGEIF($C$2:$C$1469,Tabela2[[#This Row],[T]],$X$2:$X$1183)</f>
        <v>0.8571428571428571</v>
      </c>
      <c r="CJ5" s="84">
        <f ca="1">AVERAGEIF($B$2:$B$1469,Tabela2[[#This Row],[T]],$Y$2:$Y$1203)</f>
        <v>1</v>
      </c>
      <c r="CK5" s="85">
        <f ca="1">AVERAGEIF($C$2:$C$1469,Tabela2[[#This Row],[T]],$Y$2:$Y$1203)</f>
        <v>0.8571428571428571</v>
      </c>
      <c r="CL5" s="75">
        <f ca="1">AVERAGEIF($B$2:$B$1469,Tabela2[[#This Row],[T]],$Z$2:$Z$1203)</f>
        <v>0.75</v>
      </c>
      <c r="CM5" s="75">
        <f ca="1">AVERAGEIF($C$2:$C$1469,Tabela2[[#This Row],[T]],$Z$2:$Z$1183)</f>
        <v>0.42857142857142855</v>
      </c>
      <c r="CN5" s="75">
        <f ca="1">AVERAGEIF($B$2:$B$1469,Tabela2[[#This Row],[T]],$AA$2:$AA$1203)</f>
        <v>0.25</v>
      </c>
      <c r="CO5" s="75">
        <f ca="1">AVERAGEIF($C$2:$C$1469,Tabela2[[#This Row],[T]],$AA$2:$AA$1203)</f>
        <v>0.42857142857142855</v>
      </c>
      <c r="CP5" s="75">
        <f ca="1">AVERAGEIF($B$2:$B$1469,Tabela2[[#This Row],[T]],$AB$2:$AB$1203)</f>
        <v>0</v>
      </c>
      <c r="CQ5" s="75">
        <f ca="1">AVERAGEIF($C$2:$C$1469,Tabela2[[#This Row],[T]],$AB$2:$AB$1183)</f>
        <v>0.14285714285714285</v>
      </c>
      <c r="CR5" s="242" t="str">
        <f>Tabela2[[#This Row],[T]]</f>
        <v>Botafogo RJ</v>
      </c>
      <c r="CS5" s="75">
        <f ca="1">AVERAGEIF($B$2:$B$1469,Tabela2[[#This Row],[T]],$AC$2:$AC$1240)</f>
        <v>0.5</v>
      </c>
      <c r="CT5" s="75">
        <f ca="1">AVERAGEIF($C$2:$C$1469,Tabela2[[#This Row],[T]],$AC$2:$AC$1220)</f>
        <v>0.8571428571428571</v>
      </c>
      <c r="CU5" s="242" t="str">
        <f>Tabela2[[#This Row],[T]]</f>
        <v>Botafogo RJ</v>
      </c>
      <c r="CV5" s="75">
        <f ca="1">AVERAGEIF($B$2:$B$1240,Tabela2[[#This Row],[T]],$L$2:$L$1205)</f>
        <v>0.66316526610644266</v>
      </c>
      <c r="CW5" s="75">
        <f ca="1">AVERAGEIF($C$2:$C$1240,Tabela2[[#This Row],[T]],$M$2:$M$1205)</f>
        <v>0.81337571546767562</v>
      </c>
      <c r="CX5" s="75">
        <f t="array" ref="CX5">_xlfn.STDEV.S(IF($B$2:$B$1203=Tabela2[[#This Row],[T]],$L$2:$L$1203))</f>
        <v>0.53281883535184693</v>
      </c>
      <c r="CY5" s="75">
        <f t="array" ref="CY5">_xlfn.STDEV.S(IF($C$2:$C$1203=Tabela2[[#This Row],[T]],$M$2:$M$1203))</f>
        <v>0.44802453853886198</v>
      </c>
      <c r="CZ5" s="75">
        <f ca="1">Tabela2[[#This Row],[DPPGC]]/Tabela2[[#This Row],[PESOGC]]</f>
        <v>0.80344804317047236</v>
      </c>
      <c r="DA5" s="75">
        <f ca="1">Tabela2[[#This Row],[DPPGV]]/Tabela2[[#This Row],[PESOGV]]</f>
        <v>0.55082113962703738</v>
      </c>
      <c r="DB5" s="242" t="str">
        <f>Tabela2[[#This Row],[T]]</f>
        <v>Botafogo RJ</v>
      </c>
      <c r="DC5" s="75">
        <f ca="1">AVERAGEIF($B$2:$B$1240,Tabela2[[#This Row],[T]],$AO$2:$AO$1205)</f>
        <v>0.38029775434863217</v>
      </c>
      <c r="DD5" s="75">
        <f ca="1">AVERAGEIF($C$2:$C$1240,Tabela2[[#This Row],[T]],$AP$2:$AP$1205)</f>
        <v>0.26943544450747331</v>
      </c>
      <c r="DE5" s="75">
        <f t="array" ref="DE5">_xlfn.STDEV.S(IF($B$2:$B$1203=Tabela2[[#This Row],[T]],$AO$2:$AO$1203))</f>
        <v>0.41881392853490812</v>
      </c>
      <c r="DF5" s="75">
        <f t="array" ref="DF5">_xlfn.STDEV.S(IF($C$2:$C$1203=Tabela2[[#This Row],[T]],$AP$2:$AP$1203))</f>
        <v>0.32630667949906822</v>
      </c>
      <c r="DG5" s="75">
        <f ca="1">Tabela2[[#This Row],[DPCGC]]/Tabela2[[#This Row],[CUSTGC]]</f>
        <v>1.1012789945400698</v>
      </c>
      <c r="DH5" s="75">
        <f ca="1">Tabela2[[#This Row],[DPCGV]]/Tabela2[[#This Row],[CUSTGV]]</f>
        <v>1.2110755513089797</v>
      </c>
      <c r="DI5" s="242" t="str">
        <f>Tabela2[[#This Row],[T]]</f>
        <v>Botafogo RJ</v>
      </c>
      <c r="DJ5" s="84">
        <f t="shared" ca="1" si="12"/>
        <v>4.6287499999999993</v>
      </c>
      <c r="DK5" s="85">
        <f t="shared" ca="1" si="13"/>
        <v>5.3651020408163266</v>
      </c>
      <c r="DL5" s="242" t="str">
        <f>Tabela2[[#This Row],[T]]</f>
        <v>Botafogo RJ</v>
      </c>
      <c r="DM5" s="82">
        <f ca="1">SUMIF($B$2:$B$1340,Tabela2[[#This Row],[T]],$R$2:$R$1240)</f>
        <v>0.61999999999999966</v>
      </c>
      <c r="DN5" s="83">
        <f ca="1">SUMIF($C$2:$C$1340,Tabela2[[#This Row],[T]],$S$2:$S$1240)</f>
        <v>3.16</v>
      </c>
      <c r="DO5" s="83">
        <f>SUMIF($B$2:$B$1240,Tabela2[[#This Row],[T]],$T$2:$T$1240)</f>
        <v>-0.60000000000000009</v>
      </c>
      <c r="DP5" s="83">
        <f>SUMIF($C$2:$C$1240,Tabela2[[#This Row],[T]],$T$2:$T$1240)</f>
        <v>-7</v>
      </c>
      <c r="DR5" s="237"/>
      <c r="DS5" s="237"/>
    </row>
    <row r="6" spans="1:123" x14ac:dyDescent="0.25">
      <c r="A6" s="4">
        <v>46050</v>
      </c>
      <c r="B6" t="s">
        <v>352</v>
      </c>
      <c r="C6" t="s">
        <v>361</v>
      </c>
      <c r="D6">
        <v>2</v>
      </c>
      <c r="E6">
        <v>1</v>
      </c>
      <c r="F6" t="s">
        <v>347</v>
      </c>
      <c r="G6">
        <v>1.53</v>
      </c>
      <c r="H6">
        <v>4.0999999999999996</v>
      </c>
      <c r="I6">
        <v>6</v>
      </c>
      <c r="J6" s="68">
        <f t="shared" si="14"/>
        <v>3</v>
      </c>
      <c r="K6" s="68">
        <f t="shared" si="15"/>
        <v>0</v>
      </c>
      <c r="L6" s="69">
        <f t="shared" si="16"/>
        <v>0.33333333333333331</v>
      </c>
      <c r="M6" s="69">
        <f t="shared" si="17"/>
        <v>0.65359477124183007</v>
      </c>
      <c r="N6" s="69">
        <f>IF(A6="","",Tabela1[[#This Row],[PTC]]*Tabela1[[#This Row],[ODDC]])</f>
        <v>4.59</v>
      </c>
      <c r="O6" s="69">
        <f>IF(A6="","",Tabela1[[#This Row],[PTV]]*Tabela1[[#This Row],[ODDV]])</f>
        <v>0</v>
      </c>
      <c r="P6" s="68">
        <f t="shared" si="18"/>
        <v>1</v>
      </c>
      <c r="Q6" s="68">
        <f t="shared" si="19"/>
        <v>-1</v>
      </c>
      <c r="R6" s="68">
        <f t="shared" si="20"/>
        <v>0.53</v>
      </c>
      <c r="S6" s="68">
        <f t="shared" si="21"/>
        <v>-1</v>
      </c>
      <c r="T6" s="68">
        <f>IF(A6="","",IF(F6="D",Tabela1[[#This Row],[ODDE]]-1,-1))</f>
        <v>-1</v>
      </c>
      <c r="U6" s="70">
        <f>IF(A6="","",IF(AND(Tabela1[[#This Row],[FTHG]]&gt;3,F6="H"),1,0))</f>
        <v>0</v>
      </c>
      <c r="V6" s="70">
        <f>IF(A6="","",IF(AND(Tabela1[[#This Row],[FTAG]]&gt;3,F6="A"),1,0))</f>
        <v>0</v>
      </c>
      <c r="W6" s="70">
        <f t="shared" si="22"/>
        <v>1</v>
      </c>
      <c r="X6" s="70">
        <f t="shared" si="23"/>
        <v>1</v>
      </c>
      <c r="Y6" s="71">
        <f t="shared" si="24"/>
        <v>1</v>
      </c>
      <c r="Z6" s="70">
        <f t="shared" si="25"/>
        <v>0</v>
      </c>
      <c r="AA6" s="70">
        <f t="shared" si="26"/>
        <v>0</v>
      </c>
      <c r="AB6" s="70">
        <f t="shared" si="27"/>
        <v>0</v>
      </c>
      <c r="AC6" s="71">
        <f t="shared" si="28"/>
        <v>1</v>
      </c>
      <c r="AD6" s="72" t="str">
        <f t="shared" si="29"/>
        <v>JAN</v>
      </c>
      <c r="AE6" s="73">
        <f>IF(A6="","",COUNT($N$2:N6))</f>
        <v>5</v>
      </c>
      <c r="AF6" s="74">
        <f t="shared" si="30"/>
        <v>1</v>
      </c>
      <c r="AG6" s="74">
        <f t="shared" si="31"/>
        <v>0</v>
      </c>
      <c r="AH6" s="74">
        <f t="shared" si="32"/>
        <v>0</v>
      </c>
      <c r="AI6" s="74" t="str">
        <f t="shared" si="33"/>
        <v>1,41-1,7</v>
      </c>
      <c r="AJ6" s="74" t="str">
        <f t="shared" si="34"/>
        <v>5,51-9,0</v>
      </c>
      <c r="AK6" s="74">
        <f>IF(A6="","",1/Tabela1[[#This Row],[ODDC]])</f>
        <v>0.65359477124183007</v>
      </c>
      <c r="AL6" s="74">
        <f>IF(A6="","",1/Tabela1[[#This Row],[ODDE]])</f>
        <v>0.24390243902439027</v>
      </c>
      <c r="AM6" s="74">
        <f>IF(A6="","",1/Tabela1[[#This Row],[ODDV]])</f>
        <v>0.16666666666666666</v>
      </c>
      <c r="AN6" s="74">
        <f>IF(A6="","",1-(Tabela1[[#This Row],[p(H)]]+Tabela1[[#This Row],[p(D)]]+Tabela1[[#This Row],[p(A)]]))</f>
        <v>-6.4163876932886943E-2</v>
      </c>
      <c r="AO6" s="74">
        <f>IF(A6="","",IFERROR(Tabela1[[#This Row],[p(H)]]/Tabela1[[#This Row],[FTHG]],1))</f>
        <v>0.32679738562091504</v>
      </c>
      <c r="AP6" s="74">
        <f>IF(A6="","",IFERROR(Tabela1[[#This Row],[p(A)]]/Tabela1[[#This Row],[FTAG]],1))</f>
        <v>0.16666666666666666</v>
      </c>
      <c r="AQ6" s="244" t="s">
        <v>355</v>
      </c>
      <c r="AR6" s="75">
        <f>AVERAGEIF($B$2:$B$1203,Tabela2[[#This Row],[T]],$J$2:$J$1214)</f>
        <v>1.6666666666666667</v>
      </c>
      <c r="AS6" s="75">
        <f>AVERAGEIF($C$2:$C$1203,Tabela2[[#This Row],[T]],$K$2:$K$1214)</f>
        <v>1.1666666666666667</v>
      </c>
      <c r="AT6" s="75">
        <f t="array" ref="AT6">_xlfn.STDEV.S(IF($B$2:$B$1203=Tabela2[[#This Row],[T]],$J$2:$J$1203))</f>
        <v>1.505545305418162</v>
      </c>
      <c r="AU6" s="75">
        <f t="array" ref="AU6">_xlfn.STDEV.S(IF($C$2:$C$1203=Tabela2[[#This Row],[T]],$K$2:$K$1203))</f>
        <v>1.4719601443879746</v>
      </c>
      <c r="AV6" s="84">
        <f>Tabela2[[#This Row],[DPMPTC]]/Tabela2[[#This Row],[MPTC]]</f>
        <v>0.90332718325089711</v>
      </c>
      <c r="AW6" s="85">
        <f>Tabela2[[#This Row],[DPMPTV]]/Tabela2[[#This Row],[MPTV]]</f>
        <v>1.261680123761121</v>
      </c>
      <c r="AX6" s="243" t="str">
        <f>Tabela2[[#This Row],[T]]</f>
        <v>Bragantino</v>
      </c>
      <c r="AY6" s="75">
        <f ca="1">AVERAGEIF($B$2:$B$1203,Tabela2[[#This Row],[T]],$U$2:$U$1194)</f>
        <v>0.16666666666666666</v>
      </c>
      <c r="AZ6" s="75">
        <f ca="1">AVERAGEIF($B$2:$B$1203,Tabela2[[#This Row],[T]],$V$2:$V$1194)</f>
        <v>0</v>
      </c>
      <c r="BA6" s="75">
        <f ca="1">AVERAGEIF($C$2:$C$1203,Tabela2[[#This Row],[T1]],$V$2:$V$1194)</f>
        <v>0</v>
      </c>
      <c r="BB6" s="75">
        <f ca="1">AVERAGEIF($C$2:$C$1203,Tabela2[[#This Row],[T]],$U$2:$U$1194)</f>
        <v>0</v>
      </c>
      <c r="BC6" s="243" t="str">
        <f>Tabela2[[#This Row],[T]]</f>
        <v>Bragantino</v>
      </c>
      <c r="BD6" s="75">
        <f>AVERAGEIF($B$2:$B$1203,Tabela2[[#This Row],[T]],$D$2:$D$1203)</f>
        <v>1.8333333333333333</v>
      </c>
      <c r="BE6" s="75">
        <f>AVERAGEIF($C$2:$C$1203,Tabela2[[#This Row],[T]],$E$2:$E$1203)</f>
        <v>0.66666666666666663</v>
      </c>
      <c r="BF6" s="76">
        <f t="array" ref="BF6">_xlfn.STDEV.S(IF($B$2:$B$1203=Tabela2[[#This Row],[T]],$D$2:$D$1203))</f>
        <v>1.3291601358251257</v>
      </c>
      <c r="BG6" s="76">
        <f t="array" ref="BG6">_xlfn.STDEV.S(IF($C$2:$C$1203=Tabela2[[#This Row],[T]],$E$2:$E$1203))</f>
        <v>0.51639777949432231</v>
      </c>
      <c r="BH6" s="84">
        <f t="shared" si="0"/>
        <v>0.72499643772279587</v>
      </c>
      <c r="BI6" s="85">
        <f t="shared" si="1"/>
        <v>0.77459666924148352</v>
      </c>
      <c r="BJ6" s="243" t="str">
        <f>Tabela2[[#This Row],[T]]</f>
        <v>Bragantino</v>
      </c>
      <c r="BK6" s="75">
        <f>AVERAGEIF($B$2:$B$1203,Tabela2[[#This Row],[T]],$E$2:$E$1203)</f>
        <v>1.1666666666666667</v>
      </c>
      <c r="BL6" s="75">
        <f>AVERAGEIF($C$2:$C$1203,Tabela2[[#This Row],[T]],$D$2:$D$1203)</f>
        <v>1.1666666666666667</v>
      </c>
      <c r="BM6" s="76">
        <f t="array" ref="BM6">_xlfn.STDEV.S(IF($B$2:$B$1203=Tabela2[[#This Row],[T]],$E$2:$E$1203))</f>
        <v>0.98319208025017513</v>
      </c>
      <c r="BN6" s="76">
        <f t="array" ref="BN6">_xlfn.STDEV.S(IF($C$2:$C$1203=Tabela2[[#This Row],[T]],$D$2:$D$1203))</f>
        <v>0.98319208025017513</v>
      </c>
      <c r="BO6" s="84">
        <f t="shared" si="2"/>
        <v>0.84273606878586438</v>
      </c>
      <c r="BP6" s="85">
        <f t="shared" si="3"/>
        <v>0.84273606878586438</v>
      </c>
      <c r="BQ6" s="243" t="str">
        <f>Tabela2[[#This Row],[T]]</f>
        <v>Bragantino</v>
      </c>
      <c r="BR6" s="79">
        <f t="shared" si="4"/>
        <v>1.1408252463145416</v>
      </c>
      <c r="BS6" s="79">
        <f t="shared" si="5"/>
        <v>0.64007315121728192</v>
      </c>
      <c r="BT6" s="79">
        <f t="shared" si="6"/>
        <v>1.1183384685609954</v>
      </c>
      <c r="BU6" s="79">
        <f t="shared" si="7"/>
        <v>0.73369768660627377</v>
      </c>
      <c r="BV6" s="75">
        <f t="shared" si="8"/>
        <v>2.2486777753546239E-2</v>
      </c>
      <c r="BW6" s="75">
        <f t="shared" si="9"/>
        <v>-9.3624535388991847E-2</v>
      </c>
      <c r="BX6" s="243" t="str">
        <f>Tabela2[[#This Row],[T]]</f>
        <v>Bragantino</v>
      </c>
      <c r="BY6" s="75">
        <f ca="1">AVERAGEIF($B$2:$B$1469,Tabela2[[#This Row],[T]],$G$2:$G$1214)</f>
        <v>2.253333333333333</v>
      </c>
      <c r="BZ6" s="75">
        <f ca="1">AVERAGEIF($C$2:$C$1469,Tabela2[[#This Row],[T]],$I$2:$I$1214)</f>
        <v>3.92</v>
      </c>
      <c r="CA6" s="76">
        <f t="array" ref="CA6">_xlfn.STDEV.S(IF($B$2:$B$1469=Tabela2[[#This Row],[T]],$G$2:$G$1183))</f>
        <v>0.80713485036062493</v>
      </c>
      <c r="CB6" s="76">
        <f t="array" ref="CB6">_xlfn.STDEV.S(IF($C$2:$C1473=Tabela2[[#This Row],[T]],$I$2:$I$1183))</f>
        <v>0.92617492948146696</v>
      </c>
      <c r="CC6" s="86">
        <f t="shared" ca="1" si="10"/>
        <v>0.35819593950915313</v>
      </c>
      <c r="CD6" s="87">
        <f t="shared" ca="1" si="11"/>
        <v>0.23626911466363953</v>
      </c>
      <c r="CE6" s="243" t="str">
        <f>Tabela2[[#This Row],[T]]</f>
        <v>Bragantino</v>
      </c>
      <c r="CF6" s="75">
        <f ca="1">AVERAGEIF($B$2:$B$1469,Tabela2[[#This Row],[T]],$W$2:$W$1203)</f>
        <v>1</v>
      </c>
      <c r="CG6" s="75">
        <f ca="1">AVERAGEIF($C$2:$C$1469,Tabela2[[#This Row],[T]],$W$2:$W$1203)</f>
        <v>1</v>
      </c>
      <c r="CH6" s="75">
        <f ca="1">AVERAGEIF($B$2:$B$1469,Tabela2[[#This Row],[T]],$X$2:$X$1203)</f>
        <v>0.83333333333333337</v>
      </c>
      <c r="CI6" s="75">
        <f ca="1">AVERAGEIF($C$2:$C$1469,Tabela2[[#This Row],[T]],$X$2:$X$1183)</f>
        <v>0.66666666666666663</v>
      </c>
      <c r="CJ6" s="84">
        <f ca="1">AVERAGEIF($B$2:$B$1469,Tabela2[[#This Row],[T]],$Y$2:$Y$1203)</f>
        <v>0.66666666666666663</v>
      </c>
      <c r="CK6" s="85">
        <f ca="1">AVERAGEIF($C$2:$C$1469,Tabela2[[#This Row],[T]],$Y$2:$Y$1203)</f>
        <v>0.16666666666666666</v>
      </c>
      <c r="CL6" s="75">
        <f ca="1">AVERAGEIF($B$2:$B$1469,Tabela2[[#This Row],[T]],$Z$2:$Z$1203)</f>
        <v>0.16666666666666666</v>
      </c>
      <c r="CM6" s="75">
        <f ca="1">AVERAGEIF($C$2:$C$1469,Tabela2[[#This Row],[T]],$Z$2:$Z$1183)</f>
        <v>0</v>
      </c>
      <c r="CN6" s="75">
        <f ca="1">AVERAGEIF($B$2:$B$1469,Tabela2[[#This Row],[T]],$AA$2:$AA$1203)</f>
        <v>0.16666666666666666</v>
      </c>
      <c r="CO6" s="75">
        <f ca="1">AVERAGEIF($C$2:$C$1469,Tabela2[[#This Row],[T]],$AA$2:$AA$1203)</f>
        <v>0</v>
      </c>
      <c r="CP6" s="75">
        <f ca="1">AVERAGEIF($B$2:$B$1469,Tabela2[[#This Row],[T]],$AB$2:$AB$1203)</f>
        <v>0.16666666666666666</v>
      </c>
      <c r="CQ6" s="75">
        <f ca="1">AVERAGEIF($C$2:$C$1469,Tabela2[[#This Row],[T]],$AB$2:$AB$1183)</f>
        <v>0</v>
      </c>
      <c r="CR6" s="243" t="str">
        <f>Tabela2[[#This Row],[T]]</f>
        <v>Bragantino</v>
      </c>
      <c r="CS6" s="75">
        <f ca="1">AVERAGEIF($B$2:$B$1469,Tabela2[[#This Row],[T]],$AC$2:$AC$1240)</f>
        <v>0.66666666666666663</v>
      </c>
      <c r="CT6" s="75">
        <f ca="1">AVERAGEIF($C$2:$C$1469,Tabela2[[#This Row],[T]],$AC$2:$AC$1220)</f>
        <v>0.33333333333333331</v>
      </c>
      <c r="CU6" s="243" t="str">
        <f>Tabela2[[#This Row],[T]]</f>
        <v>Bragantino</v>
      </c>
      <c r="CV6" s="75">
        <f ca="1">AVERAGEIF($B$2:$B$1240,Tabela2[[#This Row],[T]],$L$2:$L$1205)</f>
        <v>0.52263412400607534</v>
      </c>
      <c r="CW6" s="75">
        <f ca="1">AVERAGEIF($C$2:$C$1240,Tabela2[[#This Row],[T]],$M$2:$M$1205)</f>
        <v>0.30364686787721112</v>
      </c>
      <c r="CX6" s="75">
        <f t="array" ref="CX6">_xlfn.STDEV.S(IF($B$2:$B$1203=Tabela2[[#This Row],[T]],$L$2:$L$1203))</f>
        <v>0.48249225130112866</v>
      </c>
      <c r="CY6" s="75">
        <f t="array" ref="CY6">_xlfn.STDEV.S(IF($C$2:$C$1203=Tabela2[[#This Row],[T]],$M$2:$M$1203))</f>
        <v>0.23973502731277266</v>
      </c>
      <c r="CZ6" s="75">
        <f ca="1">Tabela2[[#This Row],[DPPGC]]/Tabela2[[#This Row],[PESOGC]]</f>
        <v>0.92319316542660335</v>
      </c>
      <c r="DA6" s="75">
        <f ca="1">Tabela2[[#This Row],[DPPGV]]/Tabela2[[#This Row],[PESOGV]]</f>
        <v>0.78951918387551701</v>
      </c>
      <c r="DB6" s="243" t="str">
        <f>Tabela2[[#This Row],[T]]</f>
        <v>Bragantino</v>
      </c>
      <c r="DC6" s="75">
        <f ca="1">AVERAGEIF($B$2:$B$1240,Tabela2[[#This Row],[T]],$AO$2:$AO$1205)</f>
        <v>0.36894928871043348</v>
      </c>
      <c r="DD6" s="75">
        <f ca="1">AVERAGEIF($C$2:$C$1240,Tabela2[[#This Row],[T]],$AP$2:$AP$1205)</f>
        <v>0.53354966054434139</v>
      </c>
      <c r="DE6" s="75">
        <f t="array" ref="DE6">_xlfn.STDEV.S(IF($B$2:$B$1203=Tabela2[[#This Row],[T]],$AO$2:$AO$1203))</f>
        <v>0.19197422428779828</v>
      </c>
      <c r="DF6" s="75">
        <f t="array" ref="DF6">_xlfn.STDEV.S(IF($C$2:$C$1203=Tabela2[[#This Row],[T]],$AP$2:$AP$1203))</f>
        <v>0.36283873101375402</v>
      </c>
      <c r="DG6" s="75">
        <f ca="1">Tabela2[[#This Row],[DPCGC]]/Tabela2[[#This Row],[CUSTGC]]</f>
        <v>0.52032685835713188</v>
      </c>
      <c r="DH6" s="75">
        <f ca="1">Tabela2[[#This Row],[DPCGV]]/Tabela2[[#This Row],[CUSTGV]]</f>
        <v>0.68004678448033573</v>
      </c>
      <c r="DI6" s="243" t="str">
        <f>Tabela2[[#This Row],[T]]</f>
        <v>Bragantino</v>
      </c>
      <c r="DJ6" s="84">
        <f t="shared" ca="1" si="12"/>
        <v>3.7555555555555551</v>
      </c>
      <c r="DK6" s="85">
        <f t="shared" ca="1" si="13"/>
        <v>4.5733333333333333</v>
      </c>
      <c r="DL6" s="243" t="str">
        <f>Tabela2[[#This Row],[T]]</f>
        <v>Bragantino</v>
      </c>
      <c r="DM6" s="82">
        <f ca="1">SUMIF($B$2:$B$1340,Tabela2[[#This Row],[T]],$R$2:$R$1240)</f>
        <v>1.2999999999999996</v>
      </c>
      <c r="DN6" s="83">
        <f ca="1">SUMIF($C$2:$C$1340,Tabela2[[#This Row],[T]],$S$2:$S$1240)</f>
        <v>0.41999999999999993</v>
      </c>
      <c r="DO6" s="83">
        <f>SUMIF($B$2:$B$1240,Tabela2[[#This Row],[T]],$T$2:$T$1240)</f>
        <v>-2.7</v>
      </c>
      <c r="DP6" s="83">
        <f>SUMIF($C$2:$C$1240,Tabela2[[#This Row],[T]],$T$2:$T$1240)</f>
        <v>-2.6</v>
      </c>
      <c r="DR6" s="237"/>
      <c r="DS6" s="237"/>
    </row>
    <row r="7" spans="1:123" x14ac:dyDescent="0.25">
      <c r="A7" s="4">
        <v>46050</v>
      </c>
      <c r="B7" t="s">
        <v>390</v>
      </c>
      <c r="C7" t="s">
        <v>362</v>
      </c>
      <c r="D7">
        <v>4</v>
      </c>
      <c r="E7">
        <v>2</v>
      </c>
      <c r="F7" t="s">
        <v>347</v>
      </c>
      <c r="G7">
        <v>3</v>
      </c>
      <c r="H7">
        <v>3.1</v>
      </c>
      <c r="I7">
        <v>2.5</v>
      </c>
      <c r="J7" s="68">
        <f t="shared" si="14"/>
        <v>3</v>
      </c>
      <c r="K7" s="68">
        <f t="shared" si="15"/>
        <v>0</v>
      </c>
      <c r="L7" s="69">
        <f t="shared" si="16"/>
        <v>1.6</v>
      </c>
      <c r="M7" s="69">
        <f t="shared" si="17"/>
        <v>0.66666666666666663</v>
      </c>
      <c r="N7" s="69">
        <f>IF(A7="","",Tabela1[[#This Row],[PTC]]*Tabela1[[#This Row],[ODDC]])</f>
        <v>9</v>
      </c>
      <c r="O7" s="69">
        <f>IF(A7="","",Tabela1[[#This Row],[PTV]]*Tabela1[[#This Row],[ODDV]])</f>
        <v>0</v>
      </c>
      <c r="P7" s="68">
        <f t="shared" si="18"/>
        <v>2</v>
      </c>
      <c r="Q7" s="68">
        <f t="shared" si="19"/>
        <v>-2</v>
      </c>
      <c r="R7" s="68">
        <f t="shared" si="20"/>
        <v>2</v>
      </c>
      <c r="S7" s="68">
        <f t="shared" si="21"/>
        <v>-1</v>
      </c>
      <c r="T7" s="68">
        <f>IF(A7="","",IF(F7="D",Tabela1[[#This Row],[ODDE]]-1,-1))</f>
        <v>-1</v>
      </c>
      <c r="U7" s="70">
        <f>IF(A7="","",IF(AND(Tabela1[[#This Row],[FTHG]]&gt;3,F7="H"),1,0))</f>
        <v>1</v>
      </c>
      <c r="V7" s="70">
        <f>IF(A7="","",IF(AND(Tabela1[[#This Row],[FTAG]]&gt;3,F7="A"),1,0))</f>
        <v>0</v>
      </c>
      <c r="W7" s="70">
        <f t="shared" si="22"/>
        <v>1</v>
      </c>
      <c r="X7" s="70">
        <f t="shared" si="23"/>
        <v>1</v>
      </c>
      <c r="Y7" s="71">
        <f t="shared" si="24"/>
        <v>1</v>
      </c>
      <c r="Z7" s="70">
        <f t="shared" si="25"/>
        <v>1</v>
      </c>
      <c r="AA7" s="70">
        <f t="shared" si="26"/>
        <v>1</v>
      </c>
      <c r="AB7" s="70">
        <f t="shared" si="27"/>
        <v>1</v>
      </c>
      <c r="AC7" s="71">
        <f t="shared" si="28"/>
        <v>1</v>
      </c>
      <c r="AD7" s="72" t="str">
        <f t="shared" si="29"/>
        <v>JAN</v>
      </c>
      <c r="AE7" s="73">
        <f>IF(A7="","",COUNT($N$2:N7))</f>
        <v>6</v>
      </c>
      <c r="AF7" s="74">
        <f t="shared" si="30"/>
        <v>1</v>
      </c>
      <c r="AG7" s="74">
        <f t="shared" si="31"/>
        <v>0</v>
      </c>
      <c r="AH7" s="74">
        <f t="shared" si="32"/>
        <v>0</v>
      </c>
      <c r="AI7" s="74" t="str">
        <f t="shared" si="33"/>
        <v>2,41-3,0</v>
      </c>
      <c r="AJ7" s="74" t="str">
        <f t="shared" si="34"/>
        <v>2,41-3,0</v>
      </c>
      <c r="AK7" s="74">
        <f>IF(A7="","",1/Tabela1[[#This Row],[ODDC]])</f>
        <v>0.33333333333333331</v>
      </c>
      <c r="AL7" s="74">
        <f>IF(A7="","",1/Tabela1[[#This Row],[ODDE]])</f>
        <v>0.32258064516129031</v>
      </c>
      <c r="AM7" s="74">
        <f>IF(A7="","",1/Tabela1[[#This Row],[ODDV]])</f>
        <v>0.4</v>
      </c>
      <c r="AN7" s="74">
        <f>IF(A7="","",1-(Tabela1[[#This Row],[p(H)]]+Tabela1[[#This Row],[p(D)]]+Tabela1[[#This Row],[p(A)]]))</f>
        <v>-5.5913978494623651E-2</v>
      </c>
      <c r="AO7" s="74">
        <f>IF(A7="","",IFERROR(Tabela1[[#This Row],[p(H)]]/Tabela1[[#This Row],[FTHG]],1))</f>
        <v>8.3333333333333329E-2</v>
      </c>
      <c r="AP7" s="74">
        <f>IF(A7="","",IFERROR(Tabela1[[#This Row],[p(A)]]/Tabela1[[#This Row],[FTAG]],1))</f>
        <v>0.2</v>
      </c>
      <c r="AQ7" s="244" t="s">
        <v>390</v>
      </c>
      <c r="AR7" s="75">
        <f>AVERAGEIF($B$2:$B$1203,Tabela2[[#This Row],[T]],$J$2:$J$1214)</f>
        <v>1</v>
      </c>
      <c r="AS7" s="75">
        <f>AVERAGEIF($C$2:$C$1203,Tabela2[[#This Row],[T]],$K$2:$K$1214)</f>
        <v>0.25</v>
      </c>
      <c r="AT7" s="75">
        <f t="array" ref="AT7">_xlfn.STDEV.S(IF($B$2:$B$1203=Tabela2[[#This Row],[T]],$J$2:$J$1203))</f>
        <v>1</v>
      </c>
      <c r="AU7" s="75">
        <f t="array" ref="AU7">_xlfn.STDEV.S(IF($C$2:$C$1203=Tabela2[[#This Row],[T]],$K$2:$K$1203))</f>
        <v>0.5</v>
      </c>
      <c r="AV7" s="84">
        <f>Tabela2[[#This Row],[DPMPTC]]/Tabela2[[#This Row],[MPTC]]</f>
        <v>1</v>
      </c>
      <c r="AW7" s="85">
        <f>Tabela2[[#This Row],[DPMPTV]]/Tabela2[[#This Row],[MPTV]]</f>
        <v>2</v>
      </c>
      <c r="AX7" s="242" t="str">
        <f>Tabela2[[#This Row],[T]]</f>
        <v>Chapecoense-SC</v>
      </c>
      <c r="AY7" s="75">
        <f ca="1">AVERAGEIF($B$2:$B$1203,Tabela2[[#This Row],[T]],$U$2:$U$1194)</f>
        <v>0.14285714285714285</v>
      </c>
      <c r="AZ7" s="75">
        <f ca="1">AVERAGEIF($B$2:$B$1203,Tabela2[[#This Row],[T]],$V$2:$V$1194)</f>
        <v>0.2857142857142857</v>
      </c>
      <c r="BA7" s="75">
        <f ca="1">AVERAGEIF($C$2:$C$1203,Tabela2[[#This Row],[T1]],$V$2:$V$1194)</f>
        <v>0</v>
      </c>
      <c r="BB7" s="75">
        <f ca="1">AVERAGEIF($C$2:$C$1203,Tabela2[[#This Row],[T]],$U$2:$U$1194)</f>
        <v>0</v>
      </c>
      <c r="BC7" s="242" t="str">
        <f>Tabela2[[#This Row],[T]]</f>
        <v>Chapecoense-SC</v>
      </c>
      <c r="BD7" s="75">
        <f>AVERAGEIF($B$2:$B$1203,Tabela2[[#This Row],[T]],$D$2:$D$1203)</f>
        <v>1.4285714285714286</v>
      </c>
      <c r="BE7" s="75">
        <f>AVERAGEIF($C$2:$C$1203,Tabela2[[#This Row],[T]],$E$2:$E$1203)</f>
        <v>0.25</v>
      </c>
      <c r="BF7" s="76">
        <f t="array" ref="BF7">_xlfn.STDEV.S(IF($B$2:$B$1203=Tabela2[[#This Row],[T]],$D$2:$D$1203))</f>
        <v>1.5118578920369088</v>
      </c>
      <c r="BG7" s="76">
        <f t="array" ref="BG7">_xlfn.STDEV.S(IF($C$2:$C$1203=Tabela2[[#This Row],[T]],$E$2:$E$1203))</f>
        <v>0.5</v>
      </c>
      <c r="BH7" s="84">
        <f t="shared" si="0"/>
        <v>1.0583005244258361</v>
      </c>
      <c r="BI7" s="85">
        <f t="shared" si="1"/>
        <v>2</v>
      </c>
      <c r="BJ7" s="242" t="str">
        <f>Tabela2[[#This Row],[T]]</f>
        <v>Chapecoense-SC</v>
      </c>
      <c r="BK7" s="75">
        <f>AVERAGEIF($B$2:$B$1203,Tabela2[[#This Row],[T]],$E$2:$E$1203)</f>
        <v>2.1428571428571428</v>
      </c>
      <c r="BL7" s="75">
        <f>AVERAGEIF($C$2:$C$1203,Tabela2[[#This Row],[T]],$D$2:$D$1203)</f>
        <v>1.75</v>
      </c>
      <c r="BM7" s="76">
        <f t="array" ref="BM7">_xlfn.STDEV.S(IF($B$2:$B$1203=Tabela2[[#This Row],[T]],$E$2:$E$1203))</f>
        <v>1.5735915849388862</v>
      </c>
      <c r="BN7" s="76">
        <f t="array" ref="BN7">_xlfn.STDEV.S(IF($C$2:$C$1203=Tabela2[[#This Row],[T]],$D$2:$D$1203))</f>
        <v>0.5</v>
      </c>
      <c r="BO7" s="84">
        <f>IFERROR(BM7/BK7,0)</f>
        <v>0.73434273963814689</v>
      </c>
      <c r="BP7" s="85">
        <f t="shared" si="3"/>
        <v>0.2857142857142857</v>
      </c>
      <c r="BQ7" s="242" t="str">
        <f>Tabela2[[#This Row],[T]]</f>
        <v>Chapecoense-SC</v>
      </c>
      <c r="BR7" s="79">
        <f t="shared" si="4"/>
        <v>0.88895473738795461</v>
      </c>
      <c r="BS7" s="79">
        <f t="shared" si="5"/>
        <v>0.24002743170648072</v>
      </c>
      <c r="BT7" s="79">
        <f t="shared" si="6"/>
        <v>2.054091064703869</v>
      </c>
      <c r="BU7" s="79">
        <f t="shared" si="7"/>
        <v>1.1005465299094106</v>
      </c>
      <c r="BV7" s="75">
        <f t="shared" si="8"/>
        <v>-1.1651363273159143</v>
      </c>
      <c r="BW7" s="75">
        <f t="shared" si="9"/>
        <v>-0.86051909820292982</v>
      </c>
      <c r="BX7" s="242" t="str">
        <f>Tabela2[[#This Row],[T]]</f>
        <v>Chapecoense-SC</v>
      </c>
      <c r="BY7" s="75">
        <f ca="1">AVERAGEIF($B$2:$B$1469,Tabela2[[#This Row],[T]],$G$2:$G$1214)</f>
        <v>3.0785714285714287</v>
      </c>
      <c r="BZ7" s="75">
        <f ca="1">AVERAGEIF($C$2:$C$1469,Tabela2[[#This Row],[T]],$I$2:$I$1214)</f>
        <v>6.6875</v>
      </c>
      <c r="CA7" s="76">
        <f t="array" ref="CA7">_xlfn.STDEV.S(IF($B$2:$B$1469=Tabela2[[#This Row],[T]],$G$2:$G$1183))</f>
        <v>0.43383670397314628</v>
      </c>
      <c r="CB7" s="76">
        <f t="array" ref="CB7">_xlfn.STDEV.S(IF($C$2:$C1474=Tabela2[[#This Row],[T]],$I$2:$I$1183))</f>
        <v>0.94372930440884373</v>
      </c>
      <c r="CC7" s="86">
        <f t="shared" ca="1" si="10"/>
        <v>0.14092143516529113</v>
      </c>
      <c r="CD7" s="87">
        <f t="shared" ca="1" si="11"/>
        <v>0.14111840065926634</v>
      </c>
      <c r="CE7" s="242" t="str">
        <f>Tabela2[[#This Row],[T]]</f>
        <v>Chapecoense-SC</v>
      </c>
      <c r="CF7" s="75">
        <f ca="1">AVERAGEIF($B$2:$B$1469,Tabela2[[#This Row],[T]],$W$2:$W$1203)</f>
        <v>0.8571428571428571</v>
      </c>
      <c r="CG7" s="75">
        <f ca="1">AVERAGEIF($C$2:$C$1469,Tabela2[[#This Row],[T]],$W$2:$W$1203)</f>
        <v>1</v>
      </c>
      <c r="CH7" s="75">
        <f ca="1">AVERAGEIF($B$2:$B$1469,Tabela2[[#This Row],[T]],$X$2:$X$1203)</f>
        <v>0.8571428571428571</v>
      </c>
      <c r="CI7" s="75">
        <f ca="1">AVERAGEIF($C$2:$C$1469,Tabela2[[#This Row],[T]],$X$2:$X$1183)</f>
        <v>1</v>
      </c>
      <c r="CJ7" s="84">
        <f ca="1">AVERAGEIF($B$2:$B$1469,Tabela2[[#This Row],[T]],$Y$2:$Y$1203)</f>
        <v>0.5714285714285714</v>
      </c>
      <c r="CK7" s="85">
        <f ca="1">AVERAGEIF($C$2:$C$1469,Tabela2[[#This Row],[T]],$Y$2:$Y$1203)</f>
        <v>0</v>
      </c>
      <c r="CL7" s="75">
        <f ca="1">AVERAGEIF($B$2:$B$1469,Tabela2[[#This Row],[T]],$Z$2:$Z$1203)</f>
        <v>0.5714285714285714</v>
      </c>
      <c r="CM7" s="75">
        <f ca="1">AVERAGEIF($C$2:$C$1469,Tabela2[[#This Row],[T]],$Z$2:$Z$1183)</f>
        <v>0</v>
      </c>
      <c r="CN7" s="75">
        <f ca="1">AVERAGEIF($B$2:$B$1469,Tabela2[[#This Row],[T]],$AA$2:$AA$1203)</f>
        <v>0.42857142857142855</v>
      </c>
      <c r="CO7" s="75">
        <f ca="1">AVERAGEIF($C$2:$C$1469,Tabela2[[#This Row],[T]],$AA$2:$AA$1203)</f>
        <v>0</v>
      </c>
      <c r="CP7" s="75">
        <f ca="1">AVERAGEIF($B$2:$B$1469,Tabela2[[#This Row],[T]],$AB$2:$AB$1203)</f>
        <v>0.2857142857142857</v>
      </c>
      <c r="CQ7" s="75">
        <f ca="1">AVERAGEIF($C$2:$C$1469,Tabela2[[#This Row],[T]],$AB$2:$AB$1183)</f>
        <v>0</v>
      </c>
      <c r="CR7" s="242" t="str">
        <f>Tabela2[[#This Row],[T]]</f>
        <v>Chapecoense-SC</v>
      </c>
      <c r="CS7" s="75">
        <f ca="1">AVERAGEIF($B$2:$B$1469,Tabela2[[#This Row],[T]],$AC$2:$AC$1240)</f>
        <v>0.7142857142857143</v>
      </c>
      <c r="CT7" s="75">
        <f ca="1">AVERAGEIF($C$2:$C$1469,Tabela2[[#This Row],[T]],$AC$2:$AC$1220)</f>
        <v>0.25</v>
      </c>
      <c r="CU7" s="242" t="str">
        <f>Tabela2[[#This Row],[T]]</f>
        <v>Chapecoense-SC</v>
      </c>
      <c r="CV7" s="75">
        <f ca="1">AVERAGEIF($B$2:$B$1240,Tabela2[[#This Row],[T]],$L$2:$L$1205)</f>
        <v>0.57724264652325463</v>
      </c>
      <c r="CW7" s="75">
        <f ca="1">AVERAGEIF($C$2:$C$1240,Tabela2[[#This Row],[T]],$M$2:$M$1205)</f>
        <v>0.16339869281045752</v>
      </c>
      <c r="CX7" s="75">
        <f t="array" ref="CX7">_xlfn.STDEV.S(IF($B$2:$B$1203=Tabela2[[#This Row],[T]],$L$2:$L$1203))</f>
        <v>0.59029750826197802</v>
      </c>
      <c r="CY7" s="75">
        <f t="array" ref="CY7">_xlfn.STDEV.S(IF($C$2:$C$1203=Tabela2[[#This Row],[T]],$M$2:$M$1203))</f>
        <v>0.32679738562091504</v>
      </c>
      <c r="CZ7" s="75">
        <f ca="1">Tabela2[[#This Row],[DPPGC]]/Tabela2[[#This Row],[PESOGC]]</f>
        <v>1.0226158996001995</v>
      </c>
      <c r="DA7" s="75">
        <f ca="1">Tabela2[[#This Row],[DPPGV]]/Tabela2[[#This Row],[PESOGV]]</f>
        <v>2</v>
      </c>
      <c r="DB7" s="242" t="str">
        <f>Tabela2[[#This Row],[T]]</f>
        <v>Chapecoense-SC</v>
      </c>
      <c r="DC7" s="75">
        <f ca="1">AVERAGEIF($B$2:$B$1240,Tabela2[[#This Row],[T]],$AO$2:$AO$1205)</f>
        <v>0.46113394095850235</v>
      </c>
      <c r="DD7" s="75">
        <f ca="1">AVERAGEIF($C$2:$C$1240,Tabela2[[#This Row],[T]],$AP$2:$AP$1205)</f>
        <v>0.79166666666666674</v>
      </c>
      <c r="DE7" s="75">
        <f t="array" ref="DE7">_xlfn.STDEV.S(IF($B$2:$B$1203=Tabela2[[#This Row],[T]],$AO$2:$AO$1203))</f>
        <v>0.3851050217130837</v>
      </c>
      <c r="DF7" s="75">
        <f t="array" ref="DF7">_xlfn.STDEV.S(IF($C$2:$C$1203=Tabela2[[#This Row],[T]],$AP$2:$AP$1203))</f>
        <v>0.41666666666666635</v>
      </c>
      <c r="DG7" s="75">
        <f ca="1">Tabela2[[#This Row],[DPCGC]]/Tabela2[[#This Row],[CUSTGC]]</f>
        <v>0.83512616944355322</v>
      </c>
      <c r="DH7" s="75">
        <f ca="1">Tabela2[[#This Row],[DPCGV]]/Tabela2[[#This Row],[CUSTGV]]</f>
        <v>0.52631578947368374</v>
      </c>
      <c r="DI7" s="242" t="str">
        <f>Tabela2[[#This Row],[T]]</f>
        <v>Chapecoense-SC</v>
      </c>
      <c r="DJ7" s="84">
        <f t="shared" ca="1" si="12"/>
        <v>3.0785714285714287</v>
      </c>
      <c r="DK7" s="85">
        <f t="shared" ca="1" si="13"/>
        <v>1.671875</v>
      </c>
      <c r="DL7" s="242" t="str">
        <f>Tabela2[[#This Row],[T]]</f>
        <v>Chapecoense-SC</v>
      </c>
      <c r="DM7" s="82">
        <f ca="1">SUMIF($B$2:$B$1340,Tabela2[[#This Row],[T]],$R$2:$R$1240)</f>
        <v>-4</v>
      </c>
      <c r="DN7" s="83">
        <f ca="1">SUMIF($C$2:$C$1340,Tabela2[[#This Row],[T]],$S$2:$S$1240)</f>
        <v>-4</v>
      </c>
      <c r="DO7" s="83">
        <f>SUMIF($B$2:$B$1240,Tabela2[[#This Row],[T]],$T$2:$T$1240)</f>
        <v>5.9</v>
      </c>
      <c r="DP7" s="83">
        <f>SUMIF($C$2:$C$1240,Tabela2[[#This Row],[T]],$T$2:$T$1240)</f>
        <v>-0.10000000000000009</v>
      </c>
      <c r="DR7" s="237"/>
      <c r="DS7" s="237"/>
    </row>
    <row r="8" spans="1:123" x14ac:dyDescent="0.25">
      <c r="A8" s="4">
        <v>46050</v>
      </c>
      <c r="B8" t="s">
        <v>357</v>
      </c>
      <c r="C8" t="s">
        <v>356</v>
      </c>
      <c r="D8">
        <v>1</v>
      </c>
      <c r="E8">
        <v>2</v>
      </c>
      <c r="F8" t="s">
        <v>346</v>
      </c>
      <c r="G8">
        <v>2.2000000000000002</v>
      </c>
      <c r="H8">
        <v>3.5</v>
      </c>
      <c r="I8">
        <v>3.2</v>
      </c>
      <c r="J8" s="68">
        <f t="shared" si="14"/>
        <v>0</v>
      </c>
      <c r="K8" s="68">
        <f t="shared" si="15"/>
        <v>3</v>
      </c>
      <c r="L8" s="69">
        <f t="shared" si="16"/>
        <v>0.3125</v>
      </c>
      <c r="M8" s="69">
        <f t="shared" si="17"/>
        <v>0.90909090909090906</v>
      </c>
      <c r="N8" s="69">
        <f>IF(A8="","",Tabela1[[#This Row],[PTC]]*Tabela1[[#This Row],[ODDC]])</f>
        <v>0</v>
      </c>
      <c r="O8" s="69">
        <f>IF(A8="","",Tabela1[[#This Row],[PTV]]*Tabela1[[#This Row],[ODDV]])</f>
        <v>9.6000000000000014</v>
      </c>
      <c r="P8" s="68">
        <f t="shared" si="18"/>
        <v>-1</v>
      </c>
      <c r="Q8" s="68">
        <f t="shared" si="19"/>
        <v>1</v>
      </c>
      <c r="R8" s="68">
        <f t="shared" si="20"/>
        <v>-1</v>
      </c>
      <c r="S8" s="68">
        <f t="shared" si="21"/>
        <v>2.2000000000000002</v>
      </c>
      <c r="T8" s="68">
        <f>IF(A8="","",IF(F8="D",Tabela1[[#This Row],[ODDE]]-1,-1))</f>
        <v>-1</v>
      </c>
      <c r="U8" s="70">
        <f>IF(A8="","",IF(AND(Tabela1[[#This Row],[FTHG]]&gt;3,F8="H"),1,0))</f>
        <v>0</v>
      </c>
      <c r="V8" s="70">
        <f>IF(A8="","",IF(AND(Tabela1[[#This Row],[FTAG]]&gt;3,F8="A"),1,0))</f>
        <v>0</v>
      </c>
      <c r="W8" s="70">
        <f t="shared" si="22"/>
        <v>1</v>
      </c>
      <c r="X8" s="70">
        <f t="shared" si="23"/>
        <v>1</v>
      </c>
      <c r="Y8" s="71">
        <f t="shared" si="24"/>
        <v>1</v>
      </c>
      <c r="Z8" s="70">
        <f t="shared" si="25"/>
        <v>0</v>
      </c>
      <c r="AA8" s="70">
        <f t="shared" si="26"/>
        <v>0</v>
      </c>
      <c r="AB8" s="70">
        <f t="shared" si="27"/>
        <v>0</v>
      </c>
      <c r="AC8" s="71">
        <f t="shared" si="28"/>
        <v>1</v>
      </c>
      <c r="AD8" s="72" t="str">
        <f t="shared" si="29"/>
        <v>JAN</v>
      </c>
      <c r="AE8" s="73">
        <f>IF(A8="","",COUNT($N$2:N8))</f>
        <v>7</v>
      </c>
      <c r="AF8" s="74">
        <f t="shared" si="30"/>
        <v>0</v>
      </c>
      <c r="AG8" s="74">
        <f t="shared" si="31"/>
        <v>0</v>
      </c>
      <c r="AH8" s="74">
        <f t="shared" si="32"/>
        <v>1</v>
      </c>
      <c r="AI8" s="74" t="str">
        <f t="shared" si="33"/>
        <v>2,01-2,4</v>
      </c>
      <c r="AJ8" s="74" t="str">
        <f t="shared" si="34"/>
        <v>3,01-4.0</v>
      </c>
      <c r="AK8" s="74">
        <f>IF(A8="","",1/Tabela1[[#This Row],[ODDC]])</f>
        <v>0.45454545454545453</v>
      </c>
      <c r="AL8" s="74">
        <f>IF(A8="","",1/Tabela1[[#This Row],[ODDE]])</f>
        <v>0.2857142857142857</v>
      </c>
      <c r="AM8" s="74">
        <f>IF(A8="","",1/Tabela1[[#This Row],[ODDV]])</f>
        <v>0.3125</v>
      </c>
      <c r="AN8" s="74">
        <f>IF(A8="","",1-(Tabela1[[#This Row],[p(H)]]+Tabela1[[#This Row],[p(D)]]+Tabela1[[#This Row],[p(A)]]))</f>
        <v>-5.2759740259740173E-2</v>
      </c>
      <c r="AO8" s="74">
        <f>IF(A8="","",IFERROR(Tabela1[[#This Row],[p(H)]]/Tabela1[[#This Row],[FTHG]],1))</f>
        <v>0.45454545454545453</v>
      </c>
      <c r="AP8" s="74">
        <f>IF(A8="","",IFERROR(Tabela1[[#This Row],[p(A)]]/Tabela1[[#This Row],[FTAG]],1))</f>
        <v>0.15625</v>
      </c>
      <c r="AQ8" s="244" t="s">
        <v>357</v>
      </c>
      <c r="AR8" s="75">
        <f>AVERAGEIF($B$2:$B$1203,Tabela2[[#This Row],[T]],$J$2:$J$1214)</f>
        <v>0.83333333333333337</v>
      </c>
      <c r="AS8" s="75">
        <f>AVERAGEIF($C$2:$C$1203,Tabela2[[#This Row],[T]],$K$2:$K$1214)</f>
        <v>1.1666666666666667</v>
      </c>
      <c r="AT8" s="75">
        <f t="array" ref="AT8">_xlfn.STDEV.S(IF($B$2:$B$1203=Tabela2[[#This Row],[T]],$J$2:$J$1203))</f>
        <v>1.1690451944500122</v>
      </c>
      <c r="AU8" s="75">
        <f t="array" ref="AU8">_xlfn.STDEV.S(IF($C$2:$C$1203=Tabela2[[#This Row],[T]],$K$2:$K$1203))</f>
        <v>0.98319208025017513</v>
      </c>
      <c r="AV8" s="84">
        <f>Tabela2[[#This Row],[DPMPTC]]/Tabela2[[#This Row],[MPTC]]</f>
        <v>1.4028542333400147</v>
      </c>
      <c r="AW8" s="85">
        <f>Tabela2[[#This Row],[DPMPTV]]/Tabela2[[#This Row],[MPTV]]</f>
        <v>0.84273606878586438</v>
      </c>
      <c r="AX8" s="243" t="str">
        <f>Tabela2[[#This Row],[T]]</f>
        <v>Corinthians</v>
      </c>
      <c r="AY8" s="75">
        <f ca="1">AVERAGEIF($B$2:$B$1203,Tabela2[[#This Row],[T]],$U$2:$U$1194)</f>
        <v>0</v>
      </c>
      <c r="AZ8" s="75">
        <f ca="1">AVERAGEIF($B$2:$B$1203,Tabela2[[#This Row],[T]],$V$2:$V$1194)</f>
        <v>0</v>
      </c>
      <c r="BA8" s="75">
        <f ca="1">AVERAGEIF($C$2:$C$1203,Tabela2[[#This Row],[T1]],$V$2:$V$1194)</f>
        <v>0</v>
      </c>
      <c r="BB8" s="75">
        <f ca="1">AVERAGEIF($C$2:$C$1203,Tabela2[[#This Row],[T]],$U$2:$U$1194)</f>
        <v>0</v>
      </c>
      <c r="BC8" s="243" t="str">
        <f>Tabela2[[#This Row],[T]]</f>
        <v>Corinthians</v>
      </c>
      <c r="BD8" s="75">
        <f>AVERAGEIF($B$2:$B$1203,Tabela2[[#This Row],[T]],$D$2:$D$1203)</f>
        <v>0.66666666666666663</v>
      </c>
      <c r="BE8" s="75">
        <f>AVERAGEIF($C$2:$C$1203,Tabela2[[#This Row],[T]],$E$2:$E$1203)</f>
        <v>0.66666666666666663</v>
      </c>
      <c r="BF8" s="76">
        <f>IFERROR(_xlfn.STDEV.S(IF($B$2:$B$1203=Tabela2[[#This Row],[T]],$D$2:$D$1203)),0)</f>
        <v>1.1470820500689274</v>
      </c>
      <c r="BG8" s="76">
        <f t="array" ref="BG8">_xlfn.STDEV.S(IF($C$2:$C$1203=Tabela2[[#This Row],[T]],$E$2:$E$1203))</f>
        <v>0.51639777949432231</v>
      </c>
      <c r="BH8" s="84">
        <f t="shared" si="0"/>
        <v>1.7206230751033911</v>
      </c>
      <c r="BI8" s="85">
        <f t="shared" si="1"/>
        <v>0.77459666924148352</v>
      </c>
      <c r="BJ8" s="243" t="str">
        <f>Tabela2[[#This Row],[T]]</f>
        <v>Corinthians</v>
      </c>
      <c r="BK8" s="75">
        <f>AVERAGEIF($B$2:$B$1203,Tabela2[[#This Row],[T]],$E$2:$E$1203)</f>
        <v>1</v>
      </c>
      <c r="BL8" s="75">
        <f>AVERAGEIF($C$2:$C$1203,Tabela2[[#This Row],[T]],$D$2:$D$1203)</f>
        <v>0.83333333333333337</v>
      </c>
      <c r="BM8" s="76">
        <f>IFERROR(_xlfn.STDEV.S(IF($B$2:$B$1203=Tabela2[[#This Row],[T]],$E$2:$E$1203)),0)</f>
        <v>0.9545368424290267</v>
      </c>
      <c r="BN8" s="76">
        <f t="array" ref="BN8">_xlfn.STDEV.S(IF($C$2:$C$1203=Tabela2[[#This Row],[T]],$D$2:$D$1203))</f>
        <v>1.1690451944500122</v>
      </c>
      <c r="BO8" s="84">
        <f t="shared" si="2"/>
        <v>0.9545368424290267</v>
      </c>
      <c r="BP8" s="85">
        <f t="shared" si="3"/>
        <v>1.4028542333400147</v>
      </c>
      <c r="BQ8" s="243" t="str">
        <f>Tabela2[[#This Row],[T]]</f>
        <v>Corinthians</v>
      </c>
      <c r="BR8" s="79">
        <f t="shared" si="4"/>
        <v>0.41484554411437879</v>
      </c>
      <c r="BS8" s="79">
        <f t="shared" si="5"/>
        <v>0.64007315121728192</v>
      </c>
      <c r="BT8" s="79">
        <f t="shared" si="6"/>
        <v>0.95857583019513892</v>
      </c>
      <c r="BU8" s="79">
        <f t="shared" si="7"/>
        <v>0.52406977614733841</v>
      </c>
      <c r="BV8" s="75">
        <f t="shared" si="8"/>
        <v>-0.54373028608076013</v>
      </c>
      <c r="BW8" s="75">
        <f t="shared" si="9"/>
        <v>0.11600337506994352</v>
      </c>
      <c r="BX8" s="243" t="str">
        <f>Tabela2[[#This Row],[T]]</f>
        <v>Corinthians</v>
      </c>
      <c r="BY8" s="75">
        <f ca="1">AVERAGEIF($B$2:$B$1469,Tabela2[[#This Row],[T]],$G$2:$G$1214)</f>
        <v>2.3050000000000002</v>
      </c>
      <c r="BZ8" s="75">
        <f ca="1">AVERAGEIF($C$2:$C$1469,Tabela2[[#This Row],[T]],$I$2:$I$1214)</f>
        <v>3.5583333333333336</v>
      </c>
      <c r="CA8" s="76">
        <f t="array" ref="CA8">_xlfn.STDEV.S(IF($B$2:$B$1469=Tabela2[[#This Row],[T]],$G$2:$G$1183))</f>
        <v>0.63849040713232297</v>
      </c>
      <c r="CB8" s="76">
        <f t="array" ref="CB8">_xlfn.STDEV.S(IF($C$2:$C1475=Tabela2[[#This Row],[T]],$I$2:$I$1183))</f>
        <v>1.2670503804769029</v>
      </c>
      <c r="CC8" s="86">
        <f t="shared" ca="1" si="10"/>
        <v>0.27700234582747196</v>
      </c>
      <c r="CD8" s="87">
        <f t="shared" ca="1" si="11"/>
        <v>0.35607973221833333</v>
      </c>
      <c r="CE8" s="243" t="str">
        <f>Tabela2[[#This Row],[T]]</f>
        <v>Corinthians</v>
      </c>
      <c r="CF8" s="75">
        <f ca="1">AVERAGEIF($B$2:$B$1469,Tabela2[[#This Row],[T]],$W$2:$W$1203)</f>
        <v>0.83333333333333337</v>
      </c>
      <c r="CG8" s="75">
        <f ca="1">AVERAGEIF($C$2:$C$1469,Tabela2[[#This Row],[T]],$W$2:$W$1203)</f>
        <v>0.66666666666666663</v>
      </c>
      <c r="CH8" s="75">
        <f ca="1">AVERAGEIF($B$2:$B$1469,Tabela2[[#This Row],[T]],$X$2:$X$1203)</f>
        <v>0.66666666666666663</v>
      </c>
      <c r="CI8" s="75">
        <f ca="1">AVERAGEIF($C$2:$C$1469,Tabela2[[#This Row],[T]],$X$2:$X$1183)</f>
        <v>0.5</v>
      </c>
      <c r="CJ8" s="84">
        <f ca="1">AVERAGEIF($B$2:$B$1469,Tabela2[[#This Row],[T]],$Y$2:$Y$1203)</f>
        <v>0.16666666666666666</v>
      </c>
      <c r="CK8" s="85">
        <f ca="1">AVERAGEIF($C$2:$C$1469,Tabela2[[#This Row],[T]],$Y$2:$Y$1203)</f>
        <v>0.16666666666666666</v>
      </c>
      <c r="CL8" s="75">
        <f ca="1">AVERAGEIF($B$2:$B$1469,Tabela2[[#This Row],[T]],$Z$2:$Z$1203)</f>
        <v>0</v>
      </c>
      <c r="CM8" s="75">
        <f ca="1">AVERAGEIF($C$2:$C$1469,Tabela2[[#This Row],[T]],$Z$2:$Z$1183)</f>
        <v>0.16666666666666666</v>
      </c>
      <c r="CN8" s="75">
        <f ca="1">AVERAGEIF($B$2:$B$1469,Tabela2[[#This Row],[T]],$AA$2:$AA$1203)</f>
        <v>0</v>
      </c>
      <c r="CO8" s="75">
        <f ca="1">AVERAGEIF($C$2:$C$1469,Tabela2[[#This Row],[T]],$AA$2:$AA$1203)</f>
        <v>0</v>
      </c>
      <c r="CP8" s="75">
        <f ca="1">AVERAGEIF($B$2:$B$1469,Tabela2[[#This Row],[T]],$AB$2:$AB$1203)</f>
        <v>0</v>
      </c>
      <c r="CQ8" s="75">
        <f ca="1">AVERAGEIF($C$2:$C$1469,Tabela2[[#This Row],[T]],$AB$2:$AB$1183)</f>
        <v>0</v>
      </c>
      <c r="CR8" s="243" t="str">
        <f>Tabela2[[#This Row],[T]]</f>
        <v>Corinthians</v>
      </c>
      <c r="CS8" s="75">
        <f ca="1">AVERAGEIF($B$2:$B$1469,Tabela2[[#This Row],[T]],$AC$2:$AC$1240)</f>
        <v>0.33333333333333331</v>
      </c>
      <c r="CT8" s="75">
        <f ca="1">AVERAGEIF($C$2:$C$1469,Tabela2[[#This Row],[T]],$AC$2:$AC$1220)</f>
        <v>0.5</v>
      </c>
      <c r="CU8" s="243" t="str">
        <f>Tabela2[[#This Row],[T]]</f>
        <v>Corinthians</v>
      </c>
      <c r="CV8" s="75">
        <f ca="1">AVERAGEIF($B$2:$B$1240,Tabela2[[#This Row],[T]],$L$2:$L$1205)</f>
        <v>0.19633284600389864</v>
      </c>
      <c r="CW8" s="75">
        <f ca="1">AVERAGEIF($C$2:$C$1240,Tabela2[[#This Row],[T]],$M$2:$M$1205)</f>
        <v>0.32218432385517309</v>
      </c>
      <c r="CX8" s="75">
        <f t="array" ref="CX8">_xlfn.STDEV.S(IF($B$2:$B$1203=Tabela2[[#This Row],[T]],$L$2:$L$1203))</f>
        <v>0.21963283645081133</v>
      </c>
      <c r="CY8" s="75">
        <f t="array" ref="CY8">_xlfn.STDEV.S(IF($C$2:$C$1203=Tabela2[[#This Row],[T]],$M$2:$M$1203))</f>
        <v>0.26386641394706128</v>
      </c>
      <c r="CZ8" s="75">
        <f ca="1">Tabela2[[#This Row],[DPPGC]]/Tabela2[[#This Row],[PESOGC]]</f>
        <v>1.1186759674764253</v>
      </c>
      <c r="DA8" s="75">
        <f ca="1">Tabela2[[#This Row],[DPPGV]]/Tabela2[[#This Row],[PESOGV]]</f>
        <v>0.81899209368632531</v>
      </c>
      <c r="DB8" s="243" t="str">
        <f>Tabela2[[#This Row],[T]]</f>
        <v>Corinthians</v>
      </c>
      <c r="DC8" s="75">
        <f ca="1">AVERAGEIF($B$2:$B$1240,Tabela2[[#This Row],[T]],$AO$2:$AO$1205)</f>
        <v>0.66958005098422557</v>
      </c>
      <c r="DD8" s="75">
        <f ca="1">AVERAGEIF($C$2:$C$1240,Tabela2[[#This Row],[T]],$AP$2:$AP$1205)</f>
        <v>0.51275917065390753</v>
      </c>
      <c r="DE8" s="75">
        <f t="array" ref="DE8">_xlfn.STDEV.S(IF($B$2:$B$1203=Tabela2[[#This Row],[T]],$AO$2:$AO$1203))</f>
        <v>0.36752000811693775</v>
      </c>
      <c r="DF8" s="75">
        <f t="array" ref="DF8">_xlfn.STDEV.S(IF($C$2:$C$1203=Tabela2[[#This Row],[T]],$AP$2:$AP$1203))</f>
        <v>0.38316401031616204</v>
      </c>
      <c r="DG8" s="75">
        <f ca="1">Tabela2[[#This Row],[DPCGC]]/Tabela2[[#This Row],[CUSTGC]]</f>
        <v>0.5488813586616188</v>
      </c>
      <c r="DH8" s="75">
        <f ca="1">Tabela2[[#This Row],[DPCGV]]/Tabela2[[#This Row],[CUSTGV]]</f>
        <v>0.74725920518890698</v>
      </c>
      <c r="DI8" s="243" t="str">
        <f>Tabela2[[#This Row],[T]]</f>
        <v>Corinthians</v>
      </c>
      <c r="DJ8" s="84">
        <f t="shared" ca="1" si="12"/>
        <v>1.9208333333333336</v>
      </c>
      <c r="DK8" s="85">
        <f t="shared" ca="1" si="13"/>
        <v>4.1513888888888895</v>
      </c>
      <c r="DL8" s="243" t="str">
        <f>Tabela2[[#This Row],[T]]</f>
        <v>Corinthians</v>
      </c>
      <c r="DM8" s="82">
        <f ca="1">SUMIF($B$2:$B$1340,Tabela2[[#This Row],[T]],$R$2:$R$1240)</f>
        <v>-4.1399999999999997</v>
      </c>
      <c r="DN8" s="83">
        <f ca="1">SUMIF($C$2:$C$1340,Tabela2[[#This Row],[T]],$S$2:$S$1240)</f>
        <v>-3.15</v>
      </c>
      <c r="DO8" s="83">
        <f>SUMIF($B$2:$B$1240,Tabela2[[#This Row],[T]],$T$2:$T$1240)</f>
        <v>0.10000000000000009</v>
      </c>
      <c r="DP8" s="83">
        <f>SUMIF($C$2:$C$1240,Tabela2[[#This Row],[T]],$T$2:$T$1240)</f>
        <v>6.6</v>
      </c>
      <c r="DR8" s="237"/>
      <c r="DS8" s="237"/>
    </row>
    <row r="9" spans="1:123" x14ac:dyDescent="0.25">
      <c r="A9" s="4">
        <v>46051</v>
      </c>
      <c r="B9" t="s">
        <v>351</v>
      </c>
      <c r="C9" t="s">
        <v>363</v>
      </c>
      <c r="D9">
        <v>2</v>
      </c>
      <c r="E9">
        <v>1</v>
      </c>
      <c r="F9" t="s">
        <v>347</v>
      </c>
      <c r="G9">
        <v>3.7</v>
      </c>
      <c r="H9">
        <v>3</v>
      </c>
      <c r="I9">
        <v>2.2000000000000002</v>
      </c>
      <c r="J9" s="68">
        <f t="shared" si="14"/>
        <v>3</v>
      </c>
      <c r="K9" s="68">
        <f t="shared" si="15"/>
        <v>0</v>
      </c>
      <c r="L9" s="69">
        <f t="shared" si="16"/>
        <v>0.90909090909090906</v>
      </c>
      <c r="M9" s="69">
        <f t="shared" si="17"/>
        <v>0.27027027027027023</v>
      </c>
      <c r="N9" s="69">
        <f>IF(A9="","",Tabela1[[#This Row],[PTC]]*Tabela1[[#This Row],[ODDC]])</f>
        <v>11.100000000000001</v>
      </c>
      <c r="O9" s="69">
        <f>IF(A9="","",Tabela1[[#This Row],[PTV]]*Tabela1[[#This Row],[ODDV]])</f>
        <v>0</v>
      </c>
      <c r="P9" s="68">
        <f t="shared" si="18"/>
        <v>1</v>
      </c>
      <c r="Q9" s="68">
        <f t="shared" si="19"/>
        <v>-1</v>
      </c>
      <c r="R9" s="68">
        <f t="shared" si="20"/>
        <v>2.7</v>
      </c>
      <c r="S9" s="68">
        <f t="shared" si="21"/>
        <v>-1</v>
      </c>
      <c r="T9" s="68">
        <f>IF(A9="","",IF(F9="D",Tabela1[[#This Row],[ODDE]]-1,-1))</f>
        <v>-1</v>
      </c>
      <c r="U9" s="70">
        <f>IF(A9="","",IF(AND(Tabela1[[#This Row],[FTHG]]&gt;3,F9="H"),1,0))</f>
        <v>0</v>
      </c>
      <c r="V9" s="70">
        <f>IF(A9="","",IF(AND(Tabela1[[#This Row],[FTAG]]&gt;3,F9="A"),1,0))</f>
        <v>0</v>
      </c>
      <c r="W9" s="70">
        <f t="shared" si="22"/>
        <v>1</v>
      </c>
      <c r="X9" s="70">
        <f t="shared" si="23"/>
        <v>1</v>
      </c>
      <c r="Y9" s="71">
        <f t="shared" si="24"/>
        <v>1</v>
      </c>
      <c r="Z9" s="70">
        <f t="shared" si="25"/>
        <v>0</v>
      </c>
      <c r="AA9" s="70">
        <f t="shared" si="26"/>
        <v>0</v>
      </c>
      <c r="AB9" s="70">
        <f t="shared" si="27"/>
        <v>0</v>
      </c>
      <c r="AC9" s="71">
        <f t="shared" si="28"/>
        <v>1</v>
      </c>
      <c r="AD9" s="72" t="str">
        <f t="shared" si="29"/>
        <v>JAN</v>
      </c>
      <c r="AE9" s="73">
        <f>IF(A9="","",COUNT($N$2:N9))</f>
        <v>8</v>
      </c>
      <c r="AF9" s="74">
        <f t="shared" si="30"/>
        <v>1</v>
      </c>
      <c r="AG9" s="74">
        <f t="shared" si="31"/>
        <v>0</v>
      </c>
      <c r="AH9" s="74">
        <f t="shared" si="32"/>
        <v>0</v>
      </c>
      <c r="AI9" s="74" t="str">
        <f t="shared" si="33"/>
        <v>3,01-4.0</v>
      </c>
      <c r="AJ9" s="74" t="str">
        <f t="shared" si="34"/>
        <v>2,01-2,4</v>
      </c>
      <c r="AK9" s="74">
        <f>IF(A9="","",1/Tabela1[[#This Row],[ODDC]])</f>
        <v>0.27027027027027023</v>
      </c>
      <c r="AL9" s="74">
        <f>IF(A9="","",1/Tabela1[[#This Row],[ODDE]])</f>
        <v>0.33333333333333331</v>
      </c>
      <c r="AM9" s="74">
        <f>IF(A9="","",1/Tabela1[[#This Row],[ODDV]])</f>
        <v>0.45454545454545453</v>
      </c>
      <c r="AN9" s="74">
        <f>IF(A9="","",1-(Tabela1[[#This Row],[p(H)]]+Tabela1[[#This Row],[p(D)]]+Tabela1[[#This Row],[p(A)]]))</f>
        <v>-5.8149058149058019E-2</v>
      </c>
      <c r="AO9" s="74">
        <f>IF(A9="","",IFERROR(Tabela1[[#This Row],[p(H)]]/Tabela1[[#This Row],[FTHG]],1))</f>
        <v>0.13513513513513511</v>
      </c>
      <c r="AP9" s="74">
        <f>IF(A9="","",IFERROR(Tabela1[[#This Row],[p(A)]]/Tabela1[[#This Row],[FTAG]],1))</f>
        <v>0.45454545454545453</v>
      </c>
      <c r="AQ9" s="244" t="s">
        <v>387</v>
      </c>
      <c r="AR9" s="75">
        <f>AVERAGEIF($B$2:$B$1203,Tabela2[[#This Row],[T]],$J$2:$J$1214)</f>
        <v>1.3333333333333333</v>
      </c>
      <c r="AS9" s="75">
        <f>AVERAGEIF($C$2:$C$1203,Tabela2[[#This Row],[T]],$K$2:$K$1214)</f>
        <v>1.8333333333333333</v>
      </c>
      <c r="AT9" s="75">
        <f t="array" ref="AT9">_xlfn.STDEV.S(IF($B$2:$B$1203=Tabela2[[#This Row],[T]],$J$2:$J$1203))</f>
        <v>1.3662601021279464</v>
      </c>
      <c r="AU9" s="75">
        <f t="array" ref="AU9">_xlfn.STDEV.S(IF($C$2:$C$1203=Tabela2[[#This Row],[T]],$K$2:$K$1203))</f>
        <v>1.3291601358251257</v>
      </c>
      <c r="AV9" s="84">
        <f>Tabela2[[#This Row],[DPMPTC]]/Tabela2[[#This Row],[MPTC]]</f>
        <v>1.0246950765959599</v>
      </c>
      <c r="AW9" s="85">
        <f>Tabela2[[#This Row],[DPMPTV]]/Tabela2[[#This Row],[MPTV]]</f>
        <v>0.72499643772279587</v>
      </c>
      <c r="AX9" s="243" t="str">
        <f>Tabela2[[#This Row],[T]]</f>
        <v>Coritiba</v>
      </c>
      <c r="AY9" s="75">
        <f ca="1">AVERAGEIF($B$2:$B$1203,Tabela2[[#This Row],[T]],$U$2:$U$1194)</f>
        <v>0</v>
      </c>
      <c r="AZ9" s="75">
        <f ca="1">AVERAGEIF($B$2:$B$1203,Tabela2[[#This Row],[T]],$V$2:$V$1194)</f>
        <v>0</v>
      </c>
      <c r="BA9" s="75">
        <f ca="1">AVERAGEIF($C$2:$C$1203,Tabela2[[#This Row],[T1]],$V$2:$V$1194)</f>
        <v>0</v>
      </c>
      <c r="BB9" s="75">
        <f ca="1">AVERAGEIF($C$2:$C$1203,Tabela2[[#This Row],[T]],$U$2:$U$1194)</f>
        <v>0</v>
      </c>
      <c r="BC9" s="243" t="str">
        <f>Tabela2[[#This Row],[T]]</f>
        <v>Coritiba</v>
      </c>
      <c r="BD9" s="75">
        <f>AVERAGEIF($B$2:$B$1203,Tabela2[[#This Row],[T]],$D$2:$D$1203)</f>
        <v>0.83333333333333337</v>
      </c>
      <c r="BE9" s="75">
        <f>AVERAGEIF($C$2:$C$1203,Tabela2[[#This Row],[T]],$E$2:$E$1203)</f>
        <v>1.6666666666666667</v>
      </c>
      <c r="BF9" s="76">
        <f t="array" ref="BF9">_xlfn.STDEV.S(IF($B$2:$B$1203=Tabela2[[#This Row],[T]],$D$2:$D$1203))</f>
        <v>0.752772652709081</v>
      </c>
      <c r="BG9" s="76">
        <f t="array" ref="BG9">_xlfn.STDEV.S(IF($C$2:$C$1203=Tabela2[[#This Row],[T]],$E$2:$E$1203))</f>
        <v>1.0327955589886444</v>
      </c>
      <c r="BH9" s="84">
        <f t="shared" si="0"/>
        <v>0.90332718325089711</v>
      </c>
      <c r="BI9" s="85">
        <f t="shared" si="1"/>
        <v>0.61967733539318659</v>
      </c>
      <c r="BJ9" s="243" t="str">
        <f>Tabela2[[#This Row],[T]]</f>
        <v>Coritiba</v>
      </c>
      <c r="BK9" s="75">
        <f>AVERAGEIF($B$2:$B$1203,Tabela2[[#This Row],[T]],$E$2:$E$1203)</f>
        <v>0.66666666666666663</v>
      </c>
      <c r="BL9" s="75">
        <f>AVERAGEIF($C$2:$C$1203,Tabela2[[#This Row],[T]],$D$2:$D$1203)</f>
        <v>1.3333333333333333</v>
      </c>
      <c r="BM9" s="76">
        <f t="array" ref="BM9">_xlfn.STDEV.S(IF($B$2:$B$1203=Tabela2[[#This Row],[T]],$E$2:$E$1203))</f>
        <v>0.51639777949432231</v>
      </c>
      <c r="BN9" s="76">
        <f t="array" ref="BN9">_xlfn.STDEV.S(IF($C$2:$C$1203=Tabela2[[#This Row],[T]],$D$2:$D$1203))</f>
        <v>1.2110601416389968</v>
      </c>
      <c r="BO9" s="84">
        <f t="shared" si="2"/>
        <v>0.77459666924148352</v>
      </c>
      <c r="BP9" s="85">
        <f t="shared" si="3"/>
        <v>0.90829510622924758</v>
      </c>
      <c r="BQ9" s="243" t="str">
        <f>Tabela2[[#This Row],[T]]</f>
        <v>Coritiba</v>
      </c>
      <c r="BR9" s="79">
        <f t="shared" si="4"/>
        <v>0.51855693014297355</v>
      </c>
      <c r="BS9" s="79">
        <f t="shared" si="5"/>
        <v>1.6001828780432048</v>
      </c>
      <c r="BT9" s="79">
        <f t="shared" si="6"/>
        <v>0.63905055346342587</v>
      </c>
      <c r="BU9" s="79">
        <f t="shared" si="7"/>
        <v>0.83851164183574134</v>
      </c>
      <c r="BV9" s="75">
        <f t="shared" si="8"/>
        <v>-0.12049362332045233</v>
      </c>
      <c r="BW9" s="75">
        <f t="shared" si="9"/>
        <v>0.76167123620746346</v>
      </c>
      <c r="BX9" s="243" t="str">
        <f>Tabela2[[#This Row],[T]]</f>
        <v>Coritiba</v>
      </c>
      <c r="BY9" s="75">
        <f ca="1">AVERAGEIF($B$2:$B$1469,Tabela2[[#This Row],[T]],$G$2:$G$1214)</f>
        <v>2.4849999999999999</v>
      </c>
      <c r="BZ9" s="75">
        <f ca="1">AVERAGEIF($C$2:$C$1469,Tabela2[[#This Row],[T]],$I$2:$I$1214)</f>
        <v>5.3916666666666666</v>
      </c>
      <c r="CA9" s="76">
        <f t="array" ref="CA9">_xlfn.STDEV.S(IF($B$2:$B$1469=Tabela2[[#This Row],[T]],$G$2:$G$1183))</f>
        <v>0.50134818240420576</v>
      </c>
      <c r="CB9" s="76">
        <f t="array" ref="CB9">_xlfn.STDEV.S(IF($C$2:$C1476=Tabela2[[#This Row],[T]],$I$2:$I$1183))</f>
        <v>2.3288230217572687</v>
      </c>
      <c r="CC9" s="86">
        <f t="shared" ca="1" si="10"/>
        <v>0.2017497715912297</v>
      </c>
      <c r="CD9" s="87">
        <f t="shared" ca="1" si="11"/>
        <v>0.43193008131510396</v>
      </c>
      <c r="CE9" s="243" t="str">
        <f>Tabela2[[#This Row],[T]]</f>
        <v>Coritiba</v>
      </c>
      <c r="CF9" s="75">
        <f ca="1">AVERAGEIF($B$2:$B$1469,Tabela2[[#This Row],[T]],$W$2:$W$1203)</f>
        <v>1</v>
      </c>
      <c r="CG9" s="75">
        <f ca="1">AVERAGEIF($C$2:$C$1469,Tabela2[[#This Row],[T]],$W$2:$W$1203)</f>
        <v>1</v>
      </c>
      <c r="CH9" s="75">
        <f ca="1">AVERAGEIF($B$2:$B$1469,Tabela2[[#This Row],[T]],$X$2:$X$1203)</f>
        <v>0.5</v>
      </c>
      <c r="CI9" s="75">
        <f ca="1">AVERAGEIF($C$2:$C$1469,Tabela2[[#This Row],[T]],$X$2:$X$1183)</f>
        <v>0.83333333333333337</v>
      </c>
      <c r="CJ9" s="84">
        <f ca="1">AVERAGEIF($B$2:$B$1469,Tabela2[[#This Row],[T]],$Y$2:$Y$1203)</f>
        <v>0</v>
      </c>
      <c r="CK9" s="85">
        <f ca="1">AVERAGEIF($C$2:$C$1469,Tabela2[[#This Row],[T]],$Y$2:$Y$1203)</f>
        <v>0.5</v>
      </c>
      <c r="CL9" s="75">
        <f ca="1">AVERAGEIF($B$2:$B$1469,Tabela2[[#This Row],[T]],$Z$2:$Z$1203)</f>
        <v>0</v>
      </c>
      <c r="CM9" s="75">
        <f ca="1">AVERAGEIF($C$2:$C$1469,Tabela2[[#This Row],[T]],$Z$2:$Z$1183)</f>
        <v>0.33333333333333331</v>
      </c>
      <c r="CN9" s="75">
        <f ca="1">AVERAGEIF($B$2:$B$1469,Tabela2[[#This Row],[T]],$AA$2:$AA$1203)</f>
        <v>0</v>
      </c>
      <c r="CO9" s="75">
        <f ca="1">AVERAGEIF($C$2:$C$1469,Tabela2[[#This Row],[T]],$AA$2:$AA$1203)</f>
        <v>0.16666666666666666</v>
      </c>
      <c r="CP9" s="75">
        <f ca="1">AVERAGEIF($B$2:$B$1469,Tabela2[[#This Row],[T]],$AB$2:$AB$1203)</f>
        <v>0</v>
      </c>
      <c r="CQ9" s="75">
        <f ca="1">AVERAGEIF($C$2:$C$1469,Tabela2[[#This Row],[T]],$AB$2:$AB$1183)</f>
        <v>0.16666666666666666</v>
      </c>
      <c r="CR9" s="243" t="str">
        <f>Tabela2[[#This Row],[T]]</f>
        <v>Coritiba</v>
      </c>
      <c r="CS9" s="75">
        <f ca="1">AVERAGEIF($B$2:$B$1469,Tabela2[[#This Row],[T]],$AC$2:$AC$1240)</f>
        <v>0.33333333333333331</v>
      </c>
      <c r="CT9" s="75">
        <f ca="1">AVERAGEIF($C$2:$C$1469,Tabela2[[#This Row],[T]],$AC$2:$AC$1220)</f>
        <v>0.5</v>
      </c>
      <c r="CU9" s="243" t="str">
        <f>Tabela2[[#This Row],[T]]</f>
        <v>Coritiba</v>
      </c>
      <c r="CV9" s="75">
        <f ca="1">AVERAGEIF($B$2:$B$1240,Tabela2[[#This Row],[T]],$L$2:$L$1205)</f>
        <v>0.25864527629233514</v>
      </c>
      <c r="CW9" s="75">
        <f ca="1">AVERAGEIF($C$2:$C$1240,Tabela2[[#This Row],[T]],$M$2:$M$1205)</f>
        <v>0.92322866436511619</v>
      </c>
      <c r="CX9" s="75">
        <f t="array" ref="CX9">_xlfn.STDEV.S(IF($B$2:$B$1203=Tabela2[[#This Row],[T]],$L$2:$L$1203))</f>
        <v>0.23531591213274219</v>
      </c>
      <c r="CY9" s="75">
        <f t="array" ref="CY9">_xlfn.STDEV.S(IF($C$2:$C$1203=Tabela2[[#This Row],[T]],$M$2:$M$1203))</f>
        <v>0.52939686142334086</v>
      </c>
      <c r="CZ9" s="75">
        <f ca="1">Tabela2[[#This Row],[DPPGC]]/Tabela2[[#This Row],[PESOGC]]</f>
        <v>0.90980170025133256</v>
      </c>
      <c r="DA9" s="75">
        <f ca="1">Tabela2[[#This Row],[DPPGV]]/Tabela2[[#This Row],[PESOGV]]</f>
        <v>0.57341900425870695</v>
      </c>
      <c r="DB9" s="243" t="str">
        <f>Tabela2[[#This Row],[T]]</f>
        <v>Coritiba</v>
      </c>
      <c r="DC9" s="75">
        <f ca="1">AVERAGEIF($B$2:$B$1240,Tabela2[[#This Row],[T]],$AO$2:$AO$1205)</f>
        <v>0.58598322910409972</v>
      </c>
      <c r="DD9" s="75">
        <f ca="1">AVERAGEIF($C$2:$C$1240,Tabela2[[#This Row],[T]],$AP$2:$AP$1205)</f>
        <v>0.25957756025283335</v>
      </c>
      <c r="DE9" s="75">
        <f t="array" ref="DE9">_xlfn.STDEV.S(IF($B$2:$B$1203=Tabela2[[#This Row],[T]],$AO$2:$AO$1203))</f>
        <v>0.34368062908134678</v>
      </c>
      <c r="DF9" s="75">
        <f t="array" ref="DF9">_xlfn.STDEV.S(IF($C$2:$C$1203=Tabela2[[#This Row],[T]],$AP$2:$AP$1203))</f>
        <v>0.36443971213799048</v>
      </c>
      <c r="DG9" s="75">
        <f ca="1">Tabela2[[#This Row],[DPCGC]]/Tabela2[[#This Row],[CUSTGC]]</f>
        <v>0.58650250043298091</v>
      </c>
      <c r="DH9" s="75">
        <f ca="1">Tabela2[[#This Row],[DPCGV]]/Tabela2[[#This Row],[CUSTGV]]</f>
        <v>1.4039723302084335</v>
      </c>
      <c r="DI9" s="243" t="str">
        <f>Tabela2[[#This Row],[T]]</f>
        <v>Coritiba</v>
      </c>
      <c r="DJ9" s="84">
        <f t="shared" ca="1" si="12"/>
        <v>3.313333333333333</v>
      </c>
      <c r="DK9" s="85">
        <f t="shared" ca="1" si="13"/>
        <v>9.8847222222222211</v>
      </c>
      <c r="DL9" s="243" t="str">
        <f>Tabela2[[#This Row],[T]]</f>
        <v>Coritiba</v>
      </c>
      <c r="DM9" s="82">
        <f ca="1">SUMIF($B$2:$B$1340,Tabela2[[#This Row],[T]],$R$2:$R$1240)</f>
        <v>-2.1399999999999997</v>
      </c>
      <c r="DN9" s="83">
        <f ca="1">SUMIF($C$2:$C$1340,Tabela2[[#This Row],[T]],$S$2:$S$1240)</f>
        <v>14.75</v>
      </c>
      <c r="DO9" s="83">
        <f>SUMIF($B$2:$B$1240,Tabela2[[#This Row],[T]],$T$2:$T$1240)</f>
        <v>0</v>
      </c>
      <c r="DP9" s="83">
        <f>SUMIF($C$2:$C$1240,Tabela2[[#This Row],[T]],$T$2:$T$1240)</f>
        <v>0.60000000000000009</v>
      </c>
      <c r="DR9" s="237"/>
      <c r="DS9" s="237"/>
    </row>
    <row r="10" spans="1:123" x14ac:dyDescent="0.25">
      <c r="A10" s="4">
        <v>46051</v>
      </c>
      <c r="B10" t="s">
        <v>382</v>
      </c>
      <c r="C10" t="s">
        <v>360</v>
      </c>
      <c r="D10">
        <v>2</v>
      </c>
      <c r="E10">
        <v>1</v>
      </c>
      <c r="F10" t="s">
        <v>347</v>
      </c>
      <c r="G10">
        <v>1.79</v>
      </c>
      <c r="H10">
        <v>3.3</v>
      </c>
      <c r="I10">
        <v>4.5</v>
      </c>
      <c r="J10" s="68">
        <f t="shared" si="14"/>
        <v>3</v>
      </c>
      <c r="K10" s="68">
        <f t="shared" si="15"/>
        <v>0</v>
      </c>
      <c r="L10" s="69">
        <f t="shared" si="16"/>
        <v>0.44444444444444442</v>
      </c>
      <c r="M10" s="69">
        <f t="shared" si="17"/>
        <v>0.55865921787709494</v>
      </c>
      <c r="N10" s="69">
        <f>IF(A10="","",Tabela1[[#This Row],[PTC]]*Tabela1[[#This Row],[ODDC]])</f>
        <v>5.37</v>
      </c>
      <c r="O10" s="69">
        <f>IF(A10="","",Tabela1[[#This Row],[PTV]]*Tabela1[[#This Row],[ODDV]])</f>
        <v>0</v>
      </c>
      <c r="P10" s="68">
        <f t="shared" si="18"/>
        <v>1</v>
      </c>
      <c r="Q10" s="68">
        <f t="shared" si="19"/>
        <v>-1</v>
      </c>
      <c r="R10" s="68">
        <f t="shared" si="20"/>
        <v>0.79</v>
      </c>
      <c r="S10" s="68">
        <f t="shared" si="21"/>
        <v>-1</v>
      </c>
      <c r="T10" s="68">
        <f>IF(A10="","",IF(F10="D",Tabela1[[#This Row],[ODDE]]-1,-1))</f>
        <v>-1</v>
      </c>
      <c r="U10" s="70">
        <f>IF(A10="","",IF(AND(Tabela1[[#This Row],[FTHG]]&gt;3,F10="H"),1,0))</f>
        <v>0</v>
      </c>
      <c r="V10" s="70">
        <f>IF(A10="","",IF(AND(Tabela1[[#This Row],[FTAG]]&gt;3,F10="A"),1,0))</f>
        <v>0</v>
      </c>
      <c r="W10" s="70">
        <f t="shared" si="22"/>
        <v>1</v>
      </c>
      <c r="X10" s="70">
        <f t="shared" si="23"/>
        <v>1</v>
      </c>
      <c r="Y10" s="71">
        <f t="shared" si="24"/>
        <v>1</v>
      </c>
      <c r="Z10" s="70">
        <f t="shared" si="25"/>
        <v>0</v>
      </c>
      <c r="AA10" s="70">
        <f t="shared" si="26"/>
        <v>0</v>
      </c>
      <c r="AB10" s="70">
        <f t="shared" si="27"/>
        <v>0</v>
      </c>
      <c r="AC10" s="71">
        <f t="shared" si="28"/>
        <v>1</v>
      </c>
      <c r="AD10" s="72" t="str">
        <f t="shared" si="29"/>
        <v>JAN</v>
      </c>
      <c r="AE10" s="73">
        <f>IF(A10="","",COUNT($N$2:N10))</f>
        <v>9</v>
      </c>
      <c r="AF10" s="74">
        <f t="shared" si="30"/>
        <v>1</v>
      </c>
      <c r="AG10" s="74">
        <f t="shared" si="31"/>
        <v>0</v>
      </c>
      <c r="AH10" s="74">
        <f t="shared" si="32"/>
        <v>0</v>
      </c>
      <c r="AI10" s="74" t="str">
        <f t="shared" si="33"/>
        <v>1,71-2,0</v>
      </c>
      <c r="AJ10" s="74" t="str">
        <f t="shared" si="34"/>
        <v>4,01-5,5</v>
      </c>
      <c r="AK10" s="74">
        <f>IF(A10="","",1/Tabela1[[#This Row],[ODDC]])</f>
        <v>0.55865921787709494</v>
      </c>
      <c r="AL10" s="74">
        <f>IF(A10="","",1/Tabela1[[#This Row],[ODDE]])</f>
        <v>0.30303030303030304</v>
      </c>
      <c r="AM10" s="74">
        <f>IF(A10="","",1/Tabela1[[#This Row],[ODDV]])</f>
        <v>0.22222222222222221</v>
      </c>
      <c r="AN10" s="74">
        <f>IF(A10="","",1-(Tabela1[[#This Row],[p(H)]]+Tabela1[[#This Row],[p(D)]]+Tabela1[[#This Row],[p(A)]]))</f>
        <v>-8.3911743129620131E-2</v>
      </c>
      <c r="AO10" s="74">
        <f>IF(A10="","",IFERROR(Tabela1[[#This Row],[p(H)]]/Tabela1[[#This Row],[FTHG]],1))</f>
        <v>0.27932960893854747</v>
      </c>
      <c r="AP10" s="74">
        <f>IF(A10="","",IFERROR(Tabela1[[#This Row],[p(A)]]/Tabela1[[#This Row],[FTAG]],1))</f>
        <v>0.22222222222222221</v>
      </c>
      <c r="AQ10" s="244" t="s">
        <v>358</v>
      </c>
      <c r="AR10" s="75">
        <f>AVERAGEIF($B$2:$B$1203,Tabela2[[#This Row],[T]],$J$2:$J$1214)</f>
        <v>1.7142857142857142</v>
      </c>
      <c r="AS10" s="75">
        <f>AVERAGEIF($C$2:$C$1203,Tabela2[[#This Row],[T]],$K$2:$K$1214)</f>
        <v>0.2</v>
      </c>
      <c r="AT10" s="75">
        <f t="array" ref="AT10">_xlfn.STDEV.S(IF($B$2:$B$1203=Tabela2[[#This Row],[T]],$J$2:$J$1203))</f>
        <v>1.2535663410560174</v>
      </c>
      <c r="AU10" s="75">
        <f t="array" ref="AU10">_xlfn.STDEV.S(IF($C$2:$C$1203=Tabela2[[#This Row],[T]],$K$2:$K$1203))</f>
        <v>0.44721359549995793</v>
      </c>
      <c r="AV10" s="84">
        <f>Tabela2[[#This Row],[DPMPTC]]/Tabela2[[#This Row],[MPTC]]</f>
        <v>0.73124703228267685</v>
      </c>
      <c r="AW10" s="85">
        <f>Tabela2[[#This Row],[DPMPTV]]/Tabela2[[#This Row],[MPTV]]</f>
        <v>2.2360679774997894</v>
      </c>
      <c r="AX10" s="242" t="str">
        <f>Tabela2[[#This Row],[T]]</f>
        <v>Cruzeiro</v>
      </c>
      <c r="AY10" s="75">
        <f ca="1">AVERAGEIF($B$2:$B$1203,Tabela2[[#This Row],[T]],$U$2:$U$1194)</f>
        <v>0</v>
      </c>
      <c r="AZ10" s="75">
        <f ca="1">AVERAGEIF($B$2:$B$1203,Tabela2[[#This Row],[T]],$V$2:$V$1194)</f>
        <v>0</v>
      </c>
      <c r="BA10" s="75">
        <f ca="1">AVERAGEIF($C$2:$C$1203,Tabela2[[#This Row],[T1]],$V$2:$V$1194)</f>
        <v>0</v>
      </c>
      <c r="BB10" s="75">
        <f ca="1">AVERAGEIF($C$2:$C$1203,Tabela2[[#This Row],[T]],$U$2:$U$1194)</f>
        <v>0.4</v>
      </c>
      <c r="BC10" s="242" t="str">
        <f>Tabela2[[#This Row],[T]]</f>
        <v>Cruzeiro</v>
      </c>
      <c r="BD10" s="75">
        <f>AVERAGEIF($B$2:$B$1203,Tabela2[[#This Row],[T]],$D$2:$D$1203)</f>
        <v>1.7142857142857142</v>
      </c>
      <c r="BE10" s="75">
        <f>AVERAGEIF($C$2:$C$1203,Tabela2[[#This Row],[T]],$E$2:$E$1203)</f>
        <v>0.8</v>
      </c>
      <c r="BF10" s="76">
        <f t="array" ref="BF10">_xlfn.STDEV.S(IF($B$2:$B$1203=Tabela2[[#This Row],[T]],$D$2:$D$1203))</f>
        <v>1.1126972805283735</v>
      </c>
      <c r="BG10" s="76">
        <f t="array" ref="BG10">_xlfn.STDEV.S(IF($C$2:$C$1203=Tabela2[[#This Row],[T]],$E$2:$E$1203))</f>
        <v>0.83666002653407556</v>
      </c>
      <c r="BH10" s="84">
        <f t="shared" si="0"/>
        <v>0.64907341364155124</v>
      </c>
      <c r="BI10" s="85">
        <f t="shared" si="1"/>
        <v>1.0458250331675945</v>
      </c>
      <c r="BJ10" s="242" t="str">
        <f>Tabela2[[#This Row],[T]]</f>
        <v>Cruzeiro</v>
      </c>
      <c r="BK10" s="75">
        <f>AVERAGEIF($B$2:$B$1203,Tabela2[[#This Row],[T]],$E$2:$E$1203)</f>
        <v>1</v>
      </c>
      <c r="BL10" s="75">
        <f>AVERAGEIF($C$2:$C$1203,Tabela2[[#This Row],[T]],$D$2:$D$1203)</f>
        <v>2.8</v>
      </c>
      <c r="BM10" s="76">
        <f t="array" ref="BM10">_xlfn.STDEV.S(IF($B$2:$B$1203=Tabela2[[#This Row],[T]],$E$2:$E$1203))</f>
        <v>1.1547005383792515</v>
      </c>
      <c r="BN10" s="76">
        <f t="array" ref="BN10">_xlfn.STDEV.S(IF($C$2:$C$1203=Tabela2[[#This Row],[T]],$D$2:$D$1203))</f>
        <v>1.0954451150103319</v>
      </c>
      <c r="BO10" s="84">
        <f t="shared" si="2"/>
        <v>1.1547005383792515</v>
      </c>
      <c r="BP10" s="85">
        <f t="shared" si="3"/>
        <v>0.39123039821797573</v>
      </c>
      <c r="BQ10" s="242" t="str">
        <f>Tabela2[[#This Row],[T]]</f>
        <v>Cruzeiro</v>
      </c>
      <c r="BR10" s="79">
        <f t="shared" si="4"/>
        <v>1.0667456848655454</v>
      </c>
      <c r="BS10" s="79">
        <f t="shared" si="5"/>
        <v>0.76808778146073831</v>
      </c>
      <c r="BT10" s="79">
        <f t="shared" si="6"/>
        <v>0.95857583019513892</v>
      </c>
      <c r="BU10" s="79">
        <f t="shared" si="7"/>
        <v>1.7608744478550569</v>
      </c>
      <c r="BV10" s="75">
        <f t="shared" si="8"/>
        <v>0.10816985467040652</v>
      </c>
      <c r="BW10" s="75">
        <f t="shared" si="9"/>
        <v>-0.99278666639431856</v>
      </c>
      <c r="BX10" s="242" t="str">
        <f>Tabela2[[#This Row],[T]]</f>
        <v>Cruzeiro</v>
      </c>
      <c r="BY10" s="75">
        <f ca="1">AVERAGEIF($B$2:$B$1469,Tabela2[[#This Row],[T]],$G$2:$G$1214)</f>
        <v>1.6642857142857146</v>
      </c>
      <c r="BZ10" s="75">
        <f ca="1">AVERAGEIF($C$2:$C$1469,Tabela2[[#This Row],[T]],$I$2:$I$1214)</f>
        <v>4.04</v>
      </c>
      <c r="CA10" s="76">
        <f t="array" ref="CA10">_xlfn.STDEV.S(IF($B$2:$B$1469=Tabela2[[#This Row],[T]],$G$2:$G$1183))</f>
        <v>0.21562754484350402</v>
      </c>
      <c r="CB10" s="76">
        <f t="array" ref="CB10">_xlfn.STDEV.S(IF($C$2:$C1477=Tabela2[[#This Row],[T]],$I$2:$I$1183))</f>
        <v>1.3831124321616086</v>
      </c>
      <c r="CC10" s="86">
        <f t="shared" ca="1" si="10"/>
        <v>0.12956161492742729</v>
      </c>
      <c r="CD10" s="87">
        <f t="shared" ca="1" si="11"/>
        <v>0.34235456241623974</v>
      </c>
      <c r="CE10" s="242" t="str">
        <f>Tabela2[[#This Row],[T]]</f>
        <v>Cruzeiro</v>
      </c>
      <c r="CF10" s="75">
        <f ca="1">AVERAGEIF($B$2:$B$1469,Tabela2[[#This Row],[T]],$W$2:$W$1203)</f>
        <v>0.8571428571428571</v>
      </c>
      <c r="CG10" s="75">
        <f ca="1">AVERAGEIF($C$2:$C$1469,Tabela2[[#This Row],[T]],$W$2:$W$1203)</f>
        <v>1</v>
      </c>
      <c r="CH10" s="75">
        <f ca="1">AVERAGEIF($B$2:$B$1469,Tabela2[[#This Row],[T]],$X$2:$X$1203)</f>
        <v>0.8571428571428571</v>
      </c>
      <c r="CI10" s="75">
        <f ca="1">AVERAGEIF($C$2:$C$1469,Tabela2[[#This Row],[T]],$X$2:$X$1183)</f>
        <v>1</v>
      </c>
      <c r="CJ10" s="84">
        <f ca="1">AVERAGEIF($B$2:$B$1469,Tabela2[[#This Row],[T]],$Y$2:$Y$1203)</f>
        <v>0.5714285714285714</v>
      </c>
      <c r="CK10" s="85">
        <f ca="1">AVERAGEIF($C$2:$C$1469,Tabela2[[#This Row],[T]],$Y$2:$Y$1203)</f>
        <v>0.8</v>
      </c>
      <c r="CL10" s="75">
        <f ca="1">AVERAGEIF($B$2:$B$1469,Tabela2[[#This Row],[T]],$Z$2:$Z$1203)</f>
        <v>0.14285714285714285</v>
      </c>
      <c r="CM10" s="75">
        <f ca="1">AVERAGEIF($C$2:$C$1469,Tabela2[[#This Row],[T]],$Z$2:$Z$1183)</f>
        <v>0.6</v>
      </c>
      <c r="CN10" s="75">
        <f ca="1">AVERAGEIF($B$2:$B$1469,Tabela2[[#This Row],[T]],$AA$2:$AA$1203)</f>
        <v>0.14285714285714285</v>
      </c>
      <c r="CO10" s="75">
        <f ca="1">AVERAGEIF($C$2:$C$1469,Tabela2[[#This Row],[T]],$AA$2:$AA$1203)</f>
        <v>0.2</v>
      </c>
      <c r="CP10" s="75">
        <f ca="1">AVERAGEIF($B$2:$B$1469,Tabela2[[#This Row],[T]],$AB$2:$AB$1203)</f>
        <v>0.14285714285714285</v>
      </c>
      <c r="CQ10" s="75">
        <f ca="1">AVERAGEIF($C$2:$C$1469,Tabela2[[#This Row],[T]],$AB$2:$AB$1183)</f>
        <v>0</v>
      </c>
      <c r="CR10" s="242" t="str">
        <f>Tabela2[[#This Row],[T]]</f>
        <v>Cruzeiro</v>
      </c>
      <c r="CS10" s="75">
        <f ca="1">AVERAGEIF($B$2:$B$1469,Tabela2[[#This Row],[T]],$AC$2:$AC$1240)</f>
        <v>0.5714285714285714</v>
      </c>
      <c r="CT10" s="75">
        <f ca="1">AVERAGEIF($C$2:$C$1469,Tabela2[[#This Row],[T]],$AC$2:$AC$1220)</f>
        <v>0.6</v>
      </c>
      <c r="CU10" s="242" t="str">
        <f>Tabela2[[#This Row],[T]]</f>
        <v>Cruzeiro</v>
      </c>
      <c r="CV10" s="75">
        <f ca="1">AVERAGEIF($B$2:$B$1240,Tabela2[[#This Row],[T]],$L$2:$L$1205)</f>
        <v>0.34216284968164673</v>
      </c>
      <c r="CW10" s="75">
        <f ca="1">AVERAGEIF($C$2:$C$1240,Tabela2[[#This Row],[T]],$M$2:$M$1205)</f>
        <v>0.35492801771871541</v>
      </c>
      <c r="CX10" s="75">
        <f t="array" ref="CX10">_xlfn.STDEV.S(IF($B$2:$B$1203=Tabela2[[#This Row],[T]],$L$2:$L$1203))</f>
        <v>0.25590491407591887</v>
      </c>
      <c r="CY10" s="75">
        <f t="array" ref="CY10">_xlfn.STDEV.S(IF($C$2:$C$1203=Tabela2[[#This Row],[T]],$M$2:$M$1203))</f>
        <v>0.35625323798738268</v>
      </c>
      <c r="CZ10" s="75">
        <f ca="1">Tabela2[[#This Row],[DPPGC]]/Tabela2[[#This Row],[PESOGC]]</f>
        <v>0.74790385430217365</v>
      </c>
      <c r="DA10" s="75">
        <f ca="1">Tabela2[[#This Row],[DPPGV]]/Tabela2[[#This Row],[PESOGV]]</f>
        <v>1.0037337719270094</v>
      </c>
      <c r="DB10" s="242" t="str">
        <f>Tabela2[[#This Row],[T]]</f>
        <v>Cruzeiro</v>
      </c>
      <c r="DC10" s="75">
        <f ca="1">AVERAGEIF($B$2:$B$1240,Tabela2[[#This Row],[T]],$AO$2:$AO$1205)</f>
        <v>0.47216115882291326</v>
      </c>
      <c r="DD10" s="75">
        <f ca="1">AVERAGEIF($C$2:$C$1240,Tabela2[[#This Row],[T]],$AP$2:$AP$1205)</f>
        <v>0.54394841269841265</v>
      </c>
      <c r="DE10" s="75">
        <f t="array" ref="DE10">_xlfn.STDEV.S(IF($B$2:$B$1203=Tabela2[[#This Row],[T]],$AO$2:$AO$1203))</f>
        <v>0.31408148328921065</v>
      </c>
      <c r="DF10" s="75">
        <f t="array" ref="DF10">_xlfn.STDEV.S(IF($C$2:$C$1203=Tabela2[[#This Row],[T]],$AP$2:$AP$1203))</f>
        <v>0.41946627725085722</v>
      </c>
      <c r="DG10" s="75">
        <f ca="1">Tabela2[[#This Row],[DPCGC]]/Tabela2[[#This Row],[CUSTGC]]</f>
        <v>0.66519974678181593</v>
      </c>
      <c r="DH10" s="75">
        <f ca="1">Tabela2[[#This Row],[DPCGV]]/Tabela2[[#This Row],[CUSTGV]]</f>
        <v>0.77115084345953699</v>
      </c>
      <c r="DI10" s="242" t="str">
        <f>Tabela2[[#This Row],[T]]</f>
        <v>Cruzeiro</v>
      </c>
      <c r="DJ10" s="84">
        <f t="shared" ca="1" si="12"/>
        <v>2.8530612244897964</v>
      </c>
      <c r="DK10" s="85">
        <f t="shared" ca="1" si="13"/>
        <v>0.80800000000000005</v>
      </c>
      <c r="DL10" s="242" t="str">
        <f>Tabela2[[#This Row],[T]]</f>
        <v>Cruzeiro</v>
      </c>
      <c r="DM10" s="82">
        <f ca="1">SUMIF($B$2:$B$1340,Tabela2[[#This Row],[T]],$R$2:$R$1240)</f>
        <v>-1.9299999999999997</v>
      </c>
      <c r="DN10" s="83">
        <f ca="1">SUMIF($C$2:$C$1340,Tabela2[[#This Row],[T]],$S$2:$S$1240)</f>
        <v>-5</v>
      </c>
      <c r="DO10" s="83">
        <f>SUMIF($B$2:$B$1240,Tabela2[[#This Row],[T]],$T$2:$T$1240)</f>
        <v>3.5</v>
      </c>
      <c r="DP10" s="83">
        <f>SUMIF($C$2:$C$1240,Tabela2[[#This Row],[T]],$T$2:$T$1240)</f>
        <v>-2</v>
      </c>
      <c r="DR10" s="237"/>
      <c r="DS10" s="237"/>
    </row>
    <row r="11" spans="1:123" x14ac:dyDescent="0.25">
      <c r="A11" s="4">
        <v>46052</v>
      </c>
      <c r="B11" t="s">
        <v>350</v>
      </c>
      <c r="C11" t="s">
        <v>358</v>
      </c>
      <c r="D11">
        <v>4</v>
      </c>
      <c r="E11">
        <v>0</v>
      </c>
      <c r="F11" t="s">
        <v>347</v>
      </c>
      <c r="G11">
        <v>2.2999999999999998</v>
      </c>
      <c r="H11">
        <v>3</v>
      </c>
      <c r="I11">
        <v>3.4</v>
      </c>
      <c r="J11" s="68">
        <f t="shared" si="14"/>
        <v>3</v>
      </c>
      <c r="K11" s="68">
        <f t="shared" si="15"/>
        <v>0</v>
      </c>
      <c r="L11" s="69">
        <f t="shared" si="16"/>
        <v>1.1764705882352942</v>
      </c>
      <c r="M11" s="69">
        <f t="shared" si="17"/>
        <v>0</v>
      </c>
      <c r="N11" s="69">
        <f>IF(A11="","",Tabela1[[#This Row],[PTC]]*Tabela1[[#This Row],[ODDC]])</f>
        <v>6.8999999999999995</v>
      </c>
      <c r="O11" s="69">
        <f>IF(A11="","",Tabela1[[#This Row],[PTV]]*Tabela1[[#This Row],[ODDV]])</f>
        <v>0</v>
      </c>
      <c r="P11" s="68">
        <f t="shared" si="18"/>
        <v>4</v>
      </c>
      <c r="Q11" s="68">
        <f t="shared" si="19"/>
        <v>-4</v>
      </c>
      <c r="R11" s="68">
        <f t="shared" si="20"/>
        <v>1.2999999999999998</v>
      </c>
      <c r="S11" s="68">
        <f t="shared" si="21"/>
        <v>-1</v>
      </c>
      <c r="T11" s="68">
        <f>IF(A11="","",IF(F11="D",Tabela1[[#This Row],[ODDE]]-1,-1))</f>
        <v>-1</v>
      </c>
      <c r="U11" s="70">
        <f>IF(A11="","",IF(AND(Tabela1[[#This Row],[FTHG]]&gt;3,F11="H"),1,0))</f>
        <v>1</v>
      </c>
      <c r="V11" s="70">
        <f>IF(A11="","",IF(AND(Tabela1[[#This Row],[FTAG]]&gt;3,F11="A"),1,0))</f>
        <v>0</v>
      </c>
      <c r="W11" s="70">
        <f t="shared" si="22"/>
        <v>1</v>
      </c>
      <c r="X11" s="70">
        <f t="shared" si="23"/>
        <v>1</v>
      </c>
      <c r="Y11" s="71">
        <f t="shared" si="24"/>
        <v>1</v>
      </c>
      <c r="Z11" s="70">
        <f t="shared" si="25"/>
        <v>1</v>
      </c>
      <c r="AA11" s="70">
        <f t="shared" si="26"/>
        <v>0</v>
      </c>
      <c r="AB11" s="70">
        <f t="shared" si="27"/>
        <v>0</v>
      </c>
      <c r="AC11" s="71">
        <f t="shared" si="28"/>
        <v>0</v>
      </c>
      <c r="AD11" s="72" t="str">
        <f t="shared" si="29"/>
        <v>JAN</v>
      </c>
      <c r="AE11" s="73">
        <f>IF(A11="","",COUNT($N$2:N11))</f>
        <v>10</v>
      </c>
      <c r="AF11" s="74">
        <f t="shared" si="30"/>
        <v>1</v>
      </c>
      <c r="AG11" s="74">
        <f t="shared" si="31"/>
        <v>0</v>
      </c>
      <c r="AH11" s="74">
        <f t="shared" si="32"/>
        <v>0</v>
      </c>
      <c r="AI11" s="74" t="str">
        <f t="shared" si="33"/>
        <v>2,01-2,4</v>
      </c>
      <c r="AJ11" s="74" t="str">
        <f t="shared" si="34"/>
        <v>3,01-4.0</v>
      </c>
      <c r="AK11" s="74">
        <f>IF(A11="","",1/Tabela1[[#This Row],[ODDC]])</f>
        <v>0.43478260869565222</v>
      </c>
      <c r="AL11" s="74">
        <f>IF(A11="","",1/Tabela1[[#This Row],[ODDE]])</f>
        <v>0.33333333333333331</v>
      </c>
      <c r="AM11" s="74">
        <f>IF(A11="","",1/Tabela1[[#This Row],[ODDV]])</f>
        <v>0.29411764705882354</v>
      </c>
      <c r="AN11" s="74">
        <f>IF(A11="","",1-(Tabela1[[#This Row],[p(H)]]+Tabela1[[#This Row],[p(D)]]+Tabela1[[#This Row],[p(A)]]))</f>
        <v>-6.2233589087809182E-2</v>
      </c>
      <c r="AO11" s="74">
        <f>IF(A11="","",IFERROR(Tabela1[[#This Row],[p(H)]]/Tabela1[[#This Row],[FTHG]],1))</f>
        <v>0.10869565217391305</v>
      </c>
      <c r="AP11" s="74">
        <f>IF(A11="","",IFERROR(Tabela1[[#This Row],[p(A)]]/Tabela1[[#This Row],[FTAG]],1))</f>
        <v>1</v>
      </c>
      <c r="AQ11" s="244" t="s">
        <v>363</v>
      </c>
      <c r="AR11" s="75">
        <f>AVERAGEIF($B$2:$B$1203,Tabela2[[#This Row],[T]],$J$2:$J$1214)</f>
        <v>2.6</v>
      </c>
      <c r="AS11" s="75">
        <f>AVERAGEIF($C$2:$C$1203,Tabela2[[#This Row],[T]],$K$2:$K$1214)</f>
        <v>1.6666666666666667</v>
      </c>
      <c r="AT11" s="75">
        <f t="array" ref="AT11">_xlfn.STDEV.S(IF($B$2:$B$1203=Tabela2[[#This Row],[T]],$J$2:$J$1203))</f>
        <v>0.8944271909999163</v>
      </c>
      <c r="AU11" s="75">
        <f t="array" ref="AU11">_xlfn.STDEV.S(IF($C$2:$C$1203=Tabela2[[#This Row],[T]],$K$2:$K$1203))</f>
        <v>1.505545305418162</v>
      </c>
      <c r="AV11" s="84">
        <f>Tabela2[[#This Row],[DPMPTC]]/Tabela2[[#This Row],[MPTC]]</f>
        <v>0.34401045807689085</v>
      </c>
      <c r="AW11" s="85">
        <f>Tabela2[[#This Row],[DPMPTV]]/Tabela2[[#This Row],[MPTV]]</f>
        <v>0.90332718325089711</v>
      </c>
      <c r="AX11" s="243" t="str">
        <f>Tabela2[[#This Row],[T]]</f>
        <v>Flamengo RJ</v>
      </c>
      <c r="AY11" s="75">
        <f ca="1">AVERAGEIF($B$2:$B$1203,Tabela2[[#This Row],[T]],$U$2:$U$1194)</f>
        <v>0</v>
      </c>
      <c r="AZ11" s="75">
        <f ca="1">AVERAGEIF($B$2:$B$1203,Tabela2[[#This Row],[T]],$V$2:$V$1194)</f>
        <v>0</v>
      </c>
      <c r="BA11" s="75">
        <f ca="1">AVERAGEIF($C$2:$C$1203,Tabela2[[#This Row],[T1]],$V$2:$V$1194)</f>
        <v>0</v>
      </c>
      <c r="BB11" s="75">
        <f ca="1">AVERAGEIF($C$2:$C$1203,Tabela2[[#This Row],[T]],$U$2:$U$1194)</f>
        <v>0</v>
      </c>
      <c r="BC11" s="243" t="str">
        <f>Tabela2[[#This Row],[T]]</f>
        <v>Flamengo RJ</v>
      </c>
      <c r="BD11" s="75">
        <f>AVERAGEIF($B$2:$B$1203,Tabela2[[#This Row],[T]],$D$2:$D$1203)</f>
        <v>2.2000000000000002</v>
      </c>
      <c r="BE11" s="75">
        <f>AVERAGEIF($C$2:$C$1203,Tabela2[[#This Row],[T]],$E$2:$E$1203)</f>
        <v>1.5</v>
      </c>
      <c r="BF11" s="76">
        <f t="array" ref="BF11">_xlfn.STDEV.S(IF($B$2:$B$1203=Tabela2[[#This Row],[T]],$D$2:$D$1203))</f>
        <v>0.83666002653407567</v>
      </c>
      <c r="BG11" s="76">
        <f t="array" ref="BG11">_xlfn.STDEV.S(IF($C$2:$C$1203=Tabela2[[#This Row],[T]],$E$2:$E$1203))</f>
        <v>1.0488088481701516</v>
      </c>
      <c r="BH11" s="84">
        <f t="shared" si="0"/>
        <v>0.38030001206094344</v>
      </c>
      <c r="BI11" s="85">
        <f t="shared" si="1"/>
        <v>0.69920589878010109</v>
      </c>
      <c r="BJ11" s="243" t="str">
        <f>Tabela2[[#This Row],[T]]</f>
        <v>Flamengo RJ</v>
      </c>
      <c r="BK11" s="75">
        <f>AVERAGEIF($B$2:$B$1203,Tabela2[[#This Row],[T]],$E$2:$E$1203)</f>
        <v>0.4</v>
      </c>
      <c r="BL11" s="75">
        <f>AVERAGEIF($C$2:$C$1203,Tabela2[[#This Row],[T]],$D$2:$D$1203)</f>
        <v>1.3333333333333333</v>
      </c>
      <c r="BM11" s="76">
        <f t="array" ref="BM11">_xlfn.STDEV.S(IF($B$2:$B$1203=Tabela2[[#This Row],[T]],$E$2:$E$1203))</f>
        <v>0.54772255750516607</v>
      </c>
      <c r="BN11" s="76">
        <f t="array" ref="BN11">_xlfn.STDEV.S(IF($C$2:$C$1203=Tabela2[[#This Row],[T]],$D$2:$D$1203))</f>
        <v>1.0327955589886446</v>
      </c>
      <c r="BO11" s="84">
        <f t="shared" si="2"/>
        <v>1.3693063937629151</v>
      </c>
      <c r="BP11" s="85">
        <f t="shared" si="3"/>
        <v>0.77459666924148352</v>
      </c>
      <c r="BQ11" s="243" t="str">
        <f>Tabela2[[#This Row],[T]]</f>
        <v>Flamengo RJ</v>
      </c>
      <c r="BR11" s="79">
        <f t="shared" si="4"/>
        <v>1.3689902955774502</v>
      </c>
      <c r="BS11" s="79">
        <f t="shared" si="5"/>
        <v>1.4401645902388842</v>
      </c>
      <c r="BT11" s="79">
        <f t="shared" si="6"/>
        <v>0.3834303320780556</v>
      </c>
      <c r="BU11" s="79">
        <f t="shared" si="7"/>
        <v>0.83851164183574134</v>
      </c>
      <c r="BV11" s="75">
        <f t="shared" si="8"/>
        <v>0.98555996349939456</v>
      </c>
      <c r="BW11" s="75">
        <f t="shared" si="9"/>
        <v>0.60165294840314287</v>
      </c>
      <c r="BX11" s="243" t="str">
        <f>Tabela2[[#This Row],[T]]</f>
        <v>Flamengo RJ</v>
      </c>
      <c r="BY11" s="75">
        <f ca="1">AVERAGEIF($B$2:$B$1469,Tabela2[[#This Row],[T]],$G$2:$G$1214)</f>
        <v>1.3420000000000001</v>
      </c>
      <c r="BZ11" s="75">
        <f ca="1">AVERAGEIF($C$2:$C$1469,Tabela2[[#This Row],[T]],$I$2:$I$1214)</f>
        <v>2.0550000000000002</v>
      </c>
      <c r="CA11" s="76">
        <f t="array" ref="CA11">_xlfn.STDEV.S(IF($B$2:$B$1469=Tabela2[[#This Row],[T]],$G$2:$G$1183))</f>
        <v>0.13141537200799611</v>
      </c>
      <c r="CB11" s="76">
        <f t="array" ref="CB11">_xlfn.STDEV.S(IF($C$2:$C1478=Tabela2[[#This Row],[T]],$I$2:$I$1183))</f>
        <v>0.2836723462024473</v>
      </c>
      <c r="CC11" s="86">
        <f t="shared" ca="1" si="10"/>
        <v>9.7925016399400974E-2</v>
      </c>
      <c r="CD11" s="87">
        <f t="shared" ca="1" si="11"/>
        <v>0.1380400711447432</v>
      </c>
      <c r="CE11" s="243" t="str">
        <f>Tabela2[[#This Row],[T]]</f>
        <v>Flamengo RJ</v>
      </c>
      <c r="CF11" s="75">
        <f ca="1">AVERAGEIF($B$2:$B$1469,Tabela2[[#This Row],[T]],$W$2:$W$1203)</f>
        <v>1</v>
      </c>
      <c r="CG11" s="75">
        <f ca="1">AVERAGEIF($C$2:$C$1469,Tabela2[[#This Row],[T]],$W$2:$W$1203)</f>
        <v>1</v>
      </c>
      <c r="CH11" s="75">
        <f ca="1">AVERAGEIF($B$2:$B$1469,Tabela2[[#This Row],[T]],$X$2:$X$1203)</f>
        <v>1</v>
      </c>
      <c r="CI11" s="75">
        <f ca="1">AVERAGEIF($C$2:$C$1469,Tabela2[[#This Row],[T]],$X$2:$X$1183)</f>
        <v>1</v>
      </c>
      <c r="CJ11" s="84">
        <f ca="1">AVERAGEIF($B$2:$B$1469,Tabela2[[#This Row],[T]],$Y$2:$Y$1203)</f>
        <v>0.4</v>
      </c>
      <c r="CK11" s="85">
        <f ca="1">AVERAGEIF($C$2:$C$1469,Tabela2[[#This Row],[T]],$Y$2:$Y$1203)</f>
        <v>0.83333333333333337</v>
      </c>
      <c r="CL11" s="75">
        <f ca="1">AVERAGEIF($B$2:$B$1469,Tabela2[[#This Row],[T]],$Z$2:$Z$1203)</f>
        <v>0.2</v>
      </c>
      <c r="CM11" s="75">
        <f ca="1">AVERAGEIF($C$2:$C$1469,Tabela2[[#This Row],[T]],$Z$2:$Z$1183)</f>
        <v>0</v>
      </c>
      <c r="CN11" s="75">
        <f ca="1">AVERAGEIF($B$2:$B$1469,Tabela2[[#This Row],[T]],$AA$2:$AA$1203)</f>
        <v>0</v>
      </c>
      <c r="CO11" s="75">
        <f ca="1">AVERAGEIF($C$2:$C$1469,Tabela2[[#This Row],[T]],$AA$2:$AA$1203)</f>
        <v>0</v>
      </c>
      <c r="CP11" s="75">
        <f ca="1">AVERAGEIF($B$2:$B$1469,Tabela2[[#This Row],[T]],$AB$2:$AB$1203)</f>
        <v>0</v>
      </c>
      <c r="CQ11" s="75">
        <f ca="1">AVERAGEIF($C$2:$C$1469,Tabela2[[#This Row],[T]],$AB$2:$AB$1183)</f>
        <v>0</v>
      </c>
      <c r="CR11" s="243" t="str">
        <f>Tabela2[[#This Row],[T]]</f>
        <v>Flamengo RJ</v>
      </c>
      <c r="CS11" s="75">
        <f ca="1">AVERAGEIF($B$2:$B$1469,Tabela2[[#This Row],[T]],$AC$2:$AC$1240)</f>
        <v>0.4</v>
      </c>
      <c r="CT11" s="75">
        <f ca="1">AVERAGEIF($C$2:$C$1469,Tabela2[[#This Row],[T]],$AC$2:$AC$1220)</f>
        <v>0.66666666666666663</v>
      </c>
      <c r="CU11" s="243" t="str">
        <f>Tabela2[[#This Row],[T]]</f>
        <v>Flamengo RJ</v>
      </c>
      <c r="CV11" s="75">
        <f ca="1">AVERAGEIF($B$2:$B$1240,Tabela2[[#This Row],[T]],$L$2:$L$1205)</f>
        <v>0.23958316193610313</v>
      </c>
      <c r="CW11" s="75">
        <f ca="1">AVERAGEIF($C$2:$C$1240,Tabela2[[#This Row],[T]],$M$2:$M$1205)</f>
        <v>0.37815355355979774</v>
      </c>
      <c r="CX11" s="75">
        <f t="array" ref="CX11">_xlfn.STDEV.S(IF($B$2:$B$1203=Tabela2[[#This Row],[T]],$L$2:$L$1203))</f>
        <v>8.0075693235642897E-2</v>
      </c>
      <c r="CY11" s="75">
        <f t="array" ref="CY11">_xlfn.STDEV.S(IF($C$2:$C$1203=Tabela2[[#This Row],[T]],$M$2:$M$1203))</f>
        <v>0.26402807938167117</v>
      </c>
      <c r="CZ11" s="75">
        <f ca="1">Tabela2[[#This Row],[DPPGC]]/Tabela2[[#This Row],[PESOGC]]</f>
        <v>0.33422921956843987</v>
      </c>
      <c r="DA11" s="75">
        <f ca="1">Tabela2[[#This Row],[DPPGV]]/Tabela2[[#This Row],[PESOGV]]</f>
        <v>0.69820335389211197</v>
      </c>
      <c r="DB11" s="243" t="str">
        <f>Tabela2[[#This Row],[T]]</f>
        <v>Flamengo RJ</v>
      </c>
      <c r="DC11" s="75">
        <f ca="1">AVERAGEIF($B$2:$B$1240,Tabela2[[#This Row],[T]],$AO$2:$AO$1205)</f>
        <v>0.39151112551339645</v>
      </c>
      <c r="DD11" s="75">
        <f ca="1">AVERAGEIF($C$2:$C$1240,Tabela2[[#This Row],[T]],$AP$2:$AP$1205)</f>
        <v>0.43412454397072553</v>
      </c>
      <c r="DE11" s="75">
        <f t="array" ref="DE11">_xlfn.STDEV.S(IF($B$2:$B$1203=Tabela2[[#This Row],[T]],$AO$2:$AO$1203))</f>
        <v>0.18182403498497676</v>
      </c>
      <c r="DF11" s="75">
        <f t="array" ref="DF11">_xlfn.STDEV.S(IF($C$2:$C$1203=Tabela2[[#This Row],[T]],$AP$2:$AP$1203))</f>
        <v>0.30016939106195656</v>
      </c>
      <c r="DG11" s="75">
        <f ca="1">Tabela2[[#This Row],[DPCGC]]/Tabela2[[#This Row],[CUSTGC]]</f>
        <v>0.46441601051961739</v>
      </c>
      <c r="DH11" s="75">
        <f ca="1">Tabela2[[#This Row],[DPCGV]]/Tabela2[[#This Row],[CUSTGV]]</f>
        <v>0.69143612180148462</v>
      </c>
      <c r="DI11" s="243" t="str">
        <f>Tabela2[[#This Row],[T]]</f>
        <v>Flamengo RJ</v>
      </c>
      <c r="DJ11" s="84">
        <f t="shared" ca="1" si="12"/>
        <v>3.4892000000000003</v>
      </c>
      <c r="DK11" s="85">
        <f t="shared" ca="1" si="13"/>
        <v>3.4250000000000003</v>
      </c>
      <c r="DL11" s="243" t="str">
        <f>Tabela2[[#This Row],[T]]</f>
        <v>Flamengo RJ</v>
      </c>
      <c r="DM11" s="82">
        <f ca="1">SUMIF($B$2:$B$1340,Tabela2[[#This Row],[T]],$R$2:$R$1240)</f>
        <v>0.29999999999999982</v>
      </c>
      <c r="DN11" s="83">
        <f ca="1">SUMIF($C$2:$C$1340,Tabela2[[#This Row],[T]],$S$2:$S$1240)</f>
        <v>-0.16999999999999993</v>
      </c>
      <c r="DO11" s="83">
        <f>SUMIF($B$2:$B$1240,Tabela2[[#This Row],[T]],$T$2:$T$1240)</f>
        <v>-0.5</v>
      </c>
      <c r="DP11" s="83">
        <f>SUMIF($C$2:$C$1240,Tabela2[[#This Row],[T]],$T$2:$T$1240)</f>
        <v>-2.9</v>
      </c>
      <c r="DR11" s="237"/>
      <c r="DS11" s="237"/>
    </row>
    <row r="12" spans="1:123" x14ac:dyDescent="0.25">
      <c r="A12" s="4">
        <v>46057</v>
      </c>
      <c r="B12" t="s">
        <v>355</v>
      </c>
      <c r="C12" t="s">
        <v>359</v>
      </c>
      <c r="D12">
        <v>1</v>
      </c>
      <c r="E12">
        <v>0</v>
      </c>
      <c r="F12" t="s">
        <v>347</v>
      </c>
      <c r="G12">
        <v>2.0099999999999998</v>
      </c>
      <c r="H12">
        <v>3.2</v>
      </c>
      <c r="I12">
        <v>4</v>
      </c>
      <c r="J12" s="68">
        <f t="shared" si="14"/>
        <v>3</v>
      </c>
      <c r="K12" s="68">
        <f t="shared" si="15"/>
        <v>0</v>
      </c>
      <c r="L12" s="69">
        <f t="shared" si="16"/>
        <v>0.25</v>
      </c>
      <c r="M12" s="69">
        <f t="shared" si="17"/>
        <v>0</v>
      </c>
      <c r="N12" s="69">
        <f>IF(A12="","",Tabela1[[#This Row],[PTC]]*Tabela1[[#This Row],[ODDC]])</f>
        <v>6.0299999999999994</v>
      </c>
      <c r="O12" s="69">
        <f>IF(A12="","",Tabela1[[#This Row],[PTV]]*Tabela1[[#This Row],[ODDV]])</f>
        <v>0</v>
      </c>
      <c r="P12" s="68">
        <f t="shared" si="18"/>
        <v>1</v>
      </c>
      <c r="Q12" s="68">
        <f t="shared" si="19"/>
        <v>-1</v>
      </c>
      <c r="R12" s="68">
        <f t="shared" si="20"/>
        <v>1.0099999999999998</v>
      </c>
      <c r="S12" s="68">
        <f t="shared" si="21"/>
        <v>-1</v>
      </c>
      <c r="T12" s="68">
        <f>IF(A12="","",IF(F12="D",Tabela1[[#This Row],[ODDE]]-1,-1))</f>
        <v>-1</v>
      </c>
      <c r="U12" s="70">
        <f>IF(A12="","",IF(AND(Tabela1[[#This Row],[FTHG]]&gt;3,F12="H"),1,0))</f>
        <v>0</v>
      </c>
      <c r="V12" s="70">
        <f>IF(A12="","",IF(AND(Tabela1[[#This Row],[FTAG]]&gt;3,F12="A"),1,0))</f>
        <v>0</v>
      </c>
      <c r="W12" s="70">
        <f t="shared" si="22"/>
        <v>1</v>
      </c>
      <c r="X12" s="70">
        <f t="shared" si="23"/>
        <v>0</v>
      </c>
      <c r="Y12" s="71">
        <f t="shared" si="24"/>
        <v>0</v>
      </c>
      <c r="Z12" s="70">
        <f t="shared" si="25"/>
        <v>0</v>
      </c>
      <c r="AA12" s="70">
        <f t="shared" si="26"/>
        <v>0</v>
      </c>
      <c r="AB12" s="70">
        <f t="shared" si="27"/>
        <v>0</v>
      </c>
      <c r="AC12" s="71">
        <f t="shared" si="28"/>
        <v>0</v>
      </c>
      <c r="AD12" s="72" t="str">
        <f t="shared" si="29"/>
        <v>FEV</v>
      </c>
      <c r="AE12" s="73">
        <f>IF(A12="","",COUNT($N$2:N12))</f>
        <v>11</v>
      </c>
      <c r="AF12" s="74">
        <f t="shared" si="30"/>
        <v>1</v>
      </c>
      <c r="AG12" s="74">
        <f t="shared" si="31"/>
        <v>0</v>
      </c>
      <c r="AH12" s="74">
        <f t="shared" si="32"/>
        <v>0</v>
      </c>
      <c r="AI12" s="74" t="str">
        <f t="shared" si="33"/>
        <v>2,01-2,4</v>
      </c>
      <c r="AJ12" s="74" t="str">
        <f t="shared" si="34"/>
        <v>3,01-4.0</v>
      </c>
      <c r="AK12" s="74">
        <f>IF(A12="","",1/Tabela1[[#This Row],[ODDC]])</f>
        <v>0.49751243781094534</v>
      </c>
      <c r="AL12" s="74">
        <f>IF(A12="","",1/Tabela1[[#This Row],[ODDE]])</f>
        <v>0.3125</v>
      </c>
      <c r="AM12" s="74">
        <f>IF(A12="","",1/Tabela1[[#This Row],[ODDV]])</f>
        <v>0.25</v>
      </c>
      <c r="AN12" s="74">
        <f>IF(A12="","",1-(Tabela1[[#This Row],[p(H)]]+Tabela1[[#This Row],[p(D)]]+Tabela1[[#This Row],[p(A)]]))</f>
        <v>-6.0012437810945229E-2</v>
      </c>
      <c r="AO12" s="74">
        <f>IF(A12="","",IFERROR(Tabela1[[#This Row],[p(H)]]/Tabela1[[#This Row],[FTHG]],1))</f>
        <v>0.49751243781094534</v>
      </c>
      <c r="AP12" s="74">
        <f>IF(A12="","",IFERROR(Tabela1[[#This Row],[p(A)]]/Tabela1[[#This Row],[FTAG]],1))</f>
        <v>1</v>
      </c>
      <c r="AQ12" s="244" t="s">
        <v>352</v>
      </c>
      <c r="AR12" s="75">
        <f>AVERAGEIF($B$2:$B$1203,Tabela2[[#This Row],[T]],$J$2:$J$1214)</f>
        <v>2.5</v>
      </c>
      <c r="AS12" s="75">
        <f>AVERAGEIF($C$2:$C$1203,Tabela2[[#This Row],[T]],$K$2:$K$1214)</f>
        <v>1.3333333333333333</v>
      </c>
      <c r="AT12" s="75">
        <f t="array" ref="AT12">_xlfn.STDEV.S(IF($B$2:$B$1203=Tabela2[[#This Row],[T]],$J$2:$J$1203))</f>
        <v>1.2247448713915889</v>
      </c>
      <c r="AU12" s="75">
        <f t="array" ref="AU12">_xlfn.STDEV.S(IF($C$2:$C$1203=Tabela2[[#This Row],[T]],$K$2:$K$1203))</f>
        <v>1.3662601021279464</v>
      </c>
      <c r="AV12" s="84">
        <f>Tabela2[[#This Row],[DPMPTC]]/Tabela2[[#This Row],[MPTC]]</f>
        <v>0.4898979485566356</v>
      </c>
      <c r="AW12" s="85">
        <f>Tabela2[[#This Row],[DPMPTV]]/Tabela2[[#This Row],[MPTV]]</f>
        <v>1.0246950765959599</v>
      </c>
      <c r="AX12" s="242" t="str">
        <f>Tabela2[[#This Row],[T]]</f>
        <v>Fluminense</v>
      </c>
      <c r="AY12" s="75">
        <f ca="1">AVERAGEIF($B$2:$B$1203,Tabela2[[#This Row],[T]],$U$2:$U$1194)</f>
        <v>0</v>
      </c>
      <c r="AZ12" s="75">
        <f ca="1">AVERAGEIF($B$2:$B$1203,Tabela2[[#This Row],[T]],$V$2:$V$1194)</f>
        <v>0</v>
      </c>
      <c r="BA12" s="75">
        <f ca="1">AVERAGEIF($C$2:$C$1203,Tabela2[[#This Row],[T1]],$V$2:$V$1194)</f>
        <v>0</v>
      </c>
      <c r="BB12" s="75">
        <f ca="1">AVERAGEIF($C$2:$C$1203,Tabela2[[#This Row],[T]],$U$2:$U$1194)</f>
        <v>0</v>
      </c>
      <c r="BC12" s="242" t="str">
        <f>Tabela2[[#This Row],[T]]</f>
        <v>Fluminense</v>
      </c>
      <c r="BD12" s="75">
        <f>AVERAGEIF($B$2:$B$1203,Tabela2[[#This Row],[T]],$D$2:$D$1203)</f>
        <v>1.8333333333333333</v>
      </c>
      <c r="BE12" s="75">
        <f>AVERAGEIF($C$2:$C$1203,Tabela2[[#This Row],[T]],$E$2:$E$1203)</f>
        <v>1.6666666666666667</v>
      </c>
      <c r="BF12" s="76">
        <f t="array" ref="BF12">_xlfn.STDEV.S(IF($B$2:$B$1203=Tabela2[[#This Row],[T]],$D$2:$D$1203))</f>
        <v>0.9831920802501749</v>
      </c>
      <c r="BG12" s="76">
        <f t="array" ref="BG12">_xlfn.STDEV.S(IF($C$2:$C$1203=Tabela2[[#This Row],[T]],$E$2:$E$1203))</f>
        <v>0.81649658092772592</v>
      </c>
      <c r="BH12" s="84">
        <f t="shared" si="0"/>
        <v>0.53628658922736816</v>
      </c>
      <c r="BI12" s="85">
        <f t="shared" si="1"/>
        <v>0.48989794855663554</v>
      </c>
      <c r="BJ12" s="242" t="str">
        <f>Tabela2[[#This Row],[T]]</f>
        <v>Fluminense</v>
      </c>
      <c r="BK12" s="75">
        <f>AVERAGEIF($B$2:$B$1203,Tabela2[[#This Row],[T]],$E$2:$E$1203)</f>
        <v>1</v>
      </c>
      <c r="BL12" s="75">
        <f>AVERAGEIF($C$2:$C$1203,Tabela2[[#This Row],[T]],$D$2:$D$1203)</f>
        <v>1.5</v>
      </c>
      <c r="BM12" s="76">
        <f t="array" ref="BM12">_xlfn.STDEV.S(IF($B$2:$B$1203=Tabela2[[#This Row],[T]],$E$2:$E$1203))</f>
        <v>0.89442719099991586</v>
      </c>
      <c r="BN12" s="76">
        <f t="array" ref="BN12">_xlfn.STDEV.S(IF($C$2:$C$1203=Tabela2[[#This Row],[T]],$D$2:$D$1203))</f>
        <v>1.0488088481701516</v>
      </c>
      <c r="BO12" s="84">
        <f t="shared" si="2"/>
        <v>0.89442719099991586</v>
      </c>
      <c r="BP12" s="85">
        <f t="shared" si="3"/>
        <v>0.69920589878010109</v>
      </c>
      <c r="BQ12" s="242" t="str">
        <f>Tabela2[[#This Row],[T]]</f>
        <v>Fluminense</v>
      </c>
      <c r="BR12" s="79">
        <f t="shared" si="4"/>
        <v>1.1408252463145416</v>
      </c>
      <c r="BS12" s="79">
        <f t="shared" si="5"/>
        <v>1.6001828780432048</v>
      </c>
      <c r="BT12" s="79">
        <f t="shared" si="6"/>
        <v>0.95857583019513892</v>
      </c>
      <c r="BU12" s="79">
        <f t="shared" si="7"/>
        <v>0.94332559706520913</v>
      </c>
      <c r="BV12" s="75">
        <f t="shared" si="8"/>
        <v>0.18224941611940271</v>
      </c>
      <c r="BW12" s="75">
        <f t="shared" si="9"/>
        <v>0.65685728097799567</v>
      </c>
      <c r="BX12" s="242" t="str">
        <f>Tabela2[[#This Row],[T]]</f>
        <v>Fluminense</v>
      </c>
      <c r="BY12" s="75">
        <f ca="1">AVERAGEIF($B$2:$B$1469,Tabela2[[#This Row],[T]],$G$2:$G$1214)</f>
        <v>1.95</v>
      </c>
      <c r="BZ12" s="75">
        <f ca="1">AVERAGEIF($C$2:$C$1469,Tabela2[[#This Row],[T]],$I$2:$I$1214)</f>
        <v>3.0933333333333333</v>
      </c>
      <c r="CA12" s="76">
        <f t="array" ref="CA12">_xlfn.STDEV.S(IF($B$2:$B$1469=Tabela2[[#This Row],[T]],$G$2:$G$1183))</f>
        <v>0.62222182539669946</v>
      </c>
      <c r="CB12" s="76">
        <f t="array" ref="CB12">_xlfn.STDEV.S(IF($C$2:$C1479=Tabela2[[#This Row],[T]],$I$2:$I$1183))</f>
        <v>1.1762085982795176</v>
      </c>
      <c r="CC12" s="86">
        <f t="shared" ca="1" si="10"/>
        <v>0.319088115588051</v>
      </c>
      <c r="CD12" s="87">
        <f t="shared" ca="1" si="11"/>
        <v>0.38023984858174065</v>
      </c>
      <c r="CE12" s="242" t="str">
        <f>Tabela2[[#This Row],[T]]</f>
        <v>Fluminense</v>
      </c>
      <c r="CF12" s="75">
        <f ca="1">AVERAGEIF($B$2:$B$1469,Tabela2[[#This Row],[T]],$W$2:$W$1203)</f>
        <v>1</v>
      </c>
      <c r="CG12" s="75">
        <f ca="1">AVERAGEIF($C$2:$C$1469,Tabela2[[#This Row],[T]],$W$2:$W$1203)</f>
        <v>1</v>
      </c>
      <c r="CH12" s="75">
        <f ca="1">AVERAGEIF($B$2:$B$1469,Tabela2[[#This Row],[T]],$X$2:$X$1203)</f>
        <v>0.66666666666666663</v>
      </c>
      <c r="CI12" s="75">
        <f ca="1">AVERAGEIF($C$2:$C$1469,Tabela2[[#This Row],[T]],$X$2:$X$1183)</f>
        <v>1</v>
      </c>
      <c r="CJ12" s="84">
        <f ca="1">AVERAGEIF($B$2:$B$1469,Tabela2[[#This Row],[T]],$Y$2:$Y$1203)</f>
        <v>0.66666666666666663</v>
      </c>
      <c r="CK12" s="85">
        <f ca="1">AVERAGEIF($C$2:$C$1469,Tabela2[[#This Row],[T]],$Y$2:$Y$1203)</f>
        <v>0.5</v>
      </c>
      <c r="CL12" s="75">
        <f ca="1">AVERAGEIF($B$2:$B$1469,Tabela2[[#This Row],[T]],$Z$2:$Z$1203)</f>
        <v>0.33333333333333331</v>
      </c>
      <c r="CM12" s="75">
        <f ca="1">AVERAGEIF($C$2:$C$1469,Tabela2[[#This Row],[T]],$Z$2:$Z$1183)</f>
        <v>0.33333333333333331</v>
      </c>
      <c r="CN12" s="75">
        <f ca="1">AVERAGEIF($B$2:$B$1469,Tabela2[[#This Row],[T]],$AA$2:$AA$1203)</f>
        <v>0.16666666666666666</v>
      </c>
      <c r="CO12" s="75">
        <f ca="1">AVERAGEIF($C$2:$C$1469,Tabela2[[#This Row],[T]],$AA$2:$AA$1203)</f>
        <v>0.33333333333333331</v>
      </c>
      <c r="CP12" s="75">
        <f ca="1">AVERAGEIF($B$2:$B$1469,Tabela2[[#This Row],[T]],$AB$2:$AB$1203)</f>
        <v>0</v>
      </c>
      <c r="CQ12" s="75">
        <f ca="1">AVERAGEIF($C$2:$C$1469,Tabela2[[#This Row],[T]],$AB$2:$AB$1183)</f>
        <v>0</v>
      </c>
      <c r="CR12" s="242" t="str">
        <f>Tabela2[[#This Row],[T]]</f>
        <v>Fluminense</v>
      </c>
      <c r="CS12" s="75">
        <f ca="1">AVERAGEIF($B$2:$B$1469,Tabela2[[#This Row],[T]],$AC$2:$AC$1240)</f>
        <v>0.66666666666666663</v>
      </c>
      <c r="CT12" s="75">
        <f ca="1">AVERAGEIF($C$2:$C$1469,Tabela2[[#This Row],[T]],$AC$2:$AC$1220)</f>
        <v>0.83333333333333337</v>
      </c>
      <c r="CU12" s="242" t="str">
        <f>Tabela2[[#This Row],[T]]</f>
        <v>Fluminense</v>
      </c>
      <c r="CV12" s="75">
        <f ca="1">AVERAGEIF($B$2:$B$1240,Tabela2[[#This Row],[T]],$L$2:$L$1205)</f>
        <v>0.39508466524144015</v>
      </c>
      <c r="CW12" s="75">
        <f ca="1">AVERAGEIF($C$2:$C$1240,Tabela2[[#This Row],[T]],$M$2:$M$1205)</f>
        <v>0.64554440188989382</v>
      </c>
      <c r="CX12" s="75">
        <f t="array" ref="CX12">_xlfn.STDEV.S(IF($B$2:$B$1203=Tabela2[[#This Row],[T]],$L$2:$L$1203))</f>
        <v>0.20700566561616005</v>
      </c>
      <c r="CY12" s="75">
        <f t="array" ref="CY12">_xlfn.STDEV.S(IF($C$2:$C$1203=Tabela2[[#This Row],[T]],$M$2:$M$1203))</f>
        <v>0.37985085986472966</v>
      </c>
      <c r="CZ12" s="75">
        <f ca="1">Tabela2[[#This Row],[DPPGC]]/Tabela2[[#This Row],[PESOGC]]</f>
        <v>0.52395267097916043</v>
      </c>
      <c r="DA12" s="75">
        <f ca="1">Tabela2[[#This Row],[DPPGV]]/Tabela2[[#This Row],[PESOGV]]</f>
        <v>0.5884194158491336</v>
      </c>
      <c r="DB12" s="242" t="str">
        <f>Tabela2[[#This Row],[T]]</f>
        <v>Fluminense</v>
      </c>
      <c r="DC12" s="75">
        <f ca="1">AVERAGEIF($B$2:$B$1240,Tabela2[[#This Row],[T]],$AO$2:$AO$1205)</f>
        <v>0.3664965030220933</v>
      </c>
      <c r="DD12" s="75">
        <f ca="1">AVERAGEIF($C$2:$C$1240,Tabela2[[#This Row],[T]],$AP$2:$AP$1205)</f>
        <v>0.24665471923536444</v>
      </c>
      <c r="DE12" s="75">
        <f t="array" ref="DE12">_xlfn.STDEV.S(IF($B$2:$B$1203=Tabela2[[#This Row],[T]],$AO$2:$AO$1203))</f>
        <v>0.18748134913147516</v>
      </c>
      <c r="DF12" s="75">
        <f t="array" ref="DF12">_xlfn.STDEV.S(IF($C$2:$C$1203=Tabela2[[#This Row],[T]],$AP$2:$AP$1203))</f>
        <v>0.10015140260341478</v>
      </c>
      <c r="DG12" s="75">
        <f ca="1">Tabela2[[#This Row],[DPCGC]]/Tabela2[[#This Row],[CUSTGC]]</f>
        <v>0.51155017192666996</v>
      </c>
      <c r="DH12" s="75">
        <f ca="1">Tabela2[[#This Row],[DPCGV]]/Tabela2[[#This Row],[CUSTGV]]</f>
        <v>0.4060388664522071</v>
      </c>
      <c r="DI12" s="242" t="str">
        <f>Tabela2[[#This Row],[T]]</f>
        <v>Fluminense</v>
      </c>
      <c r="DJ12" s="84">
        <f t="shared" ca="1" si="12"/>
        <v>4.875</v>
      </c>
      <c r="DK12" s="85">
        <f t="shared" ca="1" si="13"/>
        <v>4.1244444444444444</v>
      </c>
      <c r="DL12" s="242" t="str">
        <f>Tabela2[[#This Row],[T]]</f>
        <v>Fluminense</v>
      </c>
      <c r="DM12" s="82">
        <f ca="1">SUMIF($B$2:$B$1340,Tabela2[[#This Row],[T]],$R$2:$R$1240)</f>
        <v>2.5000000000000004</v>
      </c>
      <c r="DN12" s="83">
        <f ca="1">SUMIF($C$2:$C$1340,Tabela2[[#This Row],[T]],$S$2:$S$1240)</f>
        <v>-0.63999999999999968</v>
      </c>
      <c r="DO12" s="83">
        <f>SUMIF($B$2:$B$1240,Tabela2[[#This Row],[T]],$T$2:$T$1240)</f>
        <v>-6</v>
      </c>
      <c r="DP12" s="83">
        <f>SUMIF($C$2:$C$1240,Tabela2[[#This Row],[T]],$T$2:$T$1240)</f>
        <v>0.29999999999999982</v>
      </c>
      <c r="DR12" s="237"/>
      <c r="DS12" s="237"/>
    </row>
    <row r="13" spans="1:123" x14ac:dyDescent="0.25">
      <c r="A13" s="4">
        <v>46057</v>
      </c>
      <c r="B13" t="s">
        <v>363</v>
      </c>
      <c r="C13" t="s">
        <v>354</v>
      </c>
      <c r="D13">
        <v>1</v>
      </c>
      <c r="E13">
        <v>1</v>
      </c>
      <c r="F13" t="s">
        <v>348</v>
      </c>
      <c r="G13">
        <v>1.41</v>
      </c>
      <c r="H13">
        <v>4.5</v>
      </c>
      <c r="I13">
        <v>7.5</v>
      </c>
      <c r="J13" s="68">
        <f t="shared" si="14"/>
        <v>1</v>
      </c>
      <c r="K13" s="68">
        <f t="shared" si="15"/>
        <v>1</v>
      </c>
      <c r="L13" s="69">
        <f t="shared" si="16"/>
        <v>0.13333333333333333</v>
      </c>
      <c r="M13" s="69">
        <f t="shared" si="17"/>
        <v>0.70921985815602839</v>
      </c>
      <c r="N13" s="69">
        <f>IF(A13="","",Tabela1[[#This Row],[PTC]]*Tabela1[[#This Row],[ODDC]])</f>
        <v>1.41</v>
      </c>
      <c r="O13" s="69">
        <f>IF(A13="","",Tabela1[[#This Row],[PTV]]*Tabela1[[#This Row],[ODDV]])</f>
        <v>7.5</v>
      </c>
      <c r="P13" s="68">
        <f t="shared" si="18"/>
        <v>0</v>
      </c>
      <c r="Q13" s="68">
        <f t="shared" si="19"/>
        <v>0</v>
      </c>
      <c r="R13" s="68">
        <f t="shared" si="20"/>
        <v>-1</v>
      </c>
      <c r="S13" s="68">
        <f t="shared" si="21"/>
        <v>-1</v>
      </c>
      <c r="T13" s="68">
        <f>IF(A13="","",IF(F13="D",Tabela1[[#This Row],[ODDE]]-1,-1))</f>
        <v>3.5</v>
      </c>
      <c r="U13" s="70">
        <f>IF(A13="","",IF(AND(Tabela1[[#This Row],[FTHG]]&gt;3,F13="H"),1,0))</f>
        <v>0</v>
      </c>
      <c r="V13" s="70">
        <f>IF(A13="","",IF(AND(Tabela1[[#This Row],[FTAG]]&gt;3,F13="A"),1,0))</f>
        <v>0</v>
      </c>
      <c r="W13" s="70">
        <f t="shared" si="22"/>
        <v>1</v>
      </c>
      <c r="X13" s="70">
        <f t="shared" si="23"/>
        <v>1</v>
      </c>
      <c r="Y13" s="71">
        <f t="shared" si="24"/>
        <v>0</v>
      </c>
      <c r="Z13" s="70">
        <f t="shared" si="25"/>
        <v>0</v>
      </c>
      <c r="AA13" s="70">
        <f t="shared" si="26"/>
        <v>0</v>
      </c>
      <c r="AB13" s="70">
        <f t="shared" si="27"/>
        <v>0</v>
      </c>
      <c r="AC13" s="71">
        <f t="shared" si="28"/>
        <v>1</v>
      </c>
      <c r="AD13" s="72" t="str">
        <f t="shared" si="29"/>
        <v>FEV</v>
      </c>
      <c r="AE13" s="73">
        <f>IF(A13="","",COUNT($N$2:N13))</f>
        <v>12</v>
      </c>
      <c r="AF13" s="74">
        <f t="shared" si="30"/>
        <v>0</v>
      </c>
      <c r="AG13" s="74">
        <f t="shared" si="31"/>
        <v>1</v>
      </c>
      <c r="AH13" s="74">
        <f t="shared" si="32"/>
        <v>0</v>
      </c>
      <c r="AI13" s="74" t="str">
        <f t="shared" si="33"/>
        <v>1,41-1,7</v>
      </c>
      <c r="AJ13" s="74" t="str">
        <f t="shared" si="34"/>
        <v>5,51-9,0</v>
      </c>
      <c r="AK13" s="74">
        <f>IF(A13="","",1/Tabela1[[#This Row],[ODDC]])</f>
        <v>0.70921985815602839</v>
      </c>
      <c r="AL13" s="74">
        <f>IF(A13="","",1/Tabela1[[#This Row],[ODDE]])</f>
        <v>0.22222222222222221</v>
      </c>
      <c r="AM13" s="74">
        <f>IF(A13="","",1/Tabela1[[#This Row],[ODDV]])</f>
        <v>0.13333333333333333</v>
      </c>
      <c r="AN13" s="74">
        <f>IF(A13="","",1-(Tabela1[[#This Row],[p(H)]]+Tabela1[[#This Row],[p(D)]]+Tabela1[[#This Row],[p(A)]]))</f>
        <v>-6.4775413711583907E-2</v>
      </c>
      <c r="AO13" s="74">
        <f>IF(A13="","",IFERROR(Tabela1[[#This Row],[p(H)]]/Tabela1[[#This Row],[FTHG]],1))</f>
        <v>0.70921985815602839</v>
      </c>
      <c r="AP13" s="74">
        <f>IF(A13="","",IFERROR(Tabela1[[#This Row],[p(A)]]/Tabela1[[#This Row],[FTAG]],1))</f>
        <v>0.13333333333333333</v>
      </c>
      <c r="AQ13" s="244" t="s">
        <v>361</v>
      </c>
      <c r="AR13" s="75">
        <f>AVERAGEIF($B$2:$B$1203,Tabela2[[#This Row],[T]],$J$2:$J$1214)</f>
        <v>2.2000000000000002</v>
      </c>
      <c r="AS13" s="75">
        <f>AVERAGEIF($C$2:$C$1203,Tabela2[[#This Row],[T]],$K$2:$K$1214)</f>
        <v>0.2857142857142857</v>
      </c>
      <c r="AT13" s="75">
        <f t="array" ref="AT13">_xlfn.STDEV.S(IF($B$2:$B$1203=Tabela2[[#This Row],[T]],$J$2:$J$1203))</f>
        <v>1.0954451150103324</v>
      </c>
      <c r="AU13" s="75">
        <f t="array" ref="AU13">_xlfn.STDEV.S(IF($C$2:$C$1203=Tabela2[[#This Row],[T]],$K$2:$K$1203))</f>
        <v>0.4879500364742666</v>
      </c>
      <c r="AV13" s="84">
        <f>Tabela2[[#This Row],[DPMPTC]]/Tabela2[[#This Row],[MPTC]]</f>
        <v>0.49792959773196921</v>
      </c>
      <c r="AW13" s="85">
        <f>Tabela2[[#This Row],[DPMPTV]]/Tabela2[[#This Row],[MPTV]]</f>
        <v>1.7078251276599332</v>
      </c>
      <c r="AX13" s="242" t="str">
        <f>Tabela2[[#This Row],[T]]</f>
        <v>Gremio</v>
      </c>
      <c r="AY13" s="75">
        <f ca="1">AVERAGEIF($B$2:$B$1203,Tabela2[[#This Row],[T]],$U$2:$U$1194)</f>
        <v>0.2</v>
      </c>
      <c r="AZ13" s="75">
        <f ca="1">AVERAGEIF($B$2:$B$1203,Tabela2[[#This Row],[T]],$V$2:$V$1194)</f>
        <v>0</v>
      </c>
      <c r="BA13" s="75">
        <f ca="1">AVERAGEIF($C$2:$C$1203,Tabela2[[#This Row],[T1]],$V$2:$V$1194)</f>
        <v>0</v>
      </c>
      <c r="BB13" s="75">
        <f ca="1">AVERAGEIF($C$2:$C$1203,Tabela2[[#This Row],[T]],$U$2:$U$1194)</f>
        <v>0</v>
      </c>
      <c r="BC13" s="242" t="str">
        <f>Tabela2[[#This Row],[T]]</f>
        <v>Gremio</v>
      </c>
      <c r="BD13" s="75">
        <f>AVERAGEIF($B$2:$B$1203,Tabela2[[#This Row],[T]],$D$2:$D$1203)</f>
        <v>2</v>
      </c>
      <c r="BE13" s="75">
        <f>AVERAGEIF($C$2:$C$1203,Tabela2[[#This Row],[T]],$E$2:$E$1203)</f>
        <v>0.5714285714285714</v>
      </c>
      <c r="BF13" s="76">
        <f t="array" ref="BF13">_xlfn.STDEV.S(IF($B$2:$B$1203=Tabela2[[#This Row],[T]],$D$2:$D$1203))</f>
        <v>1.8708286933869707</v>
      </c>
      <c r="BG13" s="76">
        <f t="array" ref="BG13">_xlfn.STDEV.S(IF($C$2:$C$1203=Tabela2[[#This Row],[T]],$E$2:$E$1203))</f>
        <v>0.53452248382484879</v>
      </c>
      <c r="BH13" s="84">
        <f t="shared" si="0"/>
        <v>0.93541434669348533</v>
      </c>
      <c r="BI13" s="85">
        <f t="shared" si="1"/>
        <v>0.93541434669348544</v>
      </c>
      <c r="BJ13" s="242" t="str">
        <f>Tabela2[[#This Row],[T]]</f>
        <v>Gremio</v>
      </c>
      <c r="BK13" s="75">
        <f>AVERAGEIF($B$2:$B$1203,Tabela2[[#This Row],[T]],$E$2:$E$1203)</f>
        <v>1</v>
      </c>
      <c r="BL13" s="75">
        <f>AVERAGEIF($C$2:$C$1203,Tabela2[[#This Row],[T]],$D$2:$D$1203)</f>
        <v>1.5714285714285714</v>
      </c>
      <c r="BM13" s="76">
        <f t="array" ref="BM13">_xlfn.STDEV.S(IF($B$2:$B$1203=Tabela2[[#This Row],[T]],$E$2:$E$1203))</f>
        <v>1.2247448713915889</v>
      </c>
      <c r="BN13" s="76">
        <f t="array" ref="BN13">_xlfn.STDEV.S(IF($C$2:$C$1203=Tabela2[[#This Row],[T]],$D$2:$D$1203))</f>
        <v>0.7867957924694432</v>
      </c>
      <c r="BO13" s="84">
        <f t="shared" si="2"/>
        <v>1.2247448713915889</v>
      </c>
      <c r="BP13" s="85">
        <f t="shared" si="3"/>
        <v>0.50068823157146392</v>
      </c>
      <c r="BQ13" s="242" t="str">
        <f>Tabela2[[#This Row],[T]]</f>
        <v>Gremio</v>
      </c>
      <c r="BR13" s="79">
        <f t="shared" si="4"/>
        <v>1.2445366323431364</v>
      </c>
      <c r="BS13" s="79">
        <f t="shared" si="5"/>
        <v>0.54863412961481306</v>
      </c>
      <c r="BT13" s="79">
        <f t="shared" si="6"/>
        <v>0.95857583019513892</v>
      </c>
      <c r="BU13" s="79">
        <f t="shared" si="7"/>
        <v>0.98824586359212385</v>
      </c>
      <c r="BV13" s="75">
        <f t="shared" si="8"/>
        <v>0.28596080214799746</v>
      </c>
      <c r="BW13" s="75">
        <f t="shared" si="9"/>
        <v>-0.43961173397731079</v>
      </c>
      <c r="BX13" s="242" t="str">
        <f>Tabela2[[#This Row],[T]]</f>
        <v>Gremio</v>
      </c>
      <c r="BY13" s="75">
        <f ca="1">AVERAGEIF($B$2:$B$1469,Tabela2[[#This Row],[T]],$G$2:$G$1214)</f>
        <v>1.998</v>
      </c>
      <c r="BZ13" s="75">
        <f ca="1">AVERAGEIF($C$2:$C$1469,Tabela2[[#This Row],[T]],$I$2:$I$1214)</f>
        <v>4.6899999999999995</v>
      </c>
      <c r="CA13" s="76">
        <f t="array" ref="CA13">_xlfn.STDEV.S(IF($B$2:$B$1469=Tabela2[[#This Row],[T]],$G$2:$G$1183))</f>
        <v>0.26574423794317537</v>
      </c>
      <c r="CB13" s="76">
        <f t="array" ref="CB13">_xlfn.STDEV.S(IF($C$2:$C1480=Tabela2[[#This Row],[T]],$I$2:$I$1183))</f>
        <v>1.280052082273738</v>
      </c>
      <c r="CC13" s="86">
        <f t="shared" ca="1" si="10"/>
        <v>0.13300512409568335</v>
      </c>
      <c r="CD13" s="87">
        <f t="shared" ca="1" si="11"/>
        <v>0.27293221370442178</v>
      </c>
      <c r="CE13" s="242" t="str">
        <f>Tabela2[[#This Row],[T]]</f>
        <v>Gremio</v>
      </c>
      <c r="CF13" s="75">
        <f ca="1">AVERAGEIF($B$2:$B$1469,Tabela2[[#This Row],[T]],$W$2:$W$1203)</f>
        <v>0.8</v>
      </c>
      <c r="CG13" s="75">
        <f ca="1">AVERAGEIF($C$2:$C$1469,Tabela2[[#This Row],[T]],$W$2:$W$1203)</f>
        <v>0.8571428571428571</v>
      </c>
      <c r="CH13" s="75">
        <f ca="1">AVERAGEIF($B$2:$B$1469,Tabela2[[#This Row],[T]],$X$2:$X$1203)</f>
        <v>0.8</v>
      </c>
      <c r="CI13" s="75">
        <f ca="1">AVERAGEIF($C$2:$C$1469,Tabela2[[#This Row],[T]],$X$2:$X$1183)</f>
        <v>0.8571428571428571</v>
      </c>
      <c r="CJ13" s="84">
        <f ca="1">AVERAGEIF($B$2:$B$1469,Tabela2[[#This Row],[T]],$Y$2:$Y$1203)</f>
        <v>0.4</v>
      </c>
      <c r="CK13" s="85">
        <f ca="1">AVERAGEIF($C$2:$C$1469,Tabela2[[#This Row],[T]],$Y$2:$Y$1203)</f>
        <v>0.42857142857142855</v>
      </c>
      <c r="CL13" s="75">
        <f ca="1">AVERAGEIF($B$2:$B$1469,Tabela2[[#This Row],[T]],$Z$2:$Z$1203)</f>
        <v>0.2</v>
      </c>
      <c r="CM13" s="75">
        <f ca="1">AVERAGEIF($C$2:$C$1469,Tabela2[[#This Row],[T]],$Z$2:$Z$1183)</f>
        <v>0</v>
      </c>
      <c r="CN13" s="75">
        <f ca="1">AVERAGEIF($B$2:$B$1469,Tabela2[[#This Row],[T]],$AA$2:$AA$1203)</f>
        <v>0.2</v>
      </c>
      <c r="CO13" s="75">
        <f ca="1">AVERAGEIF($C$2:$C$1469,Tabela2[[#This Row],[T]],$AA$2:$AA$1203)</f>
        <v>0</v>
      </c>
      <c r="CP13" s="75">
        <f ca="1">AVERAGEIF($B$2:$B$1469,Tabela2[[#This Row],[T]],$AB$2:$AB$1203)</f>
        <v>0.2</v>
      </c>
      <c r="CQ13" s="75">
        <f ca="1">AVERAGEIF($C$2:$C$1469,Tabela2[[#This Row],[T]],$AB$2:$AB$1183)</f>
        <v>0</v>
      </c>
      <c r="CR13" s="242" t="str">
        <f>Tabela2[[#This Row],[T]]</f>
        <v>Gremio</v>
      </c>
      <c r="CS13" s="75">
        <f ca="1">AVERAGEIF($B$2:$B$1469,Tabela2[[#This Row],[T]],$AC$2:$AC$1240)</f>
        <v>0.6</v>
      </c>
      <c r="CT13" s="75">
        <f ca="1">AVERAGEIF($C$2:$C$1469,Tabela2[[#This Row],[T]],$AC$2:$AC$1220)</f>
        <v>0.5714285714285714</v>
      </c>
      <c r="CU13" s="242" t="str">
        <f>Tabela2[[#This Row],[T]]</f>
        <v>Gremio</v>
      </c>
      <c r="CV13" s="75">
        <f ca="1">AVERAGEIF($B$2:$B$1240,Tabela2[[#This Row],[T]],$L$2:$L$1205)</f>
        <v>0.55847523219814244</v>
      </c>
      <c r="CW13" s="75">
        <f ca="1">AVERAGEIF($C$2:$C$1240,Tabela2[[#This Row],[T]],$M$2:$M$1205)</f>
        <v>0.31702997252838994</v>
      </c>
      <c r="CX13" s="75">
        <f t="array" ref="CX13">_xlfn.STDEV.S(IF($B$2:$B$1203=Tabela2[[#This Row],[T]],$L$2:$L$1203))</f>
        <v>0.55319959388471485</v>
      </c>
      <c r="CY13" s="75">
        <f t="array" ref="CY13">_xlfn.STDEV.S(IF($C$2:$C$1203=Tabela2[[#This Row],[T]],$M$2:$M$1203))</f>
        <v>0.31373108132173183</v>
      </c>
      <c r="CZ13" s="75">
        <f ca="1">Tabela2[[#This Row],[DPPGC]]/Tabela2[[#This Row],[PESOGC]]</f>
        <v>0.99055349636068402</v>
      </c>
      <c r="DA13" s="75">
        <f ca="1">Tabela2[[#This Row],[DPPGV]]/Tabela2[[#This Row],[PESOGV]]</f>
        <v>0.98959438699013647</v>
      </c>
      <c r="DB13" s="242" t="str">
        <f>Tabela2[[#This Row],[T]]</f>
        <v>Gremio</v>
      </c>
      <c r="DC13" s="75">
        <f ca="1">AVERAGEIF($B$2:$B$1240,Tabela2[[#This Row],[T]],$AO$2:$AO$1205)</f>
        <v>0.41485178959900904</v>
      </c>
      <c r="DD13" s="75">
        <f ca="1">AVERAGEIF($C$2:$C$1240,Tabela2[[#This Row],[T]],$AP$2:$AP$1205)</f>
        <v>0.57129468917801085</v>
      </c>
      <c r="DE13" s="75">
        <f t="array" ref="DE13">_xlfn.STDEV.S(IF($B$2:$B$1203=Tabela2[[#This Row],[T]],$AO$2:$AO$1203))</f>
        <v>0.35382959885123333</v>
      </c>
      <c r="DF13" s="75">
        <f t="array" ref="DF13">_xlfn.STDEV.S(IF($C$2:$C$1203=Tabela2[[#This Row],[T]],$AP$2:$AP$1203))</f>
        <v>0.41095104769395313</v>
      </c>
      <c r="DG13" s="75">
        <f ca="1">Tabela2[[#This Row],[DPCGC]]/Tabela2[[#This Row],[CUSTGC]]</f>
        <v>0.85290604433270245</v>
      </c>
      <c r="DH13" s="75">
        <f ca="1">Tabela2[[#This Row],[DPCGV]]/Tabela2[[#This Row],[CUSTGV]]</f>
        <v>0.71933286879532687</v>
      </c>
      <c r="DI13" s="242" t="str">
        <f>Tabela2[[#This Row],[T]]</f>
        <v>Gremio</v>
      </c>
      <c r="DJ13" s="84">
        <f t="shared" ca="1" si="12"/>
        <v>4.3956</v>
      </c>
      <c r="DK13" s="85">
        <f t="shared" ca="1" si="13"/>
        <v>1.3399999999999999</v>
      </c>
      <c r="DL13" s="242" t="str">
        <f>Tabela2[[#This Row],[T]]</f>
        <v>Gremio</v>
      </c>
      <c r="DM13" s="82">
        <f ca="1">SUMIF($B$2:$B$1340,Tabela2[[#This Row],[T]],$R$2:$R$1240)</f>
        <v>1.1600000000000001</v>
      </c>
      <c r="DN13" s="83">
        <f ca="1">SUMIF($C$2:$C$1340,Tabela2[[#This Row],[T]],$S$2:$S$1240)</f>
        <v>-7</v>
      </c>
      <c r="DO13" s="83">
        <f>SUMIF($B$2:$B$1240,Tabela2[[#This Row],[T]],$T$2:$T$1240)</f>
        <v>2.1</v>
      </c>
      <c r="DP13" s="83">
        <f>SUMIF($C$2:$C$1240,Tabela2[[#This Row],[T]],$T$2:$T$1240)</f>
        <v>0</v>
      </c>
      <c r="DR13" s="237"/>
      <c r="DS13" s="237"/>
    </row>
    <row r="14" spans="1:123" x14ac:dyDescent="0.25">
      <c r="A14" s="4">
        <v>46057</v>
      </c>
      <c r="B14" t="s">
        <v>389</v>
      </c>
      <c r="C14" t="s">
        <v>382</v>
      </c>
      <c r="D14">
        <v>2</v>
      </c>
      <c r="E14">
        <v>2</v>
      </c>
      <c r="F14" t="s">
        <v>348</v>
      </c>
      <c r="G14">
        <v>3.1</v>
      </c>
      <c r="H14">
        <v>3.1</v>
      </c>
      <c r="I14">
        <v>2.4</v>
      </c>
      <c r="J14" s="68">
        <f t="shared" si="14"/>
        <v>1</v>
      </c>
      <c r="K14" s="68">
        <f t="shared" si="15"/>
        <v>1</v>
      </c>
      <c r="L14" s="69">
        <f t="shared" si="16"/>
        <v>0.83333333333333337</v>
      </c>
      <c r="M14" s="69">
        <f t="shared" si="17"/>
        <v>0.64516129032258063</v>
      </c>
      <c r="N14" s="69">
        <f>IF(A14="","",Tabela1[[#This Row],[PTC]]*Tabela1[[#This Row],[ODDC]])</f>
        <v>3.1</v>
      </c>
      <c r="O14" s="69">
        <f>IF(A14="","",Tabela1[[#This Row],[PTV]]*Tabela1[[#This Row],[ODDV]])</f>
        <v>2.4</v>
      </c>
      <c r="P14" s="68">
        <f t="shared" si="18"/>
        <v>0</v>
      </c>
      <c r="Q14" s="68">
        <f t="shared" si="19"/>
        <v>0</v>
      </c>
      <c r="R14" s="68">
        <f t="shared" si="20"/>
        <v>-1</v>
      </c>
      <c r="S14" s="68">
        <f t="shared" si="21"/>
        <v>-1</v>
      </c>
      <c r="T14" s="68">
        <f>IF(A14="","",IF(F14="D",Tabela1[[#This Row],[ODDE]]-1,-1))</f>
        <v>2.1</v>
      </c>
      <c r="U14" s="70">
        <f>IF(A14="","",IF(AND(Tabela1[[#This Row],[FTHG]]&gt;3,F14="H"),1,0))</f>
        <v>0</v>
      </c>
      <c r="V14" s="70">
        <f>IF(A14="","",IF(AND(Tabela1[[#This Row],[FTAG]]&gt;3,F14="A"),1,0))</f>
        <v>0</v>
      </c>
      <c r="W14" s="70">
        <f t="shared" si="22"/>
        <v>1</v>
      </c>
      <c r="X14" s="70">
        <f t="shared" si="23"/>
        <v>1</v>
      </c>
      <c r="Y14" s="71">
        <f t="shared" si="24"/>
        <v>1</v>
      </c>
      <c r="Z14" s="70">
        <f t="shared" si="25"/>
        <v>1</v>
      </c>
      <c r="AA14" s="70">
        <f t="shared" si="26"/>
        <v>0</v>
      </c>
      <c r="AB14" s="70">
        <f t="shared" si="27"/>
        <v>0</v>
      </c>
      <c r="AC14" s="71">
        <f t="shared" si="28"/>
        <v>1</v>
      </c>
      <c r="AD14" s="72" t="str">
        <f t="shared" si="29"/>
        <v>FEV</v>
      </c>
      <c r="AE14" s="73">
        <f>IF(A14="","",COUNT($N$2:N14))</f>
        <v>13</v>
      </c>
      <c r="AF14" s="74">
        <f t="shared" si="30"/>
        <v>0</v>
      </c>
      <c r="AG14" s="74">
        <f t="shared" si="31"/>
        <v>1</v>
      </c>
      <c r="AH14" s="74">
        <f t="shared" si="32"/>
        <v>0</v>
      </c>
      <c r="AI14" s="74" t="str">
        <f t="shared" si="33"/>
        <v>3,01-4.0</v>
      </c>
      <c r="AJ14" s="74" t="str">
        <f t="shared" si="34"/>
        <v>2,01-2,4</v>
      </c>
      <c r="AK14" s="74">
        <f>IF(A14="","",1/Tabela1[[#This Row],[ODDC]])</f>
        <v>0.32258064516129031</v>
      </c>
      <c r="AL14" s="74">
        <f>IF(A14="","",1/Tabela1[[#This Row],[ODDE]])</f>
        <v>0.32258064516129031</v>
      </c>
      <c r="AM14" s="74">
        <f>IF(A14="","",1/Tabela1[[#This Row],[ODDV]])</f>
        <v>0.41666666666666669</v>
      </c>
      <c r="AN14" s="74">
        <f>IF(A14="","",1-(Tabela1[[#This Row],[p(H)]]+Tabela1[[#This Row],[p(D)]]+Tabela1[[#This Row],[p(A)]]))</f>
        <v>-6.1827956989247257E-2</v>
      </c>
      <c r="AO14" s="74">
        <f>IF(A14="","",IFERROR(Tabela1[[#This Row],[p(H)]]/Tabela1[[#This Row],[FTHG]],1))</f>
        <v>0.16129032258064516</v>
      </c>
      <c r="AP14" s="74">
        <f>IF(A14="","",IFERROR(Tabela1[[#This Row],[p(A)]]/Tabela1[[#This Row],[FTAG]],1))</f>
        <v>0.20833333333333334</v>
      </c>
      <c r="AQ14" s="244" t="s">
        <v>354</v>
      </c>
      <c r="AR14" s="75">
        <f>AVERAGEIF($B$2:$B$1203,Tabela2[[#This Row],[T]],$J$2:$J$1214)</f>
        <v>0.7142857142857143</v>
      </c>
      <c r="AS14" s="75">
        <f>AVERAGEIF($C$2:$C$1203,Tabela2[[#This Row],[T]],$K$2:$K$1214)</f>
        <v>1.6</v>
      </c>
      <c r="AT14" s="75">
        <f t="array" ref="AT14">_xlfn.STDEV.S(IF($B$2:$B$1203=Tabela2[[#This Row],[T]],$J$2:$J$1203))</f>
        <v>1.1126972805283737</v>
      </c>
      <c r="AU14" s="75">
        <f t="array" ref="AU14">_xlfn.STDEV.S(IF($C$2:$C$1203=Tabela2[[#This Row],[T]],$K$2:$K$1203))</f>
        <v>1.3416407864998738</v>
      </c>
      <c r="AV14" s="84">
        <f>Tabela2[[#This Row],[DPMPTC]]/Tabela2[[#This Row],[MPTC]]</f>
        <v>1.5577761927397231</v>
      </c>
      <c r="AW14" s="85">
        <f>Tabela2[[#This Row],[DPMPTV]]/Tabela2[[#This Row],[MPTV]]</f>
        <v>0.83852549156242107</v>
      </c>
      <c r="AX14" s="243" t="str">
        <f>Tabela2[[#This Row],[T]]</f>
        <v>Internacional</v>
      </c>
      <c r="AY14" s="75">
        <f ca="1">AVERAGEIF($B$2:$B$1203,Tabela2[[#This Row],[T]],$U$2:$U$1194)</f>
        <v>0</v>
      </c>
      <c r="AZ14" s="75">
        <f ca="1">AVERAGEIF($B$2:$B$1203,Tabela2[[#This Row],[T]],$V$2:$V$1194)</f>
        <v>0</v>
      </c>
      <c r="BA14" s="75">
        <f ca="1">AVERAGEIF($C$2:$C$1203,Tabela2[[#This Row],[T1]],$V$2:$V$1194)</f>
        <v>0</v>
      </c>
      <c r="BB14" s="75">
        <f ca="1">AVERAGEIF($C$2:$C$1203,Tabela2[[#This Row],[T]],$U$2:$U$1194)</f>
        <v>0</v>
      </c>
      <c r="BC14" s="243" t="str">
        <f>Tabela2[[#This Row],[T]]</f>
        <v>Internacional</v>
      </c>
      <c r="BD14" s="75">
        <f>AVERAGEIF($B$2:$B$1203,Tabela2[[#This Row],[T]],$D$2:$D$1203)</f>
        <v>0.7142857142857143</v>
      </c>
      <c r="BE14" s="75">
        <f>AVERAGEIF($C$2:$C$1203,Tabela2[[#This Row],[T]],$E$2:$E$1203)</f>
        <v>1</v>
      </c>
      <c r="BF14" s="76">
        <f t="array" ref="BF14">_xlfn.STDEV.S(IF($B$2:$B$1203=Tabela2[[#This Row],[T]],$D$2:$D$1203))</f>
        <v>0.7559289460184544</v>
      </c>
      <c r="BG14" s="76">
        <f>IFERROR(_xlfn.STDEV.S(IF($C$2:$C$1203=Tabela2[[#This Row],[T]],$E$2:$E$1203)),0)</f>
        <v>0</v>
      </c>
      <c r="BH14" s="84">
        <f t="shared" si="0"/>
        <v>1.0583005244258361</v>
      </c>
      <c r="BI14" s="85">
        <f t="shared" si="1"/>
        <v>0</v>
      </c>
      <c r="BJ14" s="243" t="str">
        <f>Tabela2[[#This Row],[T]]</f>
        <v>Internacional</v>
      </c>
      <c r="BK14" s="75">
        <f>AVERAGEIF($B$2:$B$1203,Tabela2[[#This Row],[T]],$E$2:$E$1203)</f>
        <v>1.1428571428571428</v>
      </c>
      <c r="BL14" s="75">
        <f>AVERAGEIF($C$2:$C$1203,Tabela2[[#This Row],[T]],$D$2:$D$1203)</f>
        <v>0.8</v>
      </c>
      <c r="BM14" s="76">
        <f t="array" ref="BM14">_xlfn.STDEV.S(IF($B$2:$B$1203=Tabela2[[#This Row],[T]],$E$2:$E$1203))</f>
        <v>1.0690449676496976</v>
      </c>
      <c r="BN14" s="76">
        <f>IFERROR(_xlfn.STDEV.S(IF($C$2:$C$1203=Tabela2[[#This Row],[T]],$D$2:$D$1203)),0)</f>
        <v>0</v>
      </c>
      <c r="BO14" s="84">
        <f t="shared" si="2"/>
        <v>0.93541434669348544</v>
      </c>
      <c r="BP14" s="85">
        <f>IFERROR(BN14/BL14,0)</f>
        <v>0</v>
      </c>
      <c r="BQ14" s="243" t="str">
        <f>Tabela2[[#This Row],[T]]</f>
        <v>Internacional</v>
      </c>
      <c r="BR14" s="79">
        <f t="shared" si="4"/>
        <v>0.4444773686939773</v>
      </c>
      <c r="BS14" s="79">
        <f t="shared" si="5"/>
        <v>0.96010972682592288</v>
      </c>
      <c r="BT14" s="79">
        <f t="shared" si="6"/>
        <v>1.0955152345087302</v>
      </c>
      <c r="BU14" s="79">
        <f t="shared" si="7"/>
        <v>0.50310698510144491</v>
      </c>
      <c r="BV14" s="75">
        <f t="shared" si="8"/>
        <v>-0.65103786581475287</v>
      </c>
      <c r="BW14" s="75">
        <f t="shared" si="9"/>
        <v>0.45700274172447797</v>
      </c>
      <c r="BX14" s="243" t="str">
        <f>Tabela2[[#This Row],[T]]</f>
        <v>Internacional</v>
      </c>
      <c r="BY14" s="75">
        <f ca="1">AVERAGEIF($B$2:$B$1469,Tabela2[[#This Row],[T]],$G$2:$G$1214)</f>
        <v>1.9871428571428571</v>
      </c>
      <c r="BZ14" s="75">
        <f ca="1">AVERAGEIF($C$2:$C$1469,Tabela2[[#This Row],[T]],$I$2:$I$1214)</f>
        <v>4.1500000000000004</v>
      </c>
      <c r="CA14" s="76">
        <f t="array" ref="CA14">_xlfn.STDEV.S(IF($B$2:$B$1469=Tabela2[[#This Row],[T]],$G$2:$G$1183))</f>
        <v>0.54637332431571839</v>
      </c>
      <c r="CB14" s="76">
        <f t="array" ref="CB14">_xlfn.STDEV.S(IF($C$2:$C1481=Tabela2[[#This Row],[T]],$I$2:$I$1183))</f>
        <v>1.9893466264077759</v>
      </c>
      <c r="CC14" s="86">
        <f t="shared" ca="1" si="10"/>
        <v>0.27495422503307182</v>
      </c>
      <c r="CD14" s="87">
        <f t="shared" ca="1" si="11"/>
        <v>0.47936063286934355</v>
      </c>
      <c r="CE14" s="243" t="str">
        <f>Tabela2[[#This Row],[T]]</f>
        <v>Internacional</v>
      </c>
      <c r="CF14" s="75">
        <f ca="1">AVERAGEIF($B$2:$B$1469,Tabela2[[#This Row],[T]],$W$2:$W$1203)</f>
        <v>0.8571428571428571</v>
      </c>
      <c r="CG14" s="75">
        <f ca="1">AVERAGEIF($C$2:$C$1469,Tabela2[[#This Row],[T]],$W$2:$W$1203)</f>
        <v>1</v>
      </c>
      <c r="CH14" s="75">
        <f ca="1">AVERAGEIF($B$2:$B$1469,Tabela2[[#This Row],[T]],$X$2:$X$1203)</f>
        <v>0.5714285714285714</v>
      </c>
      <c r="CI14" s="75">
        <f ca="1">AVERAGEIF($C$2:$C$1469,Tabela2[[#This Row],[T]],$X$2:$X$1183)</f>
        <v>0.6</v>
      </c>
      <c r="CJ14" s="84">
        <f ca="1">AVERAGEIF($B$2:$B$1469,Tabela2[[#This Row],[T]],$Y$2:$Y$1203)</f>
        <v>0.2857142857142857</v>
      </c>
      <c r="CK14" s="85">
        <f ca="1">AVERAGEIF($C$2:$C$1469,Tabela2[[#This Row],[T]],$Y$2:$Y$1203)</f>
        <v>0.2</v>
      </c>
      <c r="CL14" s="75">
        <f ca="1">AVERAGEIF($B$2:$B$1469,Tabela2[[#This Row],[T]],$Z$2:$Z$1203)</f>
        <v>0.14285714285714285</v>
      </c>
      <c r="CM14" s="75">
        <f ca="1">AVERAGEIF($C$2:$C$1469,Tabela2[[#This Row],[T]],$Z$2:$Z$1183)</f>
        <v>0</v>
      </c>
      <c r="CN14" s="75">
        <f ca="1">AVERAGEIF($B$2:$B$1469,Tabela2[[#This Row],[T]],$AA$2:$AA$1203)</f>
        <v>0</v>
      </c>
      <c r="CO14" s="75">
        <f ca="1">AVERAGEIF($C$2:$C$1469,Tabela2[[#This Row],[T]],$AA$2:$AA$1203)</f>
        <v>0</v>
      </c>
      <c r="CP14" s="75">
        <f ca="1">AVERAGEIF($B$2:$B$1469,Tabela2[[#This Row],[T]],$AB$2:$AB$1203)</f>
        <v>0</v>
      </c>
      <c r="CQ14" s="75">
        <f ca="1">AVERAGEIF($C$2:$C$1469,Tabela2[[#This Row],[T]],$AB$2:$AB$1183)</f>
        <v>0</v>
      </c>
      <c r="CR14" s="243" t="str">
        <f>Tabela2[[#This Row],[T]]</f>
        <v>Internacional</v>
      </c>
      <c r="CS14" s="75">
        <f ca="1">AVERAGEIF($B$2:$B$1469,Tabela2[[#This Row],[T]],$AC$2:$AC$1240)</f>
        <v>0.42857142857142855</v>
      </c>
      <c r="CT14" s="75">
        <f ca="1">AVERAGEIF($C$2:$C$1469,Tabela2[[#This Row],[T]],$AC$2:$AC$1220)</f>
        <v>0.6</v>
      </c>
      <c r="CU14" s="243" t="str">
        <f>Tabela2[[#This Row],[T]]</f>
        <v>Internacional</v>
      </c>
      <c r="CV14" s="75">
        <f ca="1">AVERAGEIF($B$2:$B$1240,Tabela2[[#This Row],[T]],$L$2:$L$1205)</f>
        <v>0.17611304684475418</v>
      </c>
      <c r="CW14" s="75">
        <f ca="1">AVERAGEIF($C$2:$C$1240,Tabela2[[#This Row],[T]],$M$2:$M$1205)</f>
        <v>0.49374247962727463</v>
      </c>
      <c r="CX14" s="75">
        <f t="array" ref="CX14">_xlfn.STDEV.S(IF($B$2:$B$1203=Tabela2[[#This Row],[T]],$L$2:$L$1203))</f>
        <v>0.17709706943521625</v>
      </c>
      <c r="CY14" s="75">
        <f t="array" ref="CY14">_xlfn.STDEV.S(IF($C$2:$C$1203=Tabela2[[#This Row],[T]],$M$2:$M$1203))</f>
        <v>0.37327300608290748</v>
      </c>
      <c r="CZ14" s="75">
        <f ca="1">Tabela2[[#This Row],[DPPGC]]/Tabela2[[#This Row],[PESOGC]]</f>
        <v>1.0055874485626808</v>
      </c>
      <c r="DA14" s="75">
        <f ca="1">Tabela2[[#This Row],[DPPGV]]/Tabela2[[#This Row],[PESOGV]]</f>
        <v>0.75600747653856037</v>
      </c>
      <c r="DB14" s="243" t="str">
        <f>Tabela2[[#This Row],[T]]</f>
        <v>Internacional</v>
      </c>
      <c r="DC14" s="75">
        <f ca="1">AVERAGEIF($B$2:$B$1240,Tabela2[[#This Row],[T]],$AO$2:$AO$1205)</f>
        <v>0.6700421194975491</v>
      </c>
      <c r="DD14" s="75">
        <f ca="1">AVERAGEIF($C$2:$C$1240,Tabela2[[#This Row],[T]],$AP$2:$AP$1205)</f>
        <v>0.4007710035617012</v>
      </c>
      <c r="DE14" s="75">
        <f t="array" ref="DE14">_xlfn.STDEV.S(IF($B$2:$B$1203=Tabela2[[#This Row],[T]],$AO$2:$AO$1203))</f>
        <v>0.31621339015824079</v>
      </c>
      <c r="DF14" s="75">
        <f t="array" ref="DF14">_xlfn.STDEV.S(IF($C$2:$C$1203=Tabela2[[#This Row],[T]],$AP$2:$AP$1203))</f>
        <v>0.36136251469064068</v>
      </c>
      <c r="DG14" s="75">
        <f ca="1">Tabela2[[#This Row],[DPCGC]]/Tabela2[[#This Row],[CUSTGC]]</f>
        <v>0.471930615937044</v>
      </c>
      <c r="DH14" s="75">
        <f ca="1">Tabela2[[#This Row],[DPCGV]]/Tabela2[[#This Row],[CUSTGV]]</f>
        <v>0.90166831302456407</v>
      </c>
      <c r="DI14" s="243" t="str">
        <f>Tabela2[[#This Row],[T]]</f>
        <v>Internacional</v>
      </c>
      <c r="DJ14" s="84">
        <f t="shared" ca="1" si="12"/>
        <v>1.4193877551020408</v>
      </c>
      <c r="DK14" s="85">
        <f t="shared" ca="1" si="13"/>
        <v>6.6400000000000006</v>
      </c>
      <c r="DL14" s="243" t="str">
        <f>Tabela2[[#This Row],[T]]</f>
        <v>Internacional</v>
      </c>
      <c r="DM14" s="82">
        <f ca="1">SUMIF($B$2:$B$1340,Tabela2[[#This Row],[T]],$R$2:$R$1240)</f>
        <v>-5.63</v>
      </c>
      <c r="DN14" s="83">
        <f ca="1">SUMIF($C$2:$C$1340,Tabela2[[#This Row],[T]],$S$2:$S$1240)</f>
        <v>2.4000000000000004</v>
      </c>
      <c r="DO14" s="83">
        <f>SUMIF($B$2:$B$1240,Tabela2[[#This Row],[T]],$T$2:$T$1240)</f>
        <v>-0.39999999999999991</v>
      </c>
      <c r="DP14" s="83">
        <f>SUMIF($C$2:$C$1240,Tabela2[[#This Row],[T]],$T$2:$T$1240)</f>
        <v>2.9000000000000004</v>
      </c>
      <c r="DR14" s="237"/>
      <c r="DS14" s="237"/>
    </row>
    <row r="15" spans="1:123" x14ac:dyDescent="0.25">
      <c r="A15" s="4">
        <v>46057</v>
      </c>
      <c r="B15" t="s">
        <v>362</v>
      </c>
      <c r="C15" t="s">
        <v>351</v>
      </c>
      <c r="D15">
        <v>1</v>
      </c>
      <c r="E15">
        <v>1</v>
      </c>
      <c r="F15" t="s">
        <v>348</v>
      </c>
      <c r="G15">
        <v>2.2000000000000002</v>
      </c>
      <c r="H15">
        <v>3.1</v>
      </c>
      <c r="I15">
        <v>3.3</v>
      </c>
      <c r="J15" s="68">
        <f t="shared" si="14"/>
        <v>1</v>
      </c>
      <c r="K15" s="68">
        <f t="shared" si="15"/>
        <v>1</v>
      </c>
      <c r="L15" s="69">
        <f t="shared" si="16"/>
        <v>0.30303030303030304</v>
      </c>
      <c r="M15" s="69">
        <f t="shared" si="17"/>
        <v>0.45454545454545453</v>
      </c>
      <c r="N15" s="69">
        <f>IF(A15="","",Tabela1[[#This Row],[PTC]]*Tabela1[[#This Row],[ODDC]])</f>
        <v>2.2000000000000002</v>
      </c>
      <c r="O15" s="69">
        <f>IF(A15="","",Tabela1[[#This Row],[PTV]]*Tabela1[[#This Row],[ODDV]])</f>
        <v>3.3</v>
      </c>
      <c r="P15" s="68">
        <f t="shared" si="18"/>
        <v>0</v>
      </c>
      <c r="Q15" s="68">
        <f t="shared" si="19"/>
        <v>0</v>
      </c>
      <c r="R15" s="68">
        <f t="shared" si="20"/>
        <v>-1</v>
      </c>
      <c r="S15" s="68">
        <f t="shared" si="21"/>
        <v>-1</v>
      </c>
      <c r="T15" s="68">
        <f>IF(A15="","",IF(F15="D",Tabela1[[#This Row],[ODDE]]-1,-1))</f>
        <v>2.1</v>
      </c>
      <c r="U15" s="70">
        <f>IF(A15="","",IF(AND(Tabela1[[#This Row],[FTHG]]&gt;3,F15="H"),1,0))</f>
        <v>0</v>
      </c>
      <c r="V15" s="70">
        <f>IF(A15="","",IF(AND(Tabela1[[#This Row],[FTAG]]&gt;3,F15="A"),1,0))</f>
        <v>0</v>
      </c>
      <c r="W15" s="70">
        <f t="shared" si="22"/>
        <v>1</v>
      </c>
      <c r="X15" s="70">
        <f t="shared" si="23"/>
        <v>1</v>
      </c>
      <c r="Y15" s="71">
        <f t="shared" si="24"/>
        <v>0</v>
      </c>
      <c r="Z15" s="70">
        <f t="shared" si="25"/>
        <v>0</v>
      </c>
      <c r="AA15" s="70">
        <f t="shared" si="26"/>
        <v>0</v>
      </c>
      <c r="AB15" s="70">
        <f t="shared" si="27"/>
        <v>0</v>
      </c>
      <c r="AC15" s="71">
        <f t="shared" si="28"/>
        <v>1</v>
      </c>
      <c r="AD15" s="72" t="str">
        <f t="shared" si="29"/>
        <v>FEV</v>
      </c>
      <c r="AE15" s="73">
        <f>IF(A15="","",COUNT($N$2:N15))</f>
        <v>14</v>
      </c>
      <c r="AF15" s="74">
        <f t="shared" si="30"/>
        <v>0</v>
      </c>
      <c r="AG15" s="74">
        <f t="shared" si="31"/>
        <v>1</v>
      </c>
      <c r="AH15" s="74">
        <f t="shared" si="32"/>
        <v>0</v>
      </c>
      <c r="AI15" s="74" t="str">
        <f t="shared" si="33"/>
        <v>2,01-2,4</v>
      </c>
      <c r="AJ15" s="74" t="str">
        <f t="shared" si="34"/>
        <v>3,01-4.0</v>
      </c>
      <c r="AK15" s="74">
        <f>IF(A15="","",1/Tabela1[[#This Row],[ODDC]])</f>
        <v>0.45454545454545453</v>
      </c>
      <c r="AL15" s="74">
        <f>IF(A15="","",1/Tabela1[[#This Row],[ODDE]])</f>
        <v>0.32258064516129031</v>
      </c>
      <c r="AM15" s="74">
        <f>IF(A15="","",1/Tabela1[[#This Row],[ODDV]])</f>
        <v>0.30303030303030304</v>
      </c>
      <c r="AN15" s="74">
        <f>IF(A15="","",1-(Tabela1[[#This Row],[p(H)]]+Tabela1[[#This Row],[p(D)]]+Tabela1[[#This Row],[p(A)]]))</f>
        <v>-8.0156402737047827E-2</v>
      </c>
      <c r="AO15" s="74">
        <f>IF(A15="","",IFERROR(Tabela1[[#This Row],[p(H)]]/Tabela1[[#This Row],[FTHG]],1))</f>
        <v>0.45454545454545453</v>
      </c>
      <c r="AP15" s="74">
        <f>IF(A15="","",IFERROR(Tabela1[[#This Row],[p(A)]]/Tabela1[[#This Row],[FTAG]],1))</f>
        <v>0.30303030303030304</v>
      </c>
      <c r="AQ15" s="244" t="s">
        <v>382</v>
      </c>
      <c r="AR15" s="75">
        <f>AVERAGEIF($B$2:$B$1203,Tabela2[[#This Row],[T]],$J$2:$J$1214)</f>
        <v>0.83333333333333337</v>
      </c>
      <c r="AS15" s="75">
        <f>AVERAGEIF($C$2:$C$1203,Tabela2[[#This Row],[T]],$K$2:$K$1214)</f>
        <v>0.8</v>
      </c>
      <c r="AT15" s="75">
        <f t="array" ref="AT15">_xlfn.STDEV.S(IF($B$2:$B$1203=Tabela2[[#This Row],[T]],$J$2:$J$1203))</f>
        <v>1.1690451944500122</v>
      </c>
      <c r="AU15" s="75">
        <f t="array" ref="AU15">_xlfn.STDEV.S(IF($C$2:$C$1203=Tabela2[[#This Row],[T]],$K$2:$K$1203))</f>
        <v>1.3038404810405297</v>
      </c>
      <c r="AV15" s="84">
        <f>Tabela2[[#This Row],[DPMPTC]]/Tabela2[[#This Row],[MPTC]]</f>
        <v>1.4028542333400147</v>
      </c>
      <c r="AW15" s="85">
        <f>Tabela2[[#This Row],[DPMPTV]]/Tabela2[[#This Row],[MPTV]]</f>
        <v>1.6298006013006621</v>
      </c>
      <c r="AX15" s="243" t="str">
        <f>Tabela2[[#This Row],[T]]</f>
        <v>Mirassol</v>
      </c>
      <c r="AY15" s="75">
        <f ca="1">AVERAGEIF($B$2:$B$1203,Tabela2[[#This Row],[T]],$U$2:$U$1194)</f>
        <v>0</v>
      </c>
      <c r="AZ15" s="75">
        <f ca="1">AVERAGEIF($B$2:$B$1203,Tabela2[[#This Row],[T]],$V$2:$V$1194)</f>
        <v>0</v>
      </c>
      <c r="BA15" s="75">
        <f ca="1">AVERAGEIF($C$2:$C$1203,Tabela2[[#This Row],[T1]],$V$2:$V$1194)</f>
        <v>0</v>
      </c>
      <c r="BB15" s="75">
        <f ca="1">AVERAGEIF($C$2:$C$1203,Tabela2[[#This Row],[T]],$U$2:$U$1194)</f>
        <v>0</v>
      </c>
      <c r="BC15" s="243" t="str">
        <f>Tabela2[[#This Row],[T]]</f>
        <v>Mirassol</v>
      </c>
      <c r="BD15" s="75">
        <f>AVERAGEIF($B$2:$B$1203,Tabela2[[#This Row],[T]],$D$2:$D$1203)</f>
        <v>1.1666666666666667</v>
      </c>
      <c r="BE15" s="75">
        <f>AVERAGEIF($C$2:$C$1203,Tabela2[[#This Row],[T]],$E$2:$E$1203)</f>
        <v>1.2</v>
      </c>
      <c r="BF15" s="76">
        <f t="array" ref="BF15">_xlfn.STDEV.S(IF($B$2:$B$1203=Tabela2[[#This Row],[T]],$D$2:$D$1203))</f>
        <v>0.98319208025017513</v>
      </c>
      <c r="BG15" s="76">
        <f t="array" ref="BG15">_xlfn.STDEV.S(IF($C$2:$C$1203=Tabela2[[#This Row],[T]],$E$2:$E$1203))</f>
        <v>1.0954451150103321</v>
      </c>
      <c r="BH15" s="84">
        <f t="shared" si="0"/>
        <v>0.84273606878586438</v>
      </c>
      <c r="BI15" s="85">
        <f>IFERROR(BG15/BE15,0)</f>
        <v>0.91287092917527679</v>
      </c>
      <c r="BJ15" s="243" t="str">
        <f>Tabela2[[#This Row],[T]]</f>
        <v>Mirassol</v>
      </c>
      <c r="BK15" s="75">
        <f>AVERAGEIF($B$2:$B$1203,Tabela2[[#This Row],[T]],$E$2:$E$1203)</f>
        <v>1.5</v>
      </c>
      <c r="BL15" s="75">
        <f>AVERAGEIF($C$2:$C$1203,Tabela2[[#This Row],[T]],$D$2:$D$1203)</f>
        <v>1.6</v>
      </c>
      <c r="BM15" s="76">
        <f t="array" ref="BM15">_xlfn.STDEV.S(IF($B$2:$B$1203=Tabela2[[#This Row],[T]],$E$2:$E$1203))</f>
        <v>0.54772255750516607</v>
      </c>
      <c r="BN15" s="76">
        <f t="array" ref="BN15">_xlfn.STDEV.S(IF($C$2:$C$1203=Tabela2[[#This Row],[T]],$D$2:$D$1203))</f>
        <v>0.89442719099991574</v>
      </c>
      <c r="BO15" s="84">
        <f t="shared" si="2"/>
        <v>0.36514837167011072</v>
      </c>
      <c r="BP15" s="85">
        <f t="shared" si="3"/>
        <v>0.55901699437494734</v>
      </c>
      <c r="BQ15" s="243" t="str">
        <f>Tabela2[[#This Row],[T]]</f>
        <v>Mirassol</v>
      </c>
      <c r="BR15" s="79">
        <f t="shared" si="4"/>
        <v>0.72597970220016295</v>
      </c>
      <c r="BS15" s="79">
        <f t="shared" si="5"/>
        <v>1.1521316721911075</v>
      </c>
      <c r="BT15" s="79">
        <f t="shared" si="6"/>
        <v>1.4378637452927083</v>
      </c>
      <c r="BU15" s="79">
        <f t="shared" si="7"/>
        <v>1.0062139702028898</v>
      </c>
      <c r="BV15" s="75">
        <f t="shared" si="8"/>
        <v>-0.71188404309254538</v>
      </c>
      <c r="BW15" s="75">
        <f t="shared" si="9"/>
        <v>0.14591770198821763</v>
      </c>
      <c r="BX15" s="243" t="str">
        <f>Tabela2[[#This Row],[T]]</f>
        <v>Mirassol</v>
      </c>
      <c r="BY15" s="75">
        <f ca="1">AVERAGEIF($B$2:$B$1469,Tabela2[[#This Row],[T]],$G$2:$G$1214)</f>
        <v>1.9450000000000001</v>
      </c>
      <c r="BZ15" s="75">
        <f ca="1">AVERAGEIF($C$2:$C$1469,Tabela2[[#This Row],[T]],$I$2:$I$1214)</f>
        <v>3.5700000000000003</v>
      </c>
      <c r="CA15" s="76">
        <f t="array" ref="CA15">_xlfn.STDEV.S(IF($B$2:$B$1469=Tabela2[[#This Row],[T]],$G$2:$G$1183))</f>
        <v>0.32216455422656298</v>
      </c>
      <c r="CB15" s="76">
        <f t="array" ref="CB15">_xlfn.STDEV.S(IF($C$2:$C1482=Tabela2[[#This Row],[T]],$I$2:$I$1183))</f>
        <v>1.246795893480563</v>
      </c>
      <c r="CC15" s="86">
        <f t="shared" ca="1" si="10"/>
        <v>0.1656373029442483</v>
      </c>
      <c r="CD15" s="87">
        <f t="shared" ca="1" si="11"/>
        <v>0.349242547193435</v>
      </c>
      <c r="CE15" s="243" t="str">
        <f>Tabela2[[#This Row],[T]]</f>
        <v>Mirassol</v>
      </c>
      <c r="CF15" s="75">
        <f ca="1">AVERAGEIF($B$2:$B$1469,Tabela2[[#This Row],[T]],$W$2:$W$1203)</f>
        <v>1</v>
      </c>
      <c r="CG15" s="75">
        <f ca="1">AVERAGEIF($C$2:$C$1469,Tabela2[[#This Row],[T]],$W$2:$W$1203)</f>
        <v>1</v>
      </c>
      <c r="CH15" s="75">
        <f ca="1">AVERAGEIF($B$2:$B$1469,Tabela2[[#This Row],[T]],$X$2:$X$1203)</f>
        <v>0.66666666666666663</v>
      </c>
      <c r="CI15" s="75">
        <f ca="1">AVERAGEIF($C$2:$C$1469,Tabela2[[#This Row],[T]],$X$2:$X$1183)</f>
        <v>0.6</v>
      </c>
      <c r="CJ15" s="84">
        <f ca="1">AVERAGEIF($B$2:$B$1469,Tabela2[[#This Row],[T]],$Y$2:$Y$1203)</f>
        <v>0.66666666666666663</v>
      </c>
      <c r="CK15" s="85">
        <f ca="1">AVERAGEIF($C$2:$C$1469,Tabela2[[#This Row],[T]],$Y$2:$Y$1203)</f>
        <v>0.6</v>
      </c>
      <c r="CL15" s="75">
        <f ca="1">AVERAGEIF($B$2:$B$1469,Tabela2[[#This Row],[T]],$Z$2:$Z$1203)</f>
        <v>0.33333333333333331</v>
      </c>
      <c r="CM15" s="75">
        <f ca="1">AVERAGEIF($C$2:$C$1469,Tabela2[[#This Row],[T]],$Z$2:$Z$1183)</f>
        <v>0.4</v>
      </c>
      <c r="CN15" s="75">
        <f ca="1">AVERAGEIF($B$2:$B$1469,Tabela2[[#This Row],[T]],$AA$2:$AA$1203)</f>
        <v>0</v>
      </c>
      <c r="CO15" s="75">
        <f ca="1">AVERAGEIF($C$2:$C$1469,Tabela2[[#This Row],[T]],$AA$2:$AA$1203)</f>
        <v>0.2</v>
      </c>
      <c r="CP15" s="75">
        <f ca="1">AVERAGEIF($B$2:$B$1469,Tabela2[[#This Row],[T]],$AB$2:$AB$1203)</f>
        <v>0</v>
      </c>
      <c r="CQ15" s="75">
        <f ca="1">AVERAGEIF($C$2:$C$1469,Tabela2[[#This Row],[T]],$AB$2:$AB$1183)</f>
        <v>0</v>
      </c>
      <c r="CR15" s="243" t="str">
        <f>Tabela2[[#This Row],[T]]</f>
        <v>Mirassol</v>
      </c>
      <c r="CS15" s="75">
        <f ca="1">AVERAGEIF($B$2:$B$1469,Tabela2[[#This Row],[T]],$AC$2:$AC$1240)</f>
        <v>0.66666666666666663</v>
      </c>
      <c r="CT15" s="75">
        <f ca="1">AVERAGEIF($C$2:$C$1469,Tabela2[[#This Row],[T]],$AC$2:$AC$1220)</f>
        <v>0.6</v>
      </c>
      <c r="CU15" s="243" t="str">
        <f>Tabela2[[#This Row],[T]]</f>
        <v>Mirassol</v>
      </c>
      <c r="CV15" s="75">
        <f ca="1">AVERAGEIF($B$2:$B$1240,Tabela2[[#This Row],[T]],$L$2:$L$1205)</f>
        <v>0.29743578718036923</v>
      </c>
      <c r="CW15" s="75">
        <f ca="1">AVERAGEIF($C$2:$C$1240,Tabela2[[#This Row],[T]],$M$2:$M$1205)</f>
        <v>0.51649981460882466</v>
      </c>
      <c r="CX15" s="75">
        <f t="array" ref="CX15">_xlfn.STDEV.S(IF($B$2:$B$1203=Tabela2[[#This Row],[T]],$L$2:$L$1203))</f>
        <v>0.25343168235043972</v>
      </c>
      <c r="CY15" s="75">
        <f t="array" ref="CY15">_xlfn.STDEV.S(IF($C$2:$C$1203=Tabela2[[#This Row],[T]],$M$2:$M$1203))</f>
        <v>0.49541364752998313</v>
      </c>
      <c r="CZ15" s="75">
        <f ca="1">Tabela2[[#This Row],[DPPGC]]/Tabela2[[#This Row],[PESOGC]]</f>
        <v>0.85205510995472511</v>
      </c>
      <c r="DA15" s="75">
        <f ca="1">Tabela2[[#This Row],[DPPGV]]/Tabela2[[#This Row],[PESOGV]]</f>
        <v>0.95917487967578208</v>
      </c>
      <c r="DB15" s="243" t="str">
        <f>Tabela2[[#This Row],[T]]</f>
        <v>Mirassol</v>
      </c>
      <c r="DC15" s="75">
        <f ca="1">AVERAGEIF($B$2:$B$1240,Tabela2[[#This Row],[T]],$AO$2:$AO$1205)</f>
        <v>0.54233067343645935</v>
      </c>
      <c r="DD15" s="75">
        <f ca="1">AVERAGEIF($C$2:$C$1240,Tabela2[[#This Row],[T]],$AP$2:$AP$1205)</f>
        <v>0.49939024390243897</v>
      </c>
      <c r="DE15" s="75">
        <f t="array" ref="DE15">_xlfn.STDEV.S(IF($B$2:$B$1203=Tabela2[[#This Row],[T]],$AO$2:$AO$1203))</f>
        <v>0.36434871986017464</v>
      </c>
      <c r="DF15" s="75">
        <f t="array" ref="DF15">_xlfn.STDEV.S(IF($C$2:$C$1203=Tabela2[[#This Row],[T]],$AP$2:$AP$1203))</f>
        <v>0.45801189312379748</v>
      </c>
      <c r="DG15" s="75">
        <f ca="1">Tabela2[[#This Row],[DPCGC]]/Tabela2[[#This Row],[CUSTGC]]</f>
        <v>0.67182023386487011</v>
      </c>
      <c r="DH15" s="75">
        <f ca="1">Tabela2[[#This Row],[DPCGV]]/Tabela2[[#This Row],[CUSTGV]]</f>
        <v>0.91714225240906955</v>
      </c>
      <c r="DI15" s="243" t="str">
        <f>Tabela2[[#This Row],[T]]</f>
        <v>Mirassol</v>
      </c>
      <c r="DJ15" s="84">
        <f t="shared" ca="1" si="12"/>
        <v>1.6208333333333333</v>
      </c>
      <c r="DK15" s="85">
        <f t="shared" ca="1" si="13"/>
        <v>2.8560000000000003</v>
      </c>
      <c r="DL15" s="243" t="str">
        <f>Tabela2[[#This Row],[T]]</f>
        <v>Mirassol</v>
      </c>
      <c r="DM15" s="82">
        <f ca="1">SUMIF($B$2:$B$1340,Tabela2[[#This Row],[T]],$R$2:$R$1240)</f>
        <v>-4.21</v>
      </c>
      <c r="DN15" s="83">
        <f ca="1">SUMIF($C$2:$C$1340,Tabela2[[#This Row],[T]],$S$2:$S$1240)</f>
        <v>-0.90000000000000036</v>
      </c>
      <c r="DO15" s="83">
        <f>SUMIF($B$2:$B$1240,Tabela2[[#This Row],[T]],$T$2:$T$1240)</f>
        <v>0.70000000000000018</v>
      </c>
      <c r="DP15" s="83">
        <f>SUMIF($C$2:$C$1240,Tabela2[[#This Row],[T]],$T$2:$T$1240)</f>
        <v>-1.9</v>
      </c>
      <c r="DR15" s="237"/>
      <c r="DS15" s="237"/>
    </row>
    <row r="16" spans="1:123" x14ac:dyDescent="0.25">
      <c r="A16" s="4">
        <v>46058</v>
      </c>
      <c r="B16" t="s">
        <v>361</v>
      </c>
      <c r="C16" t="s">
        <v>350</v>
      </c>
      <c r="D16">
        <v>5</v>
      </c>
      <c r="E16">
        <v>3</v>
      </c>
      <c r="F16" t="s">
        <v>347</v>
      </c>
      <c r="G16">
        <v>2.2999999999999998</v>
      </c>
      <c r="H16">
        <v>3</v>
      </c>
      <c r="I16">
        <v>3.4</v>
      </c>
      <c r="J16" s="68">
        <f t="shared" si="14"/>
        <v>3</v>
      </c>
      <c r="K16" s="68">
        <f t="shared" si="15"/>
        <v>0</v>
      </c>
      <c r="L16" s="69">
        <f t="shared" si="16"/>
        <v>1.4705882352941178</v>
      </c>
      <c r="M16" s="69">
        <f t="shared" si="17"/>
        <v>1.3043478260869565</v>
      </c>
      <c r="N16" s="69">
        <f>IF(A16="","",Tabela1[[#This Row],[PTC]]*Tabela1[[#This Row],[ODDC]])</f>
        <v>6.8999999999999995</v>
      </c>
      <c r="O16" s="69">
        <f>IF(A16="","",Tabela1[[#This Row],[PTV]]*Tabela1[[#This Row],[ODDV]])</f>
        <v>0</v>
      </c>
      <c r="P16" s="68">
        <f t="shared" si="18"/>
        <v>2</v>
      </c>
      <c r="Q16" s="68">
        <f t="shared" si="19"/>
        <v>-2</v>
      </c>
      <c r="R16" s="68">
        <f t="shared" si="20"/>
        <v>1.2999999999999998</v>
      </c>
      <c r="S16" s="68">
        <f t="shared" si="21"/>
        <v>-1</v>
      </c>
      <c r="T16" s="68">
        <f>IF(A16="","",IF(F16="D",Tabela1[[#This Row],[ODDE]]-1,-1))</f>
        <v>-1</v>
      </c>
      <c r="U16" s="70">
        <f>IF(A16="","",IF(AND(Tabela1[[#This Row],[FTHG]]&gt;3,F16="H"),1,0))</f>
        <v>1</v>
      </c>
      <c r="V16" s="70">
        <f>IF(A16="","",IF(AND(Tabela1[[#This Row],[FTAG]]&gt;3,F16="A"),1,0))</f>
        <v>0</v>
      </c>
      <c r="W16" s="70">
        <f t="shared" si="22"/>
        <v>1</v>
      </c>
      <c r="X16" s="70">
        <f t="shared" si="23"/>
        <v>1</v>
      </c>
      <c r="Y16" s="71">
        <f t="shared" si="24"/>
        <v>1</v>
      </c>
      <c r="Z16" s="70">
        <f t="shared" si="25"/>
        <v>1</v>
      </c>
      <c r="AA16" s="70">
        <f t="shared" si="26"/>
        <v>1</v>
      </c>
      <c r="AB16" s="70">
        <f t="shared" si="27"/>
        <v>1</v>
      </c>
      <c r="AC16" s="71">
        <f t="shared" si="28"/>
        <v>1</v>
      </c>
      <c r="AD16" s="72" t="str">
        <f t="shared" si="29"/>
        <v>FEV</v>
      </c>
      <c r="AE16" s="73">
        <f>IF(A16="","",COUNT($N$2:N16))</f>
        <v>15</v>
      </c>
      <c r="AF16" s="74">
        <f t="shared" si="30"/>
        <v>1</v>
      </c>
      <c r="AG16" s="74">
        <f t="shared" si="31"/>
        <v>0</v>
      </c>
      <c r="AH16" s="74">
        <f t="shared" si="32"/>
        <v>0</v>
      </c>
      <c r="AI16" s="74" t="str">
        <f t="shared" si="33"/>
        <v>2,01-2,4</v>
      </c>
      <c r="AJ16" s="74" t="str">
        <f t="shared" si="34"/>
        <v>3,01-4.0</v>
      </c>
      <c r="AK16" s="74">
        <f>IF(A16="","",1/Tabela1[[#This Row],[ODDC]])</f>
        <v>0.43478260869565222</v>
      </c>
      <c r="AL16" s="74">
        <f>IF(A16="","",1/Tabela1[[#This Row],[ODDE]])</f>
        <v>0.33333333333333331</v>
      </c>
      <c r="AM16" s="74">
        <f>IF(A16="","",1/Tabela1[[#This Row],[ODDV]])</f>
        <v>0.29411764705882354</v>
      </c>
      <c r="AN16" s="74">
        <f>IF(A16="","",1-(Tabela1[[#This Row],[p(H)]]+Tabela1[[#This Row],[p(D)]]+Tabela1[[#This Row],[p(A)]]))</f>
        <v>-6.2233589087809182E-2</v>
      </c>
      <c r="AO16" s="74">
        <f>IF(A16="","",IFERROR(Tabela1[[#This Row],[p(H)]]/Tabela1[[#This Row],[FTHG]],1))</f>
        <v>8.6956521739130446E-2</v>
      </c>
      <c r="AP16" s="74">
        <f>IF(A16="","",IFERROR(Tabela1[[#This Row],[p(A)]]/Tabela1[[#This Row],[FTAG]],1))</f>
        <v>9.8039215686274508E-2</v>
      </c>
      <c r="AQ16" s="244" t="s">
        <v>353</v>
      </c>
      <c r="AR16" s="75">
        <f>AVERAGEIF($B$2:$B$1203,Tabela2[[#This Row],[T]],$J$2:$J$1214)</f>
        <v>3</v>
      </c>
      <c r="AS16" s="75">
        <f>AVERAGEIF($C$2:$C$1203,Tabela2[[#This Row],[T]],$K$2:$K$1214)</f>
        <v>1.8333333333333333</v>
      </c>
      <c r="AT16" s="75">
        <f t="array" ref="AT16">_xlfn.STDEV.S(IF($B$2:$B$1203=Tabela2[[#This Row],[T]],$J$2:$J$1203))</f>
        <v>0</v>
      </c>
      <c r="AU16" s="75">
        <f t="array" ref="AU16">_xlfn.STDEV.S(IF($C$2:$C$1203=Tabela2[[#This Row],[T]],$K$2:$K$1203))</f>
        <v>1.3291601358251257</v>
      </c>
      <c r="AV16" s="84">
        <f>Tabela2[[#This Row],[DPMPTC]]/Tabela2[[#This Row],[MPTC]]</f>
        <v>0</v>
      </c>
      <c r="AW16" s="85">
        <f>Tabela2[[#This Row],[DPMPTV]]/Tabela2[[#This Row],[MPTV]]</f>
        <v>0.72499643772279587</v>
      </c>
      <c r="AX16" s="243" t="str">
        <f>Tabela2[[#This Row],[T]]</f>
        <v>Palmeiras</v>
      </c>
      <c r="AY16" s="75">
        <f ca="1">AVERAGEIF($B$2:$B$1203,Tabela2[[#This Row],[T]],$U$2:$U$1194)</f>
        <v>0.16666666666666666</v>
      </c>
      <c r="AZ16" s="75">
        <f ca="1">AVERAGEIF($B$2:$B$1203,Tabela2[[#This Row],[T]],$V$2:$V$1194)</f>
        <v>0</v>
      </c>
      <c r="BA16" s="75">
        <f ca="1">AVERAGEIF($C$2:$C$1203,Tabela2[[#This Row],[T1]],$V$2:$V$1194)</f>
        <v>0</v>
      </c>
      <c r="BB16" s="75">
        <f ca="1">AVERAGEIF($C$2:$C$1203,Tabela2[[#This Row],[T]],$U$2:$U$1194)</f>
        <v>0</v>
      </c>
      <c r="BC16" s="243" t="str">
        <f>Tabela2[[#This Row],[T]]</f>
        <v>Palmeiras</v>
      </c>
      <c r="BD16" s="75">
        <f>AVERAGEIF($B$2:$B$1203,Tabela2[[#This Row],[T]],$D$2:$D$1203)</f>
        <v>2.1666666666666665</v>
      </c>
      <c r="BE16" s="75">
        <f>AVERAGEIF($C$2:$C$1203,Tabela2[[#This Row],[T]],$E$2:$E$1203)</f>
        <v>1.5</v>
      </c>
      <c r="BF16" s="76">
        <f t="array" ref="BF16">_xlfn.STDEV.S(IF($B$2:$B$1203=Tabela2[[#This Row],[T]],$D$2:$D$1203))</f>
        <v>1.4719601443879744</v>
      </c>
      <c r="BG16" s="76">
        <f t="array" ref="BG16">_xlfn.STDEV.S(IF($C$2:$C$1203=Tabela2[[#This Row],[T]],$E$2:$E$1203))</f>
        <v>1.0488088481701516</v>
      </c>
      <c r="BH16" s="84">
        <f t="shared" si="0"/>
        <v>0.67936622048675743</v>
      </c>
      <c r="BI16" s="85">
        <f t="shared" si="1"/>
        <v>0.69920589878010109</v>
      </c>
      <c r="BJ16" s="243" t="str">
        <f>Tabela2[[#This Row],[T]]</f>
        <v>Palmeiras</v>
      </c>
      <c r="BK16" s="75">
        <f>AVERAGEIF($B$2:$B$1203,Tabela2[[#This Row],[T]],$E$2:$E$1203)</f>
        <v>0.66666666666666663</v>
      </c>
      <c r="BL16" s="75">
        <f>AVERAGEIF($C$2:$C$1203,Tabela2[[#This Row],[T]],$D$2:$D$1203)</f>
        <v>1</v>
      </c>
      <c r="BM16" s="76">
        <f t="array" ref="BM16">_xlfn.STDEV.S(IF($B$2:$B$1203=Tabela2[[#This Row],[T]],$E$2:$E$1203))</f>
        <v>0.51639777949432231</v>
      </c>
      <c r="BN16" s="76">
        <f t="array" ref="BN16">_xlfn.STDEV.S(IF($C$2:$C$1203=Tabela2[[#This Row],[T]],$D$2:$D$1203))</f>
        <v>0.89442719099991586</v>
      </c>
      <c r="BO16" s="84">
        <f t="shared" si="2"/>
        <v>0.77459666924148352</v>
      </c>
      <c r="BP16" s="85">
        <f t="shared" si="3"/>
        <v>0.89442719099991586</v>
      </c>
      <c r="BQ16" s="243" t="str">
        <f>Tabela2[[#This Row],[T]]</f>
        <v>Palmeiras</v>
      </c>
      <c r="BR16" s="79">
        <f t="shared" si="4"/>
        <v>1.3482480183717311</v>
      </c>
      <c r="BS16" s="79">
        <f t="shared" si="5"/>
        <v>1.4401645902388842</v>
      </c>
      <c r="BT16" s="79">
        <f t="shared" si="6"/>
        <v>0.63905055346342587</v>
      </c>
      <c r="BU16" s="79">
        <f t="shared" si="7"/>
        <v>0.62888373137680609</v>
      </c>
      <c r="BV16" s="75">
        <f t="shared" si="8"/>
        <v>0.70919746490830526</v>
      </c>
      <c r="BW16" s="75">
        <f t="shared" si="9"/>
        <v>0.81128085886207812</v>
      </c>
      <c r="BX16" s="243" t="str">
        <f>Tabela2[[#This Row],[T]]</f>
        <v>Palmeiras</v>
      </c>
      <c r="BY16" s="75">
        <f ca="1">AVERAGEIF($B$2:$B$1469,Tabela2[[#This Row],[T]],$G$2:$G$1214)</f>
        <v>1.5183333333333333</v>
      </c>
      <c r="BZ16" s="75">
        <f ca="1">AVERAGEIF($C$2:$C$1469,Tabela2[[#This Row],[T]],$I$2:$I$1214)</f>
        <v>2.6166666666666667</v>
      </c>
      <c r="CA16" s="76">
        <f t="array" ref="CA16">_xlfn.STDEV.S(IF($B$2:$B$1469=Tabela2[[#This Row],[T]],$G$2:$G$1183))</f>
        <v>0.11686174167222851</v>
      </c>
      <c r="CB16" s="76">
        <f t="array" ref="CB16">_xlfn.STDEV.S(IF($C$2:$C1483=Tabela2[[#This Row],[T]],$I$2:$I$1183))</f>
        <v>0.26770630673681689</v>
      </c>
      <c r="CC16" s="86">
        <f t="shared" ca="1" si="10"/>
        <v>7.6967118554705935E-2</v>
      </c>
      <c r="CD16" s="87">
        <f t="shared" ca="1" si="11"/>
        <v>0.10230814270196824</v>
      </c>
      <c r="CE16" s="243" t="str">
        <f>Tabela2[[#This Row],[T]]</f>
        <v>Palmeiras</v>
      </c>
      <c r="CF16" s="75">
        <f ca="1">AVERAGEIF($B$2:$B$1469,Tabela2[[#This Row],[T]],$W$2:$W$1203)</f>
        <v>1</v>
      </c>
      <c r="CG16" s="75">
        <f ca="1">AVERAGEIF($C$2:$C$1469,Tabela2[[#This Row],[T]],$W$2:$W$1203)</f>
        <v>0.83333333333333337</v>
      </c>
      <c r="CH16" s="75">
        <f ca="1">AVERAGEIF($B$2:$B$1469,Tabela2[[#This Row],[T]],$X$2:$X$1203)</f>
        <v>0.66666666666666663</v>
      </c>
      <c r="CI16" s="75">
        <f ca="1">AVERAGEIF($C$2:$C$1469,Tabela2[[#This Row],[T]],$X$2:$X$1183)</f>
        <v>0.66666666666666663</v>
      </c>
      <c r="CJ16" s="84">
        <f ca="1">AVERAGEIF($B$2:$B$1469,Tabela2[[#This Row],[T]],$Y$2:$Y$1203)</f>
        <v>0.66666666666666663</v>
      </c>
      <c r="CK16" s="85">
        <f ca="1">AVERAGEIF($C$2:$C$1469,Tabela2[[#This Row],[T]],$Y$2:$Y$1203)</f>
        <v>0.66666666666666663</v>
      </c>
      <c r="CL16" s="75">
        <f ca="1">AVERAGEIF($B$2:$B$1469,Tabela2[[#This Row],[T]],$Z$2:$Z$1203)</f>
        <v>0.16666666666666666</v>
      </c>
      <c r="CM16" s="75">
        <f ca="1">AVERAGEIF($C$2:$C$1469,Tabela2[[#This Row],[T]],$Z$2:$Z$1183)</f>
        <v>0.33333333333333331</v>
      </c>
      <c r="CN16" s="75">
        <f ca="1">AVERAGEIF($B$2:$B$1469,Tabela2[[#This Row],[T]],$AA$2:$AA$1203)</f>
        <v>0.16666666666666666</v>
      </c>
      <c r="CO16" s="75">
        <f ca="1">AVERAGEIF($C$2:$C$1469,Tabela2[[#This Row],[T]],$AA$2:$AA$1203)</f>
        <v>0</v>
      </c>
      <c r="CP16" s="75">
        <f ca="1">AVERAGEIF($B$2:$B$1469,Tabela2[[#This Row],[T]],$AB$2:$AB$1203)</f>
        <v>0.16666666666666666</v>
      </c>
      <c r="CQ16" s="75">
        <f ca="1">AVERAGEIF($C$2:$C$1469,Tabela2[[#This Row],[T]],$AB$2:$AB$1183)</f>
        <v>0</v>
      </c>
      <c r="CR16" s="243" t="str">
        <f>Tabela2[[#This Row],[T]]</f>
        <v>Palmeiras</v>
      </c>
      <c r="CS16" s="75">
        <f ca="1">AVERAGEIF($B$2:$B$1469,Tabela2[[#This Row],[T]],$AC$2:$AC$1240)</f>
        <v>0.66666666666666663</v>
      </c>
      <c r="CT16" s="75">
        <f ca="1">AVERAGEIF($C$2:$C$1469,Tabela2[[#This Row],[T]],$AC$2:$AC$1220)</f>
        <v>0.66666666666666663</v>
      </c>
      <c r="CU16" s="243" t="str">
        <f>Tabela2[[#This Row],[T]]</f>
        <v>Palmeiras</v>
      </c>
      <c r="CV16" s="75">
        <f ca="1">AVERAGEIF($B$2:$B$1240,Tabela2[[#This Row],[T]],$L$2:$L$1205)</f>
        <v>0.31483294483294483</v>
      </c>
      <c r="CW16" s="75">
        <f ca="1">AVERAGEIF($C$2:$C$1240,Tabela2[[#This Row],[T]],$M$2:$M$1205)</f>
        <v>0.52434905094626449</v>
      </c>
      <c r="CX16" s="75">
        <f t="array" ref="CX16">_xlfn.STDEV.S(IF($B$2:$B$1203=Tabela2[[#This Row],[T]],$L$2:$L$1203))</f>
        <v>0.13078142260346501</v>
      </c>
      <c r="CY16" s="75">
        <f t="array" ref="CY16">_xlfn.STDEV.S(IF($C$2:$C$1203=Tabela2[[#This Row],[T]],$M$2:$M$1203))</f>
        <v>0.3540560277265502</v>
      </c>
      <c r="CZ16" s="75">
        <f ca="1">Tabela2[[#This Row],[DPPGC]]/Tabela2[[#This Row],[PESOGC]]</f>
        <v>0.41539941975532335</v>
      </c>
      <c r="DA16" s="75">
        <f ca="1">Tabela2[[#This Row],[DPPGV]]/Tabela2[[#This Row],[PESOGV]]</f>
        <v>0.67522965300996418</v>
      </c>
      <c r="DB16" s="243" t="str">
        <f>Tabela2[[#This Row],[T]]</f>
        <v>Palmeiras</v>
      </c>
      <c r="DC16" s="75">
        <f ca="1">AVERAGEIF($B$2:$B$1240,Tabela2[[#This Row],[T]],$AO$2:$AO$1205)</f>
        <v>0.39781390637198927</v>
      </c>
      <c r="DD16" s="75">
        <f ca="1">AVERAGEIF($C$2:$C$1240,Tabela2[[#This Row],[T]],$AP$2:$AP$1205)</f>
        <v>0.38185510071474987</v>
      </c>
      <c r="DE16" s="75">
        <f t="array" ref="DE16">_xlfn.STDEV.S(IF($B$2:$B$1203=Tabela2[[#This Row],[T]],$AO$2:$AO$1203))</f>
        <v>0.19255293758217698</v>
      </c>
      <c r="DF16" s="75">
        <f t="array" ref="DF16">_xlfn.STDEV.S(IF($C$2:$C$1203=Tabela2[[#This Row],[T]],$AP$2:$AP$1203))</f>
        <v>0.32080292484753498</v>
      </c>
      <c r="DG16" s="75">
        <f ca="1">Tabela2[[#This Row],[DPCGC]]/Tabela2[[#This Row],[CUSTGC]]</f>
        <v>0.48402766845994538</v>
      </c>
      <c r="DH16" s="75">
        <f ca="1">Tabela2[[#This Row],[DPCGV]]/Tabela2[[#This Row],[CUSTGV]]</f>
        <v>0.84011690362931257</v>
      </c>
      <c r="DI16" s="243" t="str">
        <f>Tabela2[[#This Row],[T]]</f>
        <v>Palmeiras</v>
      </c>
      <c r="DJ16" s="84">
        <f t="shared" ca="1" si="12"/>
        <v>4.5549999999999997</v>
      </c>
      <c r="DK16" s="85">
        <f t="shared" ca="1" si="13"/>
        <v>4.7972222222222225</v>
      </c>
      <c r="DL16" s="243" t="str">
        <f>Tabela2[[#This Row],[T]]</f>
        <v>Palmeiras</v>
      </c>
      <c r="DM16" s="82">
        <f ca="1">SUMIF($B$2:$B$1340,Tabela2[[#This Row],[T]],$R$2:$R$1240)</f>
        <v>3.11</v>
      </c>
      <c r="DN16" s="83">
        <f ca="1">SUMIF($C$2:$C$1340,Tabela2[[#This Row],[T]],$S$2:$S$1240)</f>
        <v>1.9500000000000002</v>
      </c>
      <c r="DO16" s="83">
        <f>SUMIF($B$2:$B$1240,Tabela2[[#This Row],[T]],$T$2:$T$1240)</f>
        <v>-6</v>
      </c>
      <c r="DP16" s="83">
        <f>SUMIF($C$2:$C$1240,Tabela2[[#This Row],[T]],$T$2:$T$1240)</f>
        <v>0.10000000000000009</v>
      </c>
      <c r="DR16" s="237"/>
      <c r="DS16" s="237"/>
    </row>
    <row r="17" spans="1:123" x14ac:dyDescent="0.25">
      <c r="A17" s="4">
        <v>46058</v>
      </c>
      <c r="B17" t="s">
        <v>353</v>
      </c>
      <c r="C17" t="s">
        <v>381</v>
      </c>
      <c r="D17">
        <v>5</v>
      </c>
      <c r="E17">
        <v>1</v>
      </c>
      <c r="F17" t="s">
        <v>347</v>
      </c>
      <c r="G17">
        <v>1.3</v>
      </c>
      <c r="H17">
        <v>4.75</v>
      </c>
      <c r="I17">
        <v>10</v>
      </c>
      <c r="J17" s="68">
        <f t="shared" si="14"/>
        <v>3</v>
      </c>
      <c r="K17" s="68">
        <f t="shared" si="15"/>
        <v>0</v>
      </c>
      <c r="L17" s="69">
        <f t="shared" si="16"/>
        <v>0.5</v>
      </c>
      <c r="M17" s="69">
        <f t="shared" si="17"/>
        <v>0.76923076923076916</v>
      </c>
      <c r="N17" s="69">
        <f>IF(A17="","",Tabela1[[#This Row],[PTC]]*Tabela1[[#This Row],[ODDC]])</f>
        <v>3.9000000000000004</v>
      </c>
      <c r="O17" s="69">
        <f>IF(A17="","",Tabela1[[#This Row],[PTV]]*Tabela1[[#This Row],[ODDV]])</f>
        <v>0</v>
      </c>
      <c r="P17" s="68">
        <f t="shared" si="18"/>
        <v>4</v>
      </c>
      <c r="Q17" s="68">
        <f t="shared" si="19"/>
        <v>-4</v>
      </c>
      <c r="R17" s="68">
        <f t="shared" si="20"/>
        <v>0.30000000000000004</v>
      </c>
      <c r="S17" s="68">
        <f t="shared" si="21"/>
        <v>-1</v>
      </c>
      <c r="T17" s="68">
        <f>IF(A17="","",IF(F17="D",Tabela1[[#This Row],[ODDE]]-1,-1))</f>
        <v>-1</v>
      </c>
      <c r="U17" s="70">
        <f>IF(A17="","",IF(AND(Tabela1[[#This Row],[FTHG]]&gt;3,F17="H"),1,0))</f>
        <v>1</v>
      </c>
      <c r="V17" s="70">
        <f>IF(A17="","",IF(AND(Tabela1[[#This Row],[FTAG]]&gt;3,F17="A"),1,0))</f>
        <v>0</v>
      </c>
      <c r="W17" s="70">
        <f t="shared" si="22"/>
        <v>1</v>
      </c>
      <c r="X17" s="70">
        <f t="shared" si="23"/>
        <v>1</v>
      </c>
      <c r="Y17" s="71">
        <f t="shared" si="24"/>
        <v>1</v>
      </c>
      <c r="Z17" s="70">
        <f t="shared" si="25"/>
        <v>1</v>
      </c>
      <c r="AA17" s="70">
        <f t="shared" si="26"/>
        <v>1</v>
      </c>
      <c r="AB17" s="70">
        <f t="shared" si="27"/>
        <v>1</v>
      </c>
      <c r="AC17" s="71">
        <f t="shared" si="28"/>
        <v>1</v>
      </c>
      <c r="AD17" s="72" t="str">
        <f t="shared" si="29"/>
        <v>FEV</v>
      </c>
      <c r="AE17" s="73">
        <f>IF(A17="","",COUNT($N$2:N17))</f>
        <v>16</v>
      </c>
      <c r="AF17" s="74">
        <f t="shared" si="30"/>
        <v>1</v>
      </c>
      <c r="AG17" s="74">
        <f t="shared" si="31"/>
        <v>0</v>
      </c>
      <c r="AH17" s="74">
        <f t="shared" si="32"/>
        <v>0</v>
      </c>
      <c r="AI17" s="74" t="str">
        <f t="shared" si="33"/>
        <v>1,21-1,4</v>
      </c>
      <c r="AJ17" s="74" t="str">
        <f t="shared" si="34"/>
        <v>9,01-16</v>
      </c>
      <c r="AK17" s="74">
        <f>IF(A17="","",1/Tabela1[[#This Row],[ODDC]])</f>
        <v>0.76923076923076916</v>
      </c>
      <c r="AL17" s="74">
        <f>IF(A17="","",1/Tabela1[[#This Row],[ODDE]])</f>
        <v>0.21052631578947367</v>
      </c>
      <c r="AM17" s="74">
        <f>IF(A17="","",1/Tabela1[[#This Row],[ODDV]])</f>
        <v>0.1</v>
      </c>
      <c r="AN17" s="74">
        <f>IF(A17="","",1-(Tabela1[[#This Row],[p(H)]]+Tabela1[[#This Row],[p(D)]]+Tabela1[[#This Row],[p(A)]]))</f>
        <v>-7.9757085020242924E-2</v>
      </c>
      <c r="AO17" s="74">
        <f>IF(A17="","",IFERROR(Tabela1[[#This Row],[p(H)]]/Tabela1[[#This Row],[FTHG]],1))</f>
        <v>0.15384615384615383</v>
      </c>
      <c r="AP17" s="74">
        <f>IF(A17="","",IFERROR(Tabela1[[#This Row],[p(A)]]/Tabela1[[#This Row],[FTAG]],1))</f>
        <v>0.1</v>
      </c>
      <c r="AQ17" s="244" t="s">
        <v>389</v>
      </c>
      <c r="AR17" s="75">
        <f>AVERAGEIF($B$2:$B$1203,Tabela2[[#This Row],[T]],$J$2:$J$1214)</f>
        <v>1.2</v>
      </c>
      <c r="AS17" s="75">
        <f>AVERAGEIF($C$2:$C$1203,Tabela2[[#This Row],[T]],$K$2:$K$1214)</f>
        <v>0.2857142857142857</v>
      </c>
      <c r="AT17" s="75">
        <f t="array" ref="AT17">_xlfn.STDEV.S(IF($B$2:$B$1203=Tabela2[[#This Row],[T]],$J$2:$J$1203))</f>
        <v>1.0954451150103321</v>
      </c>
      <c r="AU17" s="75">
        <f t="array" ref="AU17">_xlfn.STDEV.S(IF($C$2:$C$1203=Tabela2[[#This Row],[T]],$K$2:$K$1203))</f>
        <v>0.4879500364742666</v>
      </c>
      <c r="AV17" s="84">
        <f>Tabela2[[#This Row],[DPMPTC]]/Tabela2[[#This Row],[MPTC]]</f>
        <v>0.91287092917527679</v>
      </c>
      <c r="AW17" s="85">
        <f>Tabela2[[#This Row],[DPMPTV]]/Tabela2[[#This Row],[MPTV]]</f>
        <v>1.7078251276599332</v>
      </c>
      <c r="AX17" s="242" t="str">
        <f>Tabela2[[#This Row],[T]]</f>
        <v>Remo</v>
      </c>
      <c r="AY17" s="75">
        <f ca="1">AVERAGEIF($B$2:$B$1203,Tabela2[[#This Row],[T]],$U$2:$U$1194)</f>
        <v>0.2</v>
      </c>
      <c r="AZ17" s="75">
        <f ca="1">AVERAGEIF($B$2:$B$1203,Tabela2[[#This Row],[T]],$V$2:$V$1194)</f>
        <v>0</v>
      </c>
      <c r="BA17" s="75">
        <f ca="1">AVERAGEIF($C$2:$C$1203,Tabela2[[#This Row],[T1]],$V$2:$V$1194)</f>
        <v>0</v>
      </c>
      <c r="BB17" s="75">
        <f ca="1">AVERAGEIF($C$2:$C$1203,Tabela2[[#This Row],[T]],$U$2:$U$1194)</f>
        <v>0.14285714285714285</v>
      </c>
      <c r="BC17" s="242" t="str">
        <f>Tabela2[[#This Row],[T]]</f>
        <v>Remo</v>
      </c>
      <c r="BD17" s="75">
        <f>AVERAGEIF($B$2:$B$1203,Tabela2[[#This Row],[T]],$D$2:$D$1203)</f>
        <v>1.6</v>
      </c>
      <c r="BE17" s="75">
        <f>AVERAGEIF($C$2:$C$1203,Tabela2[[#This Row],[T]],$E$2:$E$1203)</f>
        <v>0.7142857142857143</v>
      </c>
      <c r="BF17" s="76">
        <f t="array" ref="BF17">_xlfn.STDEV.S(IF($B$2:$B$1203=Tabela2[[#This Row],[T]],$D$2:$D$1203))</f>
        <v>1.51657508881031</v>
      </c>
      <c r="BG17" s="76">
        <f t="array" ref="BG17">_xlfn.STDEV.S(IF($C$2:$C$1203=Tabela2[[#This Row],[T]],$E$2:$E$1203))</f>
        <v>1.2535663410560174</v>
      </c>
      <c r="BH17" s="84">
        <f t="shared" si="0"/>
        <v>0.94785943050644372</v>
      </c>
      <c r="BI17" s="85">
        <f t="shared" si="1"/>
        <v>1.7549928774784243</v>
      </c>
      <c r="BJ17" s="242" t="str">
        <f>Tabela2[[#This Row],[T]]</f>
        <v>Remo</v>
      </c>
      <c r="BK17" s="75">
        <f>AVERAGEIF($B$2:$B$1203,Tabela2[[#This Row],[T]],$E$2:$E$1203)</f>
        <v>1.4</v>
      </c>
      <c r="BL17" s="75">
        <f>AVERAGEIF($C$2:$C$1203,Tabela2[[#This Row],[T]],$D$2:$D$1203)</f>
        <v>2.1428571428571428</v>
      </c>
      <c r="BM17" s="76">
        <f t="array" ref="BM17">_xlfn.STDEV.S(IF($B$2:$B$1203=Tabela2[[#This Row],[T]],$E$2:$E$1203))</f>
        <v>0.54772255750516596</v>
      </c>
      <c r="BN17" s="76">
        <f t="array" ref="BN17">_xlfn.STDEV.S(IF($C$2:$C$1203=Tabela2[[#This Row],[T]],$D$2:$D$1203))</f>
        <v>1.3451854182690983</v>
      </c>
      <c r="BO17" s="84">
        <f t="shared" si="2"/>
        <v>0.39123039821797573</v>
      </c>
      <c r="BP17" s="85">
        <f t="shared" si="3"/>
        <v>0.62775319519224593</v>
      </c>
      <c r="BQ17" s="242" t="str">
        <f>Tabela2[[#This Row],[T]]</f>
        <v>Remo</v>
      </c>
      <c r="BR17" s="79">
        <f t="shared" si="4"/>
        <v>0.99562930587450926</v>
      </c>
      <c r="BS17" s="79">
        <f t="shared" si="5"/>
        <v>0.6857926620185163</v>
      </c>
      <c r="BT17" s="79">
        <f t="shared" si="6"/>
        <v>1.3420061622731945</v>
      </c>
      <c r="BU17" s="79">
        <f t="shared" si="7"/>
        <v>1.3476079958074416</v>
      </c>
      <c r="BV17" s="75">
        <f t="shared" si="8"/>
        <v>-0.34637685639868521</v>
      </c>
      <c r="BW17" s="75">
        <f t="shared" si="9"/>
        <v>-0.66181533378892532</v>
      </c>
      <c r="BX17" s="242" t="str">
        <f>Tabela2[[#This Row],[T]]</f>
        <v>Remo</v>
      </c>
      <c r="BY17" s="75">
        <f ca="1">AVERAGEIF($B$2:$B$1469,Tabela2[[#This Row],[T]],$G$2:$G$1214)</f>
        <v>3.2399999999999998</v>
      </c>
      <c r="BZ17" s="75">
        <f ca="1">AVERAGEIF($C$2:$C$1469,Tabela2[[#This Row],[T]],$I$2:$I$1214)</f>
        <v>7.3214285714285712</v>
      </c>
      <c r="CA17" s="76">
        <f t="array" ref="CA17">_xlfn.STDEV.S(IF($B$2:$B$1469=Tabela2[[#This Row],[T]],$G$2:$G$1183))</f>
        <v>0.44916589362951476</v>
      </c>
      <c r="CB17" s="76">
        <f t="array" ref="CB17">_xlfn.STDEV.S(IF($C$2:$C1484=Tabela2[[#This Row],[T]],$I$2:$I$1183))</f>
        <v>4.386803804485405</v>
      </c>
      <c r="CC17" s="86">
        <f t="shared" ca="1" si="10"/>
        <v>0.13863144865108482</v>
      </c>
      <c r="CD17" s="87">
        <f t="shared" ca="1" si="11"/>
        <v>0.5991732025638602</v>
      </c>
      <c r="CE17" s="242" t="str">
        <f>Tabela2[[#This Row],[T]]</f>
        <v>Remo</v>
      </c>
      <c r="CF17" s="75">
        <f ca="1">AVERAGEIF($B$2:$B$1469,Tabela2[[#This Row],[T]],$W$2:$W$1203)</f>
        <v>1</v>
      </c>
      <c r="CG17" s="75">
        <f ca="1">AVERAGEIF($C$2:$C$1469,Tabela2[[#This Row],[T]],$W$2:$W$1203)</f>
        <v>0.8571428571428571</v>
      </c>
      <c r="CH17" s="75">
        <f ca="1">AVERAGEIF($B$2:$B$1469,Tabela2[[#This Row],[T]],$X$2:$X$1203)</f>
        <v>1</v>
      </c>
      <c r="CI17" s="75">
        <f ca="1">AVERAGEIF($C$2:$C$1469,Tabela2[[#This Row],[T]],$X$2:$X$1183)</f>
        <v>0.7142857142857143</v>
      </c>
      <c r="CJ17" s="84">
        <f ca="1">AVERAGEIF($B$2:$B$1469,Tabela2[[#This Row],[T]],$Y$2:$Y$1203)</f>
        <v>0.4</v>
      </c>
      <c r="CK17" s="85">
        <f ca="1">AVERAGEIF($C$2:$C$1469,Tabela2[[#This Row],[T]],$Y$2:$Y$1203)</f>
        <v>0.42857142857142855</v>
      </c>
      <c r="CL17" s="75">
        <f ca="1">AVERAGEIF($B$2:$B$1469,Tabela2[[#This Row],[T]],$Z$2:$Z$1203)</f>
        <v>0.4</v>
      </c>
      <c r="CM17" s="75">
        <f ca="1">AVERAGEIF($C$2:$C$1469,Tabela2[[#This Row],[T]],$Z$2:$Z$1183)</f>
        <v>0.2857142857142857</v>
      </c>
      <c r="CN17" s="75">
        <f ca="1">AVERAGEIF($B$2:$B$1469,Tabela2[[#This Row],[T]],$AA$2:$AA$1203)</f>
        <v>0.2</v>
      </c>
      <c r="CO17" s="75">
        <f ca="1">AVERAGEIF($C$2:$C$1469,Tabela2[[#This Row],[T]],$AA$2:$AA$1203)</f>
        <v>0.2857142857142857</v>
      </c>
      <c r="CP17" s="75">
        <f ca="1">AVERAGEIF($B$2:$B$1469,Tabela2[[#This Row],[T]],$AB$2:$AB$1203)</f>
        <v>0</v>
      </c>
      <c r="CQ17" s="75">
        <f ca="1">AVERAGEIF($C$2:$C$1469,Tabela2[[#This Row],[T]],$AB$2:$AB$1183)</f>
        <v>0.2857142857142857</v>
      </c>
      <c r="CR17" s="242" t="str">
        <f>Tabela2[[#This Row],[T]]</f>
        <v>Remo</v>
      </c>
      <c r="CS17" s="75">
        <f ca="1">AVERAGEIF($B$2:$B$1469,Tabela2[[#This Row],[T]],$AC$2:$AC$1240)</f>
        <v>0.8</v>
      </c>
      <c r="CT17" s="75">
        <f ca="1">AVERAGEIF($C$2:$C$1469,Tabela2[[#This Row],[T]],$AC$2:$AC$1220)</f>
        <v>0.2857142857142857</v>
      </c>
      <c r="CU17" s="242" t="str">
        <f>Tabela2[[#This Row],[T]]</f>
        <v>Remo</v>
      </c>
      <c r="CV17" s="75">
        <f ca="1">AVERAGEIF($B$2:$B$1240,Tabela2[[#This Row],[T]],$L$2:$L$1205)</f>
        <v>0.6801154543955138</v>
      </c>
      <c r="CW17" s="75">
        <f ca="1">AVERAGEIF($C$2:$C$1240,Tabela2[[#This Row],[T]],$M$2:$M$1205)</f>
        <v>0.49570592195181656</v>
      </c>
      <c r="CX17" s="75">
        <f t="array" ref="CX17">_xlfn.STDEV.S(IF($B$2:$B$1203=Tabela2[[#This Row],[T]],$L$2:$L$1203))</f>
        <v>0.64327890732763138</v>
      </c>
      <c r="CY17" s="75">
        <f t="array" ref="CY17">_xlfn.STDEV.S(IF($C$2:$C$1203=Tabela2[[#This Row],[T]],$M$2:$M$1203))</f>
        <v>0.87641175450748032</v>
      </c>
      <c r="CZ17" s="75">
        <f ca="1">Tabela2[[#This Row],[DPPGC]]/Tabela2[[#This Row],[PESOGC]]</f>
        <v>0.9458378032291257</v>
      </c>
      <c r="DA17" s="75">
        <f ca="1">Tabela2[[#This Row],[DPPGV]]/Tabela2[[#This Row],[PESOGV]]</f>
        <v>1.7680074328276212</v>
      </c>
      <c r="DB17" s="242" t="str">
        <f>Tabela2[[#This Row],[T]]</f>
        <v>Remo</v>
      </c>
      <c r="DC17" s="75">
        <f ca="1">AVERAGEIF($B$2:$B$1240,Tabela2[[#This Row],[T]],$AO$2:$AO$1205)</f>
        <v>0.38063863131774844</v>
      </c>
      <c r="DD17" s="75">
        <f ca="1">AVERAGEIF($C$2:$C$1240,Tabela2[[#This Row],[T]],$AP$2:$AP$1205)</f>
        <v>0.73162393162393158</v>
      </c>
      <c r="DE17" s="75">
        <f t="array" ref="DE17">_xlfn.STDEV.S(IF($B$2:$B$1203=Tabela2[[#This Row],[T]],$AO$2:$AO$1203))</f>
        <v>0.36273941580480129</v>
      </c>
      <c r="DF17" s="75">
        <f t="array" ref="DF17">_xlfn.STDEV.S(IF($C$2:$C$1203=Tabela2[[#This Row],[T]],$AP$2:$AP$1203))</f>
        <v>0.45843527844383786</v>
      </c>
      <c r="DG17" s="75">
        <f ca="1">Tabela2[[#This Row],[DPCGC]]/Tabela2[[#This Row],[CUSTGC]]</f>
        <v>0.95297583051152446</v>
      </c>
      <c r="DH17" s="75">
        <f ca="1">Tabela2[[#This Row],[DPCGV]]/Tabela2[[#This Row],[CUSTGV]]</f>
        <v>0.62659962123748869</v>
      </c>
      <c r="DI17" s="242" t="str">
        <f>Tabela2[[#This Row],[T]]</f>
        <v>Remo</v>
      </c>
      <c r="DJ17" s="84">
        <f t="shared" ca="1" si="12"/>
        <v>3.8879999999999995</v>
      </c>
      <c r="DK17" s="85">
        <f t="shared" ca="1" si="13"/>
        <v>2.0918367346938775</v>
      </c>
      <c r="DL17" s="242" t="str">
        <f>Tabela2[[#This Row],[T]]</f>
        <v>Remo</v>
      </c>
      <c r="DM17" s="82">
        <f ca="1">SUMIF($B$2:$B$1340,Tabela2[[#This Row],[T]],$R$2:$R$1240)</f>
        <v>-2</v>
      </c>
      <c r="DN17" s="83">
        <f ca="1">SUMIF($C$2:$C$1340,Tabela2[[#This Row],[T]],$S$2:$S$1240)</f>
        <v>-7</v>
      </c>
      <c r="DO17" s="83">
        <f>SUMIF($B$2:$B$1240,Tabela2[[#This Row],[T]],$T$2:$T$1240)</f>
        <v>4.7</v>
      </c>
      <c r="DP17" s="83">
        <f>SUMIF($C$2:$C$1240,Tabela2[[#This Row],[T]],$T$2:$T$1240)</f>
        <v>1.2000000000000002</v>
      </c>
      <c r="DR17" s="237"/>
      <c r="DS17" s="237"/>
    </row>
    <row r="18" spans="1:123" x14ac:dyDescent="0.25">
      <c r="A18" s="4">
        <v>46058</v>
      </c>
      <c r="B18" t="s">
        <v>356</v>
      </c>
      <c r="C18" t="s">
        <v>352</v>
      </c>
      <c r="D18">
        <v>1</v>
      </c>
      <c r="E18">
        <v>1</v>
      </c>
      <c r="F18" t="s">
        <v>348</v>
      </c>
      <c r="G18">
        <v>2.0099999999999998</v>
      </c>
      <c r="H18">
        <v>3.3</v>
      </c>
      <c r="I18">
        <v>3.6</v>
      </c>
      <c r="J18" s="68">
        <f t="shared" si="14"/>
        <v>1</v>
      </c>
      <c r="K18" s="68">
        <f t="shared" si="15"/>
        <v>1</v>
      </c>
      <c r="L18" s="69">
        <f t="shared" si="16"/>
        <v>0.27777777777777779</v>
      </c>
      <c r="M18" s="69">
        <f t="shared" si="17"/>
        <v>0.49751243781094534</v>
      </c>
      <c r="N18" s="69">
        <f>IF(A18="","",Tabela1[[#This Row],[PTC]]*Tabela1[[#This Row],[ODDC]])</f>
        <v>2.0099999999999998</v>
      </c>
      <c r="O18" s="69">
        <f>IF(A18="","",Tabela1[[#This Row],[PTV]]*Tabela1[[#This Row],[ODDV]])</f>
        <v>3.6</v>
      </c>
      <c r="P18" s="68">
        <f t="shared" si="18"/>
        <v>0</v>
      </c>
      <c r="Q18" s="68">
        <f t="shared" si="19"/>
        <v>0</v>
      </c>
      <c r="R18" s="68">
        <f t="shared" si="20"/>
        <v>-1</v>
      </c>
      <c r="S18" s="68">
        <f t="shared" si="21"/>
        <v>-1</v>
      </c>
      <c r="T18" s="68">
        <f>IF(A18="","",IF(F18="D",Tabela1[[#This Row],[ODDE]]-1,-1))</f>
        <v>2.2999999999999998</v>
      </c>
      <c r="U18" s="70">
        <f>IF(A18="","",IF(AND(Tabela1[[#This Row],[FTHG]]&gt;3,F18="H"),1,0))</f>
        <v>0</v>
      </c>
      <c r="V18" s="70">
        <f>IF(A18="","",IF(AND(Tabela1[[#This Row],[FTAG]]&gt;3,F18="A"),1,0))</f>
        <v>0</v>
      </c>
      <c r="W18" s="70">
        <f t="shared" si="22"/>
        <v>1</v>
      </c>
      <c r="X18" s="70">
        <f t="shared" si="23"/>
        <v>1</v>
      </c>
      <c r="Y18" s="71">
        <f t="shared" si="24"/>
        <v>0</v>
      </c>
      <c r="Z18" s="70">
        <f t="shared" si="25"/>
        <v>0</v>
      </c>
      <c r="AA18" s="70">
        <f t="shared" si="26"/>
        <v>0</v>
      </c>
      <c r="AB18" s="70">
        <f t="shared" si="27"/>
        <v>0</v>
      </c>
      <c r="AC18" s="71">
        <f t="shared" si="28"/>
        <v>1</v>
      </c>
      <c r="AD18" s="72" t="str">
        <f t="shared" si="29"/>
        <v>FEV</v>
      </c>
      <c r="AE18" s="73">
        <f>IF(A18="","",COUNT($N$2:N18))</f>
        <v>17</v>
      </c>
      <c r="AF18" s="74">
        <f t="shared" si="30"/>
        <v>0</v>
      </c>
      <c r="AG18" s="74">
        <f t="shared" si="31"/>
        <v>1</v>
      </c>
      <c r="AH18" s="74">
        <f t="shared" si="32"/>
        <v>0</v>
      </c>
      <c r="AI18" s="74" t="str">
        <f t="shared" si="33"/>
        <v>2,01-2,4</v>
      </c>
      <c r="AJ18" s="74" t="str">
        <f t="shared" si="34"/>
        <v>3,01-4.0</v>
      </c>
      <c r="AK18" s="74">
        <f>IF(A18="","",1/Tabela1[[#This Row],[ODDC]])</f>
        <v>0.49751243781094534</v>
      </c>
      <c r="AL18" s="74">
        <f>IF(A18="","",1/Tabela1[[#This Row],[ODDE]])</f>
        <v>0.30303030303030304</v>
      </c>
      <c r="AM18" s="74">
        <f>IF(A18="","",1/Tabela1[[#This Row],[ODDV]])</f>
        <v>0.27777777777777779</v>
      </c>
      <c r="AN18" s="74">
        <f>IF(A18="","",1-(Tabela1[[#This Row],[p(H)]]+Tabela1[[#This Row],[p(D)]]+Tabela1[[#This Row],[p(A)]]))</f>
        <v>-7.8320518619026114E-2</v>
      </c>
      <c r="AO18" s="74">
        <f>IF(A18="","",IFERROR(Tabela1[[#This Row],[p(H)]]/Tabela1[[#This Row],[FTHG]],1))</f>
        <v>0.49751243781094534</v>
      </c>
      <c r="AP18" s="74">
        <f>IF(A18="","",IFERROR(Tabela1[[#This Row],[p(A)]]/Tabela1[[#This Row],[FTAG]],1))</f>
        <v>0.27777777777777779</v>
      </c>
      <c r="AQ18" s="244" t="s">
        <v>362</v>
      </c>
      <c r="AR18" s="75">
        <f>AVERAGEIF($B$2:$B$1203,Tabela2[[#This Row],[T]],$J$2:$J$1214)</f>
        <v>1.5714285714285714</v>
      </c>
      <c r="AS18" s="75">
        <f>AVERAGEIF($C$2:$C$1203,Tabela2[[#This Row],[T]],$K$2:$K$1214)</f>
        <v>0.4</v>
      </c>
      <c r="AT18" s="75">
        <f t="array" ref="AT18">_xlfn.STDEV.S(IF($B$2:$B$1203=Tabela2[[#This Row],[T]],$J$2:$J$1203))</f>
        <v>1.3972762620115438</v>
      </c>
      <c r="AU18" s="75">
        <f t="array" ref="AU18">_xlfn.STDEV.S(IF($C$2:$C$1203=Tabela2[[#This Row],[T]],$K$2:$K$1203))</f>
        <v>0.54772255750516607</v>
      </c>
      <c r="AV18" s="84">
        <f>Tabela2[[#This Row],[DPMPTC]]/Tabela2[[#This Row],[MPTC]]</f>
        <v>0.88917580309825517</v>
      </c>
      <c r="AW18" s="85">
        <f>Tabela2[[#This Row],[DPMPTV]]/Tabela2[[#This Row],[MPTV]]</f>
        <v>1.3693063937629151</v>
      </c>
      <c r="AX18" s="242" t="str">
        <f>Tabela2[[#This Row],[T]]</f>
        <v>Santos</v>
      </c>
      <c r="AY18" s="75">
        <f ca="1">AVERAGEIF($B$2:$B$1203,Tabela2[[#This Row],[T]],$U$2:$U$1194)</f>
        <v>0</v>
      </c>
      <c r="AZ18" s="75">
        <f ca="1">AVERAGEIF($B$2:$B$1203,Tabela2[[#This Row],[T]],$V$2:$V$1194)</f>
        <v>0</v>
      </c>
      <c r="BA18" s="75">
        <f ca="1">AVERAGEIF($C$2:$C$1203,Tabela2[[#This Row],[T1]],$V$2:$V$1194)</f>
        <v>0</v>
      </c>
      <c r="BB18" s="75">
        <f ca="1">AVERAGEIF($C$2:$C$1203,Tabela2[[#This Row],[T]],$U$2:$U$1194)</f>
        <v>0.2</v>
      </c>
      <c r="BC18" s="242" t="str">
        <f>Tabela2[[#This Row],[T]]</f>
        <v>Santos</v>
      </c>
      <c r="BD18" s="75">
        <f>AVERAGEIF($B$2:$B$1203,Tabela2[[#This Row],[T]],$D$2:$D$1203)</f>
        <v>1.4285714285714286</v>
      </c>
      <c r="BE18" s="75">
        <f>AVERAGEIF($C$2:$C$1203,Tabela2[[#This Row],[T]],$E$2:$E$1203)</f>
        <v>1.2</v>
      </c>
      <c r="BF18" s="76">
        <f t="array" ref="BF18">_xlfn.STDEV.S(IF($B$2:$B$1203=Tabela2[[#This Row],[T]],$D$2:$D$1203))</f>
        <v>0.53452248382484868</v>
      </c>
      <c r="BG18" s="76">
        <f t="array" ref="BG18">_xlfn.STDEV.S(IF($C$2:$C$1203=Tabela2[[#This Row],[T]],$E$2:$E$1203))</f>
        <v>0.83666002653407556</v>
      </c>
      <c r="BH18" s="84">
        <f t="shared" si="0"/>
        <v>0.37416573867739406</v>
      </c>
      <c r="BI18" s="85">
        <f t="shared" si="1"/>
        <v>0.69721668877839638</v>
      </c>
      <c r="BJ18" s="242" t="str">
        <f>Tabela2[[#This Row],[T]]</f>
        <v>Santos</v>
      </c>
      <c r="BK18" s="75">
        <f>AVERAGEIF($B$2:$B$1203,Tabela2[[#This Row],[T]],$E$2:$E$1203)</f>
        <v>1.1428571428571428</v>
      </c>
      <c r="BL18" s="75">
        <f>AVERAGEIF($C$2:$C$1203,Tabela2[[#This Row],[T]],$D$2:$D$1203)</f>
        <v>2.2000000000000002</v>
      </c>
      <c r="BM18" s="76">
        <f t="array" ref="BM18">_xlfn.STDEV.S(IF($B$2:$B$1203=Tabela2[[#This Row],[T]],$E$2:$E$1203))</f>
        <v>1.0690449676496976</v>
      </c>
      <c r="BN18" s="76">
        <f t="array" ref="BN18">_xlfn.STDEV.S(IF($C$2:$C$1203=Tabela2[[#This Row],[T]],$D$2:$D$1203))</f>
        <v>1.4832396974191326</v>
      </c>
      <c r="BO18" s="84">
        <f t="shared" si="2"/>
        <v>0.93541434669348544</v>
      </c>
      <c r="BP18" s="85">
        <f t="shared" si="3"/>
        <v>0.67419986246324204</v>
      </c>
      <c r="BQ18" s="242" t="str">
        <f>Tabela2[[#This Row],[T]]</f>
        <v>Santos</v>
      </c>
      <c r="BR18" s="79">
        <f t="shared" si="4"/>
        <v>0.88895473738795461</v>
      </c>
      <c r="BS18" s="79">
        <f t="shared" si="5"/>
        <v>1.1521316721911075</v>
      </c>
      <c r="BT18" s="79">
        <f t="shared" si="6"/>
        <v>1.0955152345087302</v>
      </c>
      <c r="BU18" s="79">
        <f t="shared" si="7"/>
        <v>1.3835442090289736</v>
      </c>
      <c r="BV18" s="75">
        <f t="shared" si="8"/>
        <v>-0.20656049712077562</v>
      </c>
      <c r="BW18" s="75">
        <f t="shared" si="9"/>
        <v>-0.23141253683786611</v>
      </c>
      <c r="BX18" s="242" t="str">
        <f>Tabela2[[#This Row],[T]]</f>
        <v>Santos</v>
      </c>
      <c r="BY18" s="75">
        <f ca="1">AVERAGEIF($B$2:$B$1469,Tabela2[[#This Row],[T]],$G$2:$G$1214)</f>
        <v>2.0985714285714283</v>
      </c>
      <c r="BZ18" s="75">
        <f ca="1">AVERAGEIF($C$2:$C$1469,Tabela2[[#This Row],[T]],$I$2:$I$1214)</f>
        <v>5.5</v>
      </c>
      <c r="CA18" s="76">
        <f t="array" ref="CA18">_xlfn.STDEV.S(IF($B$2:$B$1469=Tabela2[[#This Row],[T]],$G$2:$G$1183))</f>
        <v>0.28404392685102875</v>
      </c>
      <c r="CB18" s="76">
        <f t="array" ref="CB18">_xlfn.STDEV.S(IF($C$2:$C1485=Tabela2[[#This Row],[T]],$I$2:$I$1183))</f>
        <v>3.2451887464367926</v>
      </c>
      <c r="CC18" s="86">
        <f t="shared" ca="1" si="10"/>
        <v>0.13535108835651474</v>
      </c>
      <c r="CD18" s="87">
        <f t="shared" ca="1" si="11"/>
        <v>0.59003431753396229</v>
      </c>
      <c r="CE18" s="242" t="str">
        <f>Tabela2[[#This Row],[T]]</f>
        <v>Santos</v>
      </c>
      <c r="CF18" s="75">
        <f ca="1">AVERAGEIF($B$2:$B$1469,Tabela2[[#This Row],[T]],$W$2:$W$1203)</f>
        <v>1</v>
      </c>
      <c r="CG18" s="75">
        <f ca="1">AVERAGEIF($C$2:$C$1469,Tabela2[[#This Row],[T]],$W$2:$W$1203)</f>
        <v>0.8</v>
      </c>
      <c r="CH18" s="75">
        <f ca="1">AVERAGEIF($B$2:$B$1469,Tabela2[[#This Row],[T]],$X$2:$X$1203)</f>
        <v>0.8571428571428571</v>
      </c>
      <c r="CI18" s="75">
        <f ca="1">AVERAGEIF($C$2:$C$1469,Tabela2[[#This Row],[T]],$X$2:$X$1183)</f>
        <v>0.8</v>
      </c>
      <c r="CJ18" s="84">
        <f ca="1">AVERAGEIF($B$2:$B$1469,Tabela2[[#This Row],[T]],$Y$2:$Y$1203)</f>
        <v>0.42857142857142855</v>
      </c>
      <c r="CK18" s="85">
        <f ca="1">AVERAGEIF($C$2:$C$1469,Tabela2[[#This Row],[T]],$Y$2:$Y$1203)</f>
        <v>0.8</v>
      </c>
      <c r="CL18" s="75">
        <f ca="1">AVERAGEIF($B$2:$B$1469,Tabela2[[#This Row],[T]],$Z$2:$Z$1203)</f>
        <v>0.14285714285714285</v>
      </c>
      <c r="CM18" s="75">
        <f ca="1">AVERAGEIF($C$2:$C$1469,Tabela2[[#This Row],[T]],$Z$2:$Z$1183)</f>
        <v>0.6</v>
      </c>
      <c r="CN18" s="75">
        <f ca="1">AVERAGEIF($B$2:$B$1469,Tabela2[[#This Row],[T]],$AA$2:$AA$1203)</f>
        <v>0.14285714285714285</v>
      </c>
      <c r="CO18" s="75">
        <f ca="1">AVERAGEIF($C$2:$C$1469,Tabela2[[#This Row],[T]],$AA$2:$AA$1203)</f>
        <v>0.2</v>
      </c>
      <c r="CP18" s="75">
        <f ca="1">AVERAGEIF($B$2:$B$1469,Tabela2[[#This Row],[T]],$AB$2:$AB$1203)</f>
        <v>0</v>
      </c>
      <c r="CQ18" s="75">
        <f ca="1">AVERAGEIF($C$2:$C$1469,Tabela2[[#This Row],[T]],$AB$2:$AB$1183)</f>
        <v>0.2</v>
      </c>
      <c r="CR18" s="242" t="str">
        <f>Tabela2[[#This Row],[T]]</f>
        <v>Santos</v>
      </c>
      <c r="CS18" s="75">
        <f ca="1">AVERAGEIF($B$2:$B$1469,Tabela2[[#This Row],[T]],$AC$2:$AC$1240)</f>
        <v>0.7142857142857143</v>
      </c>
      <c r="CT18" s="75">
        <f ca="1">AVERAGEIF($C$2:$C$1469,Tabela2[[#This Row],[T]],$AC$2:$AC$1220)</f>
        <v>0.8</v>
      </c>
      <c r="CU18" s="242" t="str">
        <f>Tabela2[[#This Row],[T]]</f>
        <v>Santos</v>
      </c>
      <c r="CV18" s="75">
        <f ca="1">AVERAGEIF($B$2:$B$1240,Tabela2[[#This Row],[T]],$L$2:$L$1205)</f>
        <v>0.37784802629523118</v>
      </c>
      <c r="CW18" s="75">
        <f ca="1">AVERAGEIF($C$2:$C$1240,Tabela2[[#This Row],[T]],$M$2:$M$1205)</f>
        <v>0.63018415892770452</v>
      </c>
      <c r="CX18" s="75">
        <f t="array" ref="CX18">_xlfn.STDEV.S(IF($B$2:$B$1203=Tabela2[[#This Row],[T]],$L$2:$L$1203))</f>
        <v>0.12260456377405236</v>
      </c>
      <c r="CY18" s="75">
        <f t="array" ref="CY18">_xlfn.STDEV.S(IF($C$2:$C$1203=Tabela2[[#This Row],[T]],$M$2:$M$1203))</f>
        <v>0.43657695351605008</v>
      </c>
      <c r="CZ18" s="75">
        <f ca="1">Tabela2[[#This Row],[DPPGC]]/Tabela2[[#This Row],[PESOGC]]</f>
        <v>0.32448115443708953</v>
      </c>
      <c r="DA18" s="75">
        <f ca="1">Tabela2[[#This Row],[DPPGV]]/Tabela2[[#This Row],[PESOGV]]</f>
        <v>0.69277678172506196</v>
      </c>
      <c r="DB18" s="242" t="str">
        <f>Tabela2[[#This Row],[T]]</f>
        <v>Santos</v>
      </c>
      <c r="DC18" s="75">
        <f ca="1">AVERAGEIF($B$2:$B$1240,Tabela2[[#This Row],[T]],$AO$2:$AO$1205)</f>
        <v>0.37135989025742949</v>
      </c>
      <c r="DD18" s="75">
        <f ca="1">AVERAGEIF($C$2:$C$1240,Tabela2[[#This Row],[T]],$AP$2:$AP$1205)</f>
        <v>0.32923444976076555</v>
      </c>
      <c r="DE18" s="75">
        <f t="array" ref="DE18">_xlfn.STDEV.S(IF($B$2:$B$1203=Tabela2[[#This Row],[T]],$AO$2:$AO$1203))</f>
        <v>0.10784089341813685</v>
      </c>
      <c r="DF18" s="75">
        <f t="array" ref="DF18">_xlfn.STDEV.S(IF($C$2:$C$1203=Tabela2[[#This Row],[T]],$AP$2:$AP$1203))</f>
        <v>0.38074538102041344</v>
      </c>
      <c r="DG18" s="75">
        <f ca="1">Tabela2[[#This Row],[DPCGC]]/Tabela2[[#This Row],[CUSTGC]]</f>
        <v>0.2903945639993073</v>
      </c>
      <c r="DH18" s="75">
        <f ca="1">Tabela2[[#This Row],[DPCGV]]/Tabela2[[#This Row],[CUSTGV]]</f>
        <v>1.156456687011574</v>
      </c>
      <c r="DI18" s="242" t="str">
        <f>Tabela2[[#This Row],[T]]</f>
        <v>Santos</v>
      </c>
      <c r="DJ18" s="84">
        <f t="shared" ca="1" si="12"/>
        <v>3.2977551020408158</v>
      </c>
      <c r="DK18" s="85">
        <f t="shared" ca="1" si="13"/>
        <v>2.2000000000000002</v>
      </c>
      <c r="DL18" s="242" t="str">
        <f>Tabela2[[#This Row],[T]]</f>
        <v>Santos</v>
      </c>
      <c r="DM18" s="82">
        <f ca="1">SUMIF($B$2:$B$1340,Tabela2[[#This Row],[T]],$R$2:$R$1240)</f>
        <v>-1.28</v>
      </c>
      <c r="DN18" s="83">
        <f ca="1">SUMIF($C$2:$C$1340,Tabela2[[#This Row],[T]],$S$2:$S$1240)</f>
        <v>-5</v>
      </c>
      <c r="DO18" s="83">
        <f>SUMIF($B$2:$B$1240,Tabela2[[#This Row],[T]],$T$2:$T$1240)</f>
        <v>-0.89999999999999991</v>
      </c>
      <c r="DP18" s="83">
        <f>SUMIF($C$2:$C$1240,Tabela2[[#This Row],[T]],$T$2:$T$1240)</f>
        <v>2.3000000000000003</v>
      </c>
      <c r="DR18" s="237"/>
      <c r="DS18" s="237"/>
    </row>
    <row r="19" spans="1:123" x14ac:dyDescent="0.25">
      <c r="A19" s="4">
        <v>46058</v>
      </c>
      <c r="B19" t="s">
        <v>360</v>
      </c>
      <c r="C19" t="s">
        <v>390</v>
      </c>
      <c r="D19">
        <v>1</v>
      </c>
      <c r="E19">
        <v>1</v>
      </c>
      <c r="F19" t="s">
        <v>348</v>
      </c>
      <c r="G19">
        <v>1.53</v>
      </c>
      <c r="H19">
        <v>3.9</v>
      </c>
      <c r="I19">
        <v>6</v>
      </c>
      <c r="J19" s="68">
        <f t="shared" si="14"/>
        <v>1</v>
      </c>
      <c r="K19" s="68">
        <f t="shared" si="15"/>
        <v>1</v>
      </c>
      <c r="L19" s="69">
        <f t="shared" si="16"/>
        <v>0.16666666666666666</v>
      </c>
      <c r="M19" s="69">
        <f t="shared" si="17"/>
        <v>0.65359477124183007</v>
      </c>
      <c r="N19" s="69">
        <f>IF(A19="","",Tabela1[[#This Row],[PTC]]*Tabela1[[#This Row],[ODDC]])</f>
        <v>1.53</v>
      </c>
      <c r="O19" s="69">
        <f>IF(A19="","",Tabela1[[#This Row],[PTV]]*Tabela1[[#This Row],[ODDV]])</f>
        <v>6</v>
      </c>
      <c r="P19" s="68">
        <f t="shared" si="18"/>
        <v>0</v>
      </c>
      <c r="Q19" s="68">
        <f t="shared" si="19"/>
        <v>0</v>
      </c>
      <c r="R19" s="68">
        <f t="shared" si="20"/>
        <v>-1</v>
      </c>
      <c r="S19" s="68">
        <f t="shared" si="21"/>
        <v>-1</v>
      </c>
      <c r="T19" s="68">
        <f>IF(A19="","",IF(F19="D",Tabela1[[#This Row],[ODDE]]-1,-1))</f>
        <v>2.9</v>
      </c>
      <c r="U19" s="70">
        <f>IF(A19="","",IF(AND(Tabela1[[#This Row],[FTHG]]&gt;3,F19="H"),1,0))</f>
        <v>0</v>
      </c>
      <c r="V19" s="70">
        <f>IF(A19="","",IF(AND(Tabela1[[#This Row],[FTAG]]&gt;3,F19="A"),1,0))</f>
        <v>0</v>
      </c>
      <c r="W19" s="70">
        <f t="shared" si="22"/>
        <v>1</v>
      </c>
      <c r="X19" s="70">
        <f t="shared" si="23"/>
        <v>1</v>
      </c>
      <c r="Y19" s="71">
        <f t="shared" si="24"/>
        <v>0</v>
      </c>
      <c r="Z19" s="70">
        <f t="shared" si="25"/>
        <v>0</v>
      </c>
      <c r="AA19" s="70">
        <f t="shared" si="26"/>
        <v>0</v>
      </c>
      <c r="AB19" s="70">
        <f t="shared" si="27"/>
        <v>0</v>
      </c>
      <c r="AC19" s="71">
        <f t="shared" si="28"/>
        <v>1</v>
      </c>
      <c r="AD19" s="72" t="str">
        <f t="shared" si="29"/>
        <v>FEV</v>
      </c>
      <c r="AE19" s="73">
        <f>IF(A19="","",COUNT($N$2:N19))</f>
        <v>18</v>
      </c>
      <c r="AF19" s="74">
        <f t="shared" si="30"/>
        <v>0</v>
      </c>
      <c r="AG19" s="74">
        <f t="shared" si="31"/>
        <v>1</v>
      </c>
      <c r="AH19" s="74">
        <f t="shared" si="32"/>
        <v>0</v>
      </c>
      <c r="AI19" s="74" t="str">
        <f t="shared" si="33"/>
        <v>1,41-1,7</v>
      </c>
      <c r="AJ19" s="74" t="str">
        <f t="shared" si="34"/>
        <v>5,51-9,0</v>
      </c>
      <c r="AK19" s="74">
        <f>IF(A19="","",1/Tabela1[[#This Row],[ODDC]])</f>
        <v>0.65359477124183007</v>
      </c>
      <c r="AL19" s="74">
        <f>IF(A19="","",1/Tabela1[[#This Row],[ODDE]])</f>
        <v>0.25641025641025644</v>
      </c>
      <c r="AM19" s="74">
        <f>IF(A19="","",1/Tabela1[[#This Row],[ODDV]])</f>
        <v>0.16666666666666666</v>
      </c>
      <c r="AN19" s="74">
        <f>IF(A19="","",1-(Tabela1[[#This Row],[p(H)]]+Tabela1[[#This Row],[p(D)]]+Tabela1[[#This Row],[p(A)]]))</f>
        <v>-7.6671694318753314E-2</v>
      </c>
      <c r="AO19" s="74">
        <f>IF(A19="","",IFERROR(Tabela1[[#This Row],[p(H)]]/Tabela1[[#This Row],[FTHG]],1))</f>
        <v>0.65359477124183007</v>
      </c>
      <c r="AP19" s="74">
        <f>IF(A19="","",IFERROR(Tabela1[[#This Row],[p(A)]]/Tabela1[[#This Row],[FTAG]],1))</f>
        <v>0.16666666666666666</v>
      </c>
      <c r="AQ19" s="244" t="s">
        <v>351</v>
      </c>
      <c r="AR19" s="75">
        <f>AVERAGEIF($B$2:$B$1203,Tabela2[[#This Row],[T]],$J$2:$J$1214)</f>
        <v>2.4</v>
      </c>
      <c r="AS19" s="75">
        <f>AVERAGEIF($C$2:$C$1203,Tabela2[[#This Row],[T]],$K$2:$K$1214)</f>
        <v>1.1428571428571428</v>
      </c>
      <c r="AT19" s="75">
        <f t="array" ref="AT19">_xlfn.STDEV.S(IF($B$2:$B$1203=Tabela2[[#This Row],[T]],$J$2:$J$1203))</f>
        <v>1.3416407864998738</v>
      </c>
      <c r="AU19" s="75">
        <f t="array" ref="AU19">_xlfn.STDEV.S(IF($C$2:$C$1203=Tabela2[[#This Row],[T]],$K$2:$K$1203))</f>
        <v>1.3451854182690985</v>
      </c>
      <c r="AV19" s="84">
        <f>Tabela2[[#This Row],[DPMPTC]]/Tabela2[[#This Row],[MPTC]]</f>
        <v>0.55901699437494745</v>
      </c>
      <c r="AW19" s="85">
        <f>Tabela2[[#This Row],[DPMPTV]]/Tabela2[[#This Row],[MPTV]]</f>
        <v>1.1770372409854613</v>
      </c>
      <c r="AX19" s="242" t="str">
        <f>Tabela2[[#This Row],[T]]</f>
        <v>Sao Paulo</v>
      </c>
      <c r="AY19" s="75">
        <f ca="1">AVERAGEIF($B$2:$B$1203,Tabela2[[#This Row],[T]],$U$2:$U$1194)</f>
        <v>0.2</v>
      </c>
      <c r="AZ19" s="75">
        <f ca="1">AVERAGEIF($B$2:$B$1203,Tabela2[[#This Row],[T]],$V$2:$V$1194)</f>
        <v>0</v>
      </c>
      <c r="BA19" s="75">
        <f ca="1">AVERAGEIF($C$2:$C$1203,Tabela2[[#This Row],[T1]],$V$2:$V$1194)</f>
        <v>0</v>
      </c>
      <c r="BB19" s="75">
        <f ca="1">AVERAGEIF($C$2:$C$1203,Tabela2[[#This Row],[T]],$U$2:$U$1194)</f>
        <v>0</v>
      </c>
      <c r="BC19" s="242" t="str">
        <f>Tabela2[[#This Row],[T]]</f>
        <v>Sao Paulo</v>
      </c>
      <c r="BD19" s="75">
        <f>AVERAGEIF($B$2:$B$1203,Tabela2[[#This Row],[T]],$D$2:$D$1203)</f>
        <v>2</v>
      </c>
      <c r="BE19" s="75">
        <f>AVERAGEIF($C$2:$C$1203,Tabela2[[#This Row],[T]],$E$2:$E$1203)</f>
        <v>0.8571428571428571</v>
      </c>
      <c r="BF19" s="76">
        <f t="array" ref="BF19">_xlfn.STDEV.S(IF($B$2:$B$1203=Tabela2[[#This Row],[T]],$D$2:$D$1203))</f>
        <v>1.4142135623730951</v>
      </c>
      <c r="BG19" s="76">
        <f t="array" ref="BG19">_xlfn.STDEV.S(IF($C$2:$C$1203=Tabela2[[#This Row],[T]],$E$2:$E$1203))</f>
        <v>0.69006555934235414</v>
      </c>
      <c r="BH19" s="84">
        <f t="shared" si="0"/>
        <v>0.70710678118654757</v>
      </c>
      <c r="BI19" s="85">
        <f t="shared" si="1"/>
        <v>0.80507648589941316</v>
      </c>
      <c r="BJ19" s="242" t="str">
        <f>Tabela2[[#This Row],[T]]</f>
        <v>Sao Paulo</v>
      </c>
      <c r="BK19" s="75">
        <f>AVERAGEIF($B$2:$B$1203,Tabela2[[#This Row],[T]],$E$2:$E$1203)</f>
        <v>0.6</v>
      </c>
      <c r="BL19" s="75">
        <f>AVERAGEIF($C$2:$C$1203,Tabela2[[#This Row],[T]],$D$2:$D$1203)</f>
        <v>1.1428571428571428</v>
      </c>
      <c r="BM19" s="76">
        <f t="array" ref="BM19">_xlfn.STDEV.S(IF($B$2:$B$1203=Tabela2[[#This Row],[T]],$E$2:$E$1203))</f>
        <v>0.54772255750516607</v>
      </c>
      <c r="BN19" s="76">
        <f t="array" ref="BN19">_xlfn.STDEV.S(IF($C$2:$C$1203=Tabela2[[#This Row],[T]],$D$2:$D$1203))</f>
        <v>0.69006555934235425</v>
      </c>
      <c r="BO19" s="84">
        <f t="shared" si="2"/>
        <v>0.91287092917527679</v>
      </c>
      <c r="BP19" s="85">
        <f t="shared" si="3"/>
        <v>0.60380736442455996</v>
      </c>
      <c r="BQ19" s="242" t="str">
        <f>Tabela2[[#This Row],[T]]</f>
        <v>Sao Paulo</v>
      </c>
      <c r="BR19" s="79">
        <f t="shared" si="4"/>
        <v>1.2445366323431364</v>
      </c>
      <c r="BS19" s="79">
        <f t="shared" si="5"/>
        <v>0.82295119442221953</v>
      </c>
      <c r="BT19" s="79">
        <f t="shared" si="6"/>
        <v>0.57514549811708338</v>
      </c>
      <c r="BU19" s="79">
        <f t="shared" si="7"/>
        <v>0.71872426443063542</v>
      </c>
      <c r="BV19" s="75">
        <f t="shared" si="8"/>
        <v>0.66939113422605301</v>
      </c>
      <c r="BW19" s="75">
        <f t="shared" si="9"/>
        <v>0.10422692999158412</v>
      </c>
      <c r="BX19" s="242" t="str">
        <f>Tabela2[[#This Row],[T]]</f>
        <v>Sao Paulo</v>
      </c>
      <c r="BY19" s="75">
        <f ca="1">AVERAGEIF($B$2:$B$1469,Tabela2[[#This Row],[T]],$G$2:$G$1214)</f>
        <v>2.3440000000000003</v>
      </c>
      <c r="BZ19" s="75">
        <f ca="1">AVERAGEIF($C$2:$C$1469,Tabela2[[#This Row],[T]],$I$2:$I$1214)</f>
        <v>3.2285714285714286</v>
      </c>
      <c r="CA19" s="76">
        <f t="array" ref="CA19">_xlfn.STDEV.S(IF($B$2:$B$1469=Tabela2[[#This Row],[T]],$G$2:$G$1183))</f>
        <v>0.8697585871953194</v>
      </c>
      <c r="CB19" s="76">
        <f t="array" ref="CB19">_xlfn.STDEV.S(IF($C$2:$C1486=Tabela2[[#This Row],[T]],$I$2:$I$1183))</f>
        <v>0.38606685826112658</v>
      </c>
      <c r="CC19" s="86">
        <f t="shared" ca="1" si="10"/>
        <v>0.37105741774544337</v>
      </c>
      <c r="CD19" s="87">
        <f t="shared" ca="1" si="11"/>
        <v>0.11957823043486221</v>
      </c>
      <c r="CE19" s="242" t="str">
        <f>Tabela2[[#This Row],[T]]</f>
        <v>Sao Paulo</v>
      </c>
      <c r="CF19" s="75">
        <f ca="1">AVERAGEIF($B$2:$B$1469,Tabela2[[#This Row],[T]],$W$2:$W$1203)</f>
        <v>1</v>
      </c>
      <c r="CG19" s="75">
        <f ca="1">AVERAGEIF($C$2:$C$1469,Tabela2[[#This Row],[T]],$W$2:$W$1203)</f>
        <v>1</v>
      </c>
      <c r="CH19" s="75">
        <f ca="1">AVERAGEIF($B$2:$B$1469,Tabela2[[#This Row],[T]],$X$2:$X$1203)</f>
        <v>0.8</v>
      </c>
      <c r="CI19" s="75">
        <f ca="1">AVERAGEIF($C$2:$C$1469,Tabela2[[#This Row],[T]],$X$2:$X$1183)</f>
        <v>0.7142857142857143</v>
      </c>
      <c r="CJ19" s="84">
        <f ca="1">AVERAGEIF($B$2:$B$1469,Tabela2[[#This Row],[T]],$Y$2:$Y$1203)</f>
        <v>0.4</v>
      </c>
      <c r="CK19" s="85">
        <f ca="1">AVERAGEIF($C$2:$C$1469,Tabela2[[#This Row],[T]],$Y$2:$Y$1203)</f>
        <v>0.2857142857142857</v>
      </c>
      <c r="CL19" s="75">
        <f ca="1">AVERAGEIF($B$2:$B$1469,Tabela2[[#This Row],[T]],$Z$2:$Z$1203)</f>
        <v>0.2</v>
      </c>
      <c r="CM19" s="75">
        <f ca="1">AVERAGEIF($C$2:$C$1469,Tabela2[[#This Row],[T]],$Z$2:$Z$1183)</f>
        <v>0</v>
      </c>
      <c r="CN19" s="75">
        <f ca="1">AVERAGEIF($B$2:$B$1469,Tabela2[[#This Row],[T]],$AA$2:$AA$1203)</f>
        <v>0.2</v>
      </c>
      <c r="CO19" s="75">
        <f ca="1">AVERAGEIF($C$2:$C$1469,Tabela2[[#This Row],[T]],$AA$2:$AA$1203)</f>
        <v>0</v>
      </c>
      <c r="CP19" s="75">
        <f ca="1">AVERAGEIF($B$2:$B$1469,Tabela2[[#This Row],[T]],$AB$2:$AB$1203)</f>
        <v>0</v>
      </c>
      <c r="CQ19" s="75">
        <f ca="1">AVERAGEIF($C$2:$C$1469,Tabela2[[#This Row],[T]],$AB$2:$AB$1183)</f>
        <v>0</v>
      </c>
      <c r="CR19" s="242" t="str">
        <f>Tabela2[[#This Row],[T]]</f>
        <v>Sao Paulo</v>
      </c>
      <c r="CS19" s="75">
        <f ca="1">AVERAGEIF($B$2:$B$1469,Tabela2[[#This Row],[T]],$AC$2:$AC$1240)</f>
        <v>0.4</v>
      </c>
      <c r="CT19" s="75">
        <f ca="1">AVERAGEIF($C$2:$C$1469,Tabela2[[#This Row],[T]],$AC$2:$AC$1220)</f>
        <v>0.5714285714285714</v>
      </c>
      <c r="CU19" s="242" t="str">
        <f>Tabela2[[#This Row],[T]]</f>
        <v>Sao Paulo</v>
      </c>
      <c r="CV19" s="75">
        <f ca="1">AVERAGEIF($B$2:$B$1240,Tabela2[[#This Row],[T]],$L$2:$L$1205)</f>
        <v>0.55896103896103888</v>
      </c>
      <c r="CW19" s="75">
        <f ca="1">AVERAGEIF($C$2:$C$1240,Tabela2[[#This Row],[T]],$M$2:$M$1205)</f>
        <v>0.38117685731620016</v>
      </c>
      <c r="CX19" s="75">
        <f t="array" ref="CX19">_xlfn.STDEV.S(IF($B$2:$B$1203=Tabela2[[#This Row],[T]],$L$2:$L$1203))</f>
        <v>0.46589966605346772</v>
      </c>
      <c r="CY19" s="75">
        <f t="array" ref="CY19">_xlfn.STDEV.S(IF($C$2:$C$1203=Tabela2[[#This Row],[T]],$M$2:$M$1203))</f>
        <v>0.29936110178683312</v>
      </c>
      <c r="CZ19" s="75">
        <f ca="1">Tabela2[[#This Row],[DPPGC]]/Tabela2[[#This Row],[PESOGC]]</f>
        <v>0.8335100902908229</v>
      </c>
      <c r="DA19" s="75">
        <f ca="1">Tabela2[[#This Row],[DPPGV]]/Tabela2[[#This Row],[PESOGV]]</f>
        <v>0.78536011838332076</v>
      </c>
      <c r="DB19" s="242" t="str">
        <f>Tabela2[[#This Row],[T]]</f>
        <v>Sao Paulo</v>
      </c>
      <c r="DC19" s="75">
        <f ca="1">AVERAGEIF($B$2:$B$1240,Tabela2[[#This Row],[T]],$AO$2:$AO$1205)</f>
        <v>0.37458130796608924</v>
      </c>
      <c r="DD19" s="75">
        <f ca="1">AVERAGEIF($C$2:$C$1240,Tabela2[[#This Row],[T]],$AP$2:$AP$1205)</f>
        <v>0.47830988455988449</v>
      </c>
      <c r="DE19" s="75">
        <f t="array" ref="DE19">_xlfn.STDEV.S(IF($B$2:$B$1203=Tabela2[[#This Row],[T]],$AO$2:$AO$1203))</f>
        <v>0.36336904698114214</v>
      </c>
      <c r="DF19" s="75">
        <f t="array" ref="DF19">_xlfn.STDEV.S(IF($C$2:$C$1203=Tabela2[[#This Row],[T]],$AP$2:$AP$1203))</f>
        <v>0.36060391617078497</v>
      </c>
      <c r="DG19" s="75">
        <f ca="1">Tabela2[[#This Row],[DPCGC]]/Tabela2[[#This Row],[CUSTGC]]</f>
        <v>0.97006721705942112</v>
      </c>
      <c r="DH19" s="75">
        <f ca="1">Tabela2[[#This Row],[DPCGV]]/Tabela2[[#This Row],[CUSTGV]]</f>
        <v>0.75391274111467221</v>
      </c>
      <c r="DI19" s="242" t="str">
        <f>Tabela2[[#This Row],[T]]</f>
        <v>Sao Paulo</v>
      </c>
      <c r="DJ19" s="84">
        <f t="shared" ca="1" si="12"/>
        <v>5.6256000000000004</v>
      </c>
      <c r="DK19" s="85">
        <f t="shared" ca="1" si="13"/>
        <v>3.6897959183673468</v>
      </c>
      <c r="DL19" s="242" t="str">
        <f>Tabela2[[#This Row],[T]]</f>
        <v>Sao Paulo</v>
      </c>
      <c r="DM19" s="82">
        <f ca="1">SUMIF($B$2:$B$1340,Tabela2[[#This Row],[T]],$R$2:$R$1240)</f>
        <v>4.1500000000000004</v>
      </c>
      <c r="DN19" s="83">
        <f ca="1">SUMIF($C$2:$C$1340,Tabela2[[#This Row],[T]],$S$2:$S$1240)</f>
        <v>-0.79999999999999982</v>
      </c>
      <c r="DO19" s="83">
        <f>SUMIF($B$2:$B$1240,Tabela2[[#This Row],[T]],$T$2:$T$1240)</f>
        <v>-5</v>
      </c>
      <c r="DP19" s="83">
        <f>SUMIF($C$2:$C$1240,Tabela2[[#This Row],[T]],$T$2:$T$1240)</f>
        <v>-0.89999999999999991</v>
      </c>
      <c r="DR19" s="237"/>
      <c r="DS19" s="237"/>
    </row>
    <row r="20" spans="1:123" x14ac:dyDescent="0.25">
      <c r="A20" s="4">
        <v>46059</v>
      </c>
      <c r="B20" t="s">
        <v>358</v>
      </c>
      <c r="C20" t="s">
        <v>387</v>
      </c>
      <c r="D20">
        <v>1</v>
      </c>
      <c r="E20">
        <v>2</v>
      </c>
      <c r="F20" t="s">
        <v>346</v>
      </c>
      <c r="G20">
        <v>1.35</v>
      </c>
      <c r="H20">
        <v>4.33</v>
      </c>
      <c r="I20">
        <v>9.5</v>
      </c>
      <c r="J20" s="68">
        <f t="shared" si="14"/>
        <v>0</v>
      </c>
      <c r="K20" s="68">
        <f t="shared" si="15"/>
        <v>3</v>
      </c>
      <c r="L20" s="69">
        <f t="shared" si="16"/>
        <v>0.10526315789473684</v>
      </c>
      <c r="M20" s="69">
        <f t="shared" si="17"/>
        <v>1.4814814814814814</v>
      </c>
      <c r="N20" s="69">
        <f>IF(A20="","",Tabela1[[#This Row],[PTC]]*Tabela1[[#This Row],[ODDC]])</f>
        <v>0</v>
      </c>
      <c r="O20" s="69">
        <f>IF(A20="","",Tabela1[[#This Row],[PTV]]*Tabela1[[#This Row],[ODDV]])</f>
        <v>28.5</v>
      </c>
      <c r="P20" s="68">
        <f t="shared" si="18"/>
        <v>-1</v>
      </c>
      <c r="Q20" s="68">
        <f t="shared" si="19"/>
        <v>1</v>
      </c>
      <c r="R20" s="68">
        <f t="shared" si="20"/>
        <v>-1</v>
      </c>
      <c r="S20" s="68">
        <f t="shared" si="21"/>
        <v>8.5</v>
      </c>
      <c r="T20" s="68">
        <f>IF(A20="","",IF(F20="D",Tabela1[[#This Row],[ODDE]]-1,-1))</f>
        <v>-1</v>
      </c>
      <c r="U20" s="70">
        <f>IF(A20="","",IF(AND(Tabela1[[#This Row],[FTHG]]&gt;3,F20="H"),1,0))</f>
        <v>0</v>
      </c>
      <c r="V20" s="70">
        <f>IF(A20="","",IF(AND(Tabela1[[#This Row],[FTAG]]&gt;3,F20="A"),1,0))</f>
        <v>0</v>
      </c>
      <c r="W20" s="70">
        <f t="shared" si="22"/>
        <v>1</v>
      </c>
      <c r="X20" s="70">
        <f t="shared" si="23"/>
        <v>1</v>
      </c>
      <c r="Y20" s="71">
        <f t="shared" si="24"/>
        <v>1</v>
      </c>
      <c r="Z20" s="70">
        <f t="shared" si="25"/>
        <v>0</v>
      </c>
      <c r="AA20" s="70">
        <f t="shared" si="26"/>
        <v>0</v>
      </c>
      <c r="AB20" s="70">
        <f t="shared" si="27"/>
        <v>0</v>
      </c>
      <c r="AC20" s="71">
        <f t="shared" si="28"/>
        <v>1</v>
      </c>
      <c r="AD20" s="72" t="str">
        <f t="shared" si="29"/>
        <v>FEV</v>
      </c>
      <c r="AE20" s="73">
        <f>IF(A20="","",COUNT($N$2:N20))</f>
        <v>19</v>
      </c>
      <c r="AF20" s="74">
        <f t="shared" si="30"/>
        <v>0</v>
      </c>
      <c r="AG20" s="74">
        <f t="shared" si="31"/>
        <v>0</v>
      </c>
      <c r="AH20" s="74">
        <f t="shared" si="32"/>
        <v>1</v>
      </c>
      <c r="AI20" s="74" t="str">
        <f t="shared" si="33"/>
        <v>1,21-1,4</v>
      </c>
      <c r="AJ20" s="74" t="str">
        <f t="shared" si="34"/>
        <v>9,01-16</v>
      </c>
      <c r="AK20" s="74">
        <f>IF(A20="","",1/Tabela1[[#This Row],[ODDC]])</f>
        <v>0.7407407407407407</v>
      </c>
      <c r="AL20" s="74">
        <f>IF(A20="","",1/Tabela1[[#This Row],[ODDE]])</f>
        <v>0.23094688221709006</v>
      </c>
      <c r="AM20" s="74">
        <f>IF(A20="","",1/Tabela1[[#This Row],[ODDV]])</f>
        <v>0.10526315789473684</v>
      </c>
      <c r="AN20" s="74">
        <f>IF(A20="","",1-(Tabela1[[#This Row],[p(H)]]+Tabela1[[#This Row],[p(D)]]+Tabela1[[#This Row],[p(A)]]))</f>
        <v>-7.6950780852567569E-2</v>
      </c>
      <c r="AO20" s="74">
        <f>IF(A20="","",IFERROR(Tabela1[[#This Row],[p(H)]]/Tabela1[[#This Row],[FTHG]],1))</f>
        <v>0.7407407407407407</v>
      </c>
      <c r="AP20" s="74">
        <f>IF(A20="","",IFERROR(Tabela1[[#This Row],[p(A)]]/Tabela1[[#This Row],[FTAG]],1))</f>
        <v>5.2631578947368418E-2</v>
      </c>
      <c r="AQ20" s="244" t="s">
        <v>360</v>
      </c>
      <c r="AR20" s="75">
        <f>AVERAGEIF($B$2:$B$1203,Tabela2[[#This Row],[T]],$J$2:$J$1214)</f>
        <v>1.8571428571428572</v>
      </c>
      <c r="AS20" s="75">
        <f>AVERAGEIF($C$2:$C$1203,Tabela2[[#This Row],[T]],$K$2:$K$1214)</f>
        <v>0.6</v>
      </c>
      <c r="AT20" s="75">
        <f t="array" ref="AT20">_xlfn.STDEV.S(IF($B$2:$B$1203=Tabela2[[#This Row],[T]],$J$2:$J$1203))</f>
        <v>1.4638501094227998</v>
      </c>
      <c r="AU20" s="75">
        <f t="array" ref="AU20">_xlfn.STDEV.S(IF($C$2:$C$1203=Tabela2[[#This Row],[T]],$K$2:$K$1203))</f>
        <v>0.54772255750516607</v>
      </c>
      <c r="AV20" s="84">
        <f>Tabela2[[#This Row],[DPMPTC]]/Tabela2[[#This Row],[MPTC]]</f>
        <v>0.78822698199689223</v>
      </c>
      <c r="AW20" s="85">
        <f>Tabela2[[#This Row],[DPMPTV]]/Tabela2[[#This Row],[MPTV]]</f>
        <v>0.91287092917527679</v>
      </c>
      <c r="AX20" s="243" t="str">
        <f>Tabela2[[#This Row],[T]]</f>
        <v>Vasco</v>
      </c>
      <c r="AY20" s="75">
        <f ca="1">AVERAGEIF($B$2:$B$1203,Tabela2[[#This Row],[T]],$U$2:$U$1194)</f>
        <v>0</v>
      </c>
      <c r="AZ20" s="75">
        <f ca="1">AVERAGEIF($B$2:$B$1203,Tabela2[[#This Row],[T]],$V$2:$V$1194)</f>
        <v>0</v>
      </c>
      <c r="BA20" s="75">
        <f ca="1">AVERAGEIF($C$2:$C$1203,Tabela2[[#This Row],[T1]],$V$2:$V$1194)</f>
        <v>0</v>
      </c>
      <c r="BB20" s="75">
        <f ca="1">AVERAGEIF($C$2:$C$1203,Tabela2[[#This Row],[T]],$U$2:$U$1194)</f>
        <v>0</v>
      </c>
      <c r="BC20" s="243" t="str">
        <f>Tabela2[[#This Row],[T]]</f>
        <v>Vasco</v>
      </c>
      <c r="BD20" s="75">
        <f>AVERAGEIF($B$2:$B$1203,Tabela2[[#This Row],[T]],$D$2:$D$1203)</f>
        <v>1.5714285714285714</v>
      </c>
      <c r="BE20" s="75">
        <f>AVERAGEIF($C$2:$C$1203,Tabela2[[#This Row],[T]],$E$2:$E$1203)</f>
        <v>1.4</v>
      </c>
      <c r="BF20" s="76">
        <f t="array" ref="BF20">_xlfn.STDEV.S(IF($B$2:$B$1203=Tabela2[[#This Row],[T]],$D$2:$D$1203))</f>
        <v>0.97590007294853331</v>
      </c>
      <c r="BG20" s="76">
        <f t="array" ref="BG20">_xlfn.STDEV.S(IF($C$2:$C$1203=Tabela2[[#This Row],[T]],$E$2:$E$1203))</f>
        <v>0.89442719099991574</v>
      </c>
      <c r="BH20" s="84">
        <f t="shared" si="0"/>
        <v>0.62102731914906661</v>
      </c>
      <c r="BI20" s="85">
        <f t="shared" si="1"/>
        <v>0.63887656499993983</v>
      </c>
      <c r="BJ20" s="243" t="str">
        <f>Tabela2[[#This Row],[T]]</f>
        <v>Vasco</v>
      </c>
      <c r="BK20" s="75">
        <f>AVERAGEIF($B$2:$B$1203,Tabela2[[#This Row],[T]],$E$2:$E$1203)</f>
        <v>1.2857142857142858</v>
      </c>
      <c r="BL20" s="75">
        <f>AVERAGEIF($C$2:$C$1203,Tabela2[[#This Row],[T]],$D$2:$D$1203)</f>
        <v>1.8</v>
      </c>
      <c r="BM20" s="76">
        <f t="array" ref="BM20">_xlfn.STDEV.S(IF($B$2:$B$1203=Tabela2[[#This Row],[T]],$E$2:$E$1203))</f>
        <v>0.48795003647426666</v>
      </c>
      <c r="BN20" s="76">
        <f t="array" ref="BN20">_xlfn.STDEV.S(IF($C$2:$C$1203=Tabela2[[#This Row],[T]],$D$2:$D$1203))</f>
        <v>0.83666002653407567</v>
      </c>
      <c r="BO20" s="84">
        <f>IFERROR(BM20/BK20,0)</f>
        <v>0.3795166950355407</v>
      </c>
      <c r="BP20" s="85">
        <f t="shared" si="3"/>
        <v>0.46481112585226425</v>
      </c>
      <c r="BQ20" s="243" t="str">
        <f>Tabela2[[#This Row],[T]]</f>
        <v>Vasco</v>
      </c>
      <c r="BR20" s="79">
        <f t="shared" si="4"/>
        <v>0.97785021112675008</v>
      </c>
      <c r="BS20" s="79">
        <f t="shared" si="5"/>
        <v>1.3441536175562918</v>
      </c>
      <c r="BT20" s="79">
        <f t="shared" si="6"/>
        <v>1.2324546388223216</v>
      </c>
      <c r="BU20" s="79">
        <f t="shared" si="7"/>
        <v>1.131990716478251</v>
      </c>
      <c r="BV20" s="75">
        <f t="shared" si="8"/>
        <v>-0.25460442769557157</v>
      </c>
      <c r="BW20" s="75">
        <f t="shared" si="9"/>
        <v>0.21216290107804081</v>
      </c>
      <c r="BX20" s="243" t="str">
        <f>Tabela2[[#This Row],[T]]</f>
        <v>Vasco</v>
      </c>
      <c r="BY20" s="75">
        <f ca="1">AVERAGEIF($B$2:$B$1469,Tabela2[[#This Row],[T]],$G$2:$G$1214)</f>
        <v>2.322857142857143</v>
      </c>
      <c r="BZ20" s="75">
        <f ca="1">AVERAGEIF($C$2:$C$1469,Tabela2[[#This Row],[T]],$I$2:$I$1214)</f>
        <v>3.54</v>
      </c>
      <c r="CA20" s="76">
        <f t="array" ref="CA20">_xlfn.STDEV.S(IF($B$2:$B$1469=Tabela2[[#This Row],[T]],$G$2:$G$1183))</f>
        <v>0.78268159310825369</v>
      </c>
      <c r="CB20" s="76">
        <f t="array" ref="CB20">_xlfn.STDEV.S(IF($C$2:$C1487=Tabela2[[#This Row],[T]],$I$2:$I$1183))</f>
        <v>0.88133421583415317</v>
      </c>
      <c r="CC20" s="86">
        <f t="shared" ca="1" si="10"/>
        <v>0.33694779531105629</v>
      </c>
      <c r="CD20" s="87">
        <f t="shared" ca="1" si="11"/>
        <v>0.24896446774976078</v>
      </c>
      <c r="CE20" s="243" t="str">
        <f>Tabela2[[#This Row],[T]]</f>
        <v>Vasco</v>
      </c>
      <c r="CF20" s="75">
        <f ca="1">AVERAGEIF($B$2:$B$1469,Tabela2[[#This Row],[T]],$W$2:$W$1203)</f>
        <v>1</v>
      </c>
      <c r="CG20" s="75">
        <f ca="1">AVERAGEIF($C$2:$C$1469,Tabela2[[#This Row],[T]],$W$2:$W$1203)</f>
        <v>1</v>
      </c>
      <c r="CH20" s="75">
        <f ca="1">AVERAGEIF($B$2:$B$1469,Tabela2[[#This Row],[T]],$X$2:$X$1203)</f>
        <v>0.8571428571428571</v>
      </c>
      <c r="CI20" s="75">
        <f ca="1">AVERAGEIF($C$2:$C$1469,Tabela2[[#This Row],[T]],$X$2:$X$1183)</f>
        <v>1</v>
      </c>
      <c r="CJ20" s="84">
        <f ca="1">AVERAGEIF($B$2:$B$1469,Tabela2[[#This Row],[T]],$Y$2:$Y$1203)</f>
        <v>0.7142857142857143</v>
      </c>
      <c r="CK20" s="85">
        <f ca="1">AVERAGEIF($C$2:$C$1469,Tabela2[[#This Row],[T]],$Y$2:$Y$1203)</f>
        <v>0.6</v>
      </c>
      <c r="CL20" s="75">
        <f ca="1">AVERAGEIF($B$2:$B$1469,Tabela2[[#This Row],[T]],$Z$2:$Z$1203)</f>
        <v>0.14285714285714285</v>
      </c>
      <c r="CM20" s="75">
        <f ca="1">AVERAGEIF($C$2:$C$1469,Tabela2[[#This Row],[T]],$Z$2:$Z$1183)</f>
        <v>0.2</v>
      </c>
      <c r="CN20" s="75">
        <f ca="1">AVERAGEIF($B$2:$B$1469,Tabela2[[#This Row],[T]],$AA$2:$AA$1203)</f>
        <v>0.14285714285714285</v>
      </c>
      <c r="CO20" s="75">
        <f ca="1">AVERAGEIF($C$2:$C$1469,Tabela2[[#This Row],[T]],$AA$2:$AA$1203)</f>
        <v>0.2</v>
      </c>
      <c r="CP20" s="75">
        <f ca="1">AVERAGEIF($B$2:$B$1469,Tabela2[[#This Row],[T]],$AB$2:$AB$1203)</f>
        <v>0</v>
      </c>
      <c r="CQ20" s="75">
        <f ca="1">AVERAGEIF($C$2:$C$1469,Tabela2[[#This Row],[T]],$AB$2:$AB$1183)</f>
        <v>0.2</v>
      </c>
      <c r="CR20" s="243" t="str">
        <f>Tabela2[[#This Row],[T]]</f>
        <v>Vasco</v>
      </c>
      <c r="CS20" s="75">
        <f ca="1">AVERAGEIF($B$2:$B$1469,Tabela2[[#This Row],[T]],$AC$2:$AC$1240)</f>
        <v>0.8571428571428571</v>
      </c>
      <c r="CT20" s="75">
        <f ca="1">AVERAGEIF($C$2:$C$1469,Tabela2[[#This Row],[T]],$AC$2:$AC$1220)</f>
        <v>1</v>
      </c>
      <c r="CU20" s="243" t="str">
        <f>Tabela2[[#This Row],[T]]</f>
        <v>Vasco</v>
      </c>
      <c r="CV20" s="75">
        <f ca="1">AVERAGEIF($B$2:$B$1240,Tabela2[[#This Row],[T]],$L$2:$L$1205)</f>
        <v>0.52800296408016645</v>
      </c>
      <c r="CW20" s="75">
        <f ca="1">AVERAGEIF($C$2:$C$1240,Tabela2[[#This Row],[T]],$M$2:$M$1205)</f>
        <v>0.66827316811582238</v>
      </c>
      <c r="CX20" s="75">
        <f t="array" ref="CX20">_xlfn.STDEV.S(IF($B$2:$B$1203=Tabela2[[#This Row],[T]],$L$2:$L$1203))</f>
        <v>0.48235817659055047</v>
      </c>
      <c r="CY20" s="75">
        <f t="array" ref="CY20">_xlfn.STDEV.S(IF($C$2:$C$1203=Tabela2[[#This Row],[T]],$M$2:$M$1203))</f>
        <v>0.51211752970423863</v>
      </c>
      <c r="CZ20" s="75">
        <f ca="1">Tabela2[[#This Row],[DPPGC]]/Tabela2[[#This Row],[PESOGC]]</f>
        <v>0.91355202414605052</v>
      </c>
      <c r="DA20" s="75">
        <f ca="1">Tabela2[[#This Row],[DPPGV]]/Tabela2[[#This Row],[PESOGV]]</f>
        <v>0.76632963006451349</v>
      </c>
      <c r="DB20" s="243" t="str">
        <f>Tabela2[[#This Row],[T]]</f>
        <v>Vasco</v>
      </c>
      <c r="DC20" s="75">
        <f ca="1">AVERAGEIF($B$2:$B$1240,Tabela2[[#This Row],[T]],$AO$2:$AO$1205)</f>
        <v>0.42193352945211055</v>
      </c>
      <c r="DD20" s="75">
        <f ca="1">AVERAGEIF($C$2:$C$1240,Tabela2[[#This Row],[T]],$AP$2:$AP$1205)</f>
        <v>0.26637806637806638</v>
      </c>
      <c r="DE20" s="75">
        <f t="array" ref="DE20">_xlfn.STDEV.S(IF($B$2:$B$1203=Tabela2[[#This Row],[T]],$AO$2:$AO$1203))</f>
        <v>0.32337459981425082</v>
      </c>
      <c r="DF20" s="75">
        <f t="array" ref="DF20">_xlfn.STDEV.S(IF($C$2:$C$1203=Tabela2[[#This Row],[T]],$AP$2:$AP$1203))</f>
        <v>0.12672576366430904</v>
      </c>
      <c r="DG20" s="75">
        <f ca="1">Tabela2[[#This Row],[DPCGC]]/Tabela2[[#This Row],[CUSTGC]]</f>
        <v>0.76641124073301181</v>
      </c>
      <c r="DH20" s="75">
        <f ca="1">Tabela2[[#This Row],[DPCGV]]/Tabela2[[#This Row],[CUSTGV]]</f>
        <v>0.47573648006157188</v>
      </c>
      <c r="DI20" s="243" t="str">
        <f>Tabela2[[#This Row],[T]]</f>
        <v>Vasco</v>
      </c>
      <c r="DJ20" s="84">
        <f t="shared" ca="1" si="12"/>
        <v>4.3138775510204086</v>
      </c>
      <c r="DK20" s="85">
        <f t="shared" ca="1" si="13"/>
        <v>2.1240000000000001</v>
      </c>
      <c r="DL20" s="243" t="str">
        <f>Tabela2[[#This Row],[T]]</f>
        <v>Vasco</v>
      </c>
      <c r="DM20" s="82">
        <f ca="1">SUMIF($B$2:$B$1340,Tabela2[[#This Row],[T]],$R$2:$R$1240)</f>
        <v>3.62</v>
      </c>
      <c r="DN20" s="83">
        <f ca="1">SUMIF($C$2:$C$1340,Tabela2[[#This Row],[T]],$S$2:$S$1240)</f>
        <v>-5</v>
      </c>
      <c r="DO20" s="83">
        <f>SUMIF($B$2:$B$1240,Tabela2[[#This Row],[T]],$T$2:$T$1240)</f>
        <v>-3.1</v>
      </c>
      <c r="DP20" s="83">
        <f>SUMIF($C$2:$C$1240,Tabela2[[#This Row],[T]],$T$2:$T$1240)</f>
        <v>4.5999999999999996</v>
      </c>
      <c r="DR20" s="237"/>
      <c r="DS20" s="237"/>
    </row>
    <row r="21" spans="1:123" ht="15.75" thickBot="1" x14ac:dyDescent="0.3">
      <c r="A21" s="4">
        <v>46064</v>
      </c>
      <c r="B21" t="s">
        <v>381</v>
      </c>
      <c r="C21" t="s">
        <v>363</v>
      </c>
      <c r="D21">
        <v>1</v>
      </c>
      <c r="E21">
        <v>2</v>
      </c>
      <c r="F21" t="s">
        <v>346</v>
      </c>
      <c r="G21">
        <v>5.75</v>
      </c>
      <c r="H21">
        <v>3.8</v>
      </c>
      <c r="I21">
        <v>1.57</v>
      </c>
      <c r="J21" s="68">
        <f t="shared" si="14"/>
        <v>0</v>
      </c>
      <c r="K21" s="68">
        <f t="shared" si="15"/>
        <v>3</v>
      </c>
      <c r="L21" s="69">
        <f t="shared" si="16"/>
        <v>0.63694267515923564</v>
      </c>
      <c r="M21" s="69">
        <f t="shared" si="17"/>
        <v>0.34782608695652173</v>
      </c>
      <c r="N21" s="69">
        <f>IF(A21="","",Tabela1[[#This Row],[PTC]]*Tabela1[[#This Row],[ODDC]])</f>
        <v>0</v>
      </c>
      <c r="O21" s="69">
        <f>IF(A21="","",Tabela1[[#This Row],[PTV]]*Tabela1[[#This Row],[ODDV]])</f>
        <v>4.71</v>
      </c>
      <c r="P21" s="68">
        <f t="shared" si="18"/>
        <v>-1</v>
      </c>
      <c r="Q21" s="68">
        <f t="shared" si="19"/>
        <v>1</v>
      </c>
      <c r="R21" s="68">
        <f t="shared" si="20"/>
        <v>-1</v>
      </c>
      <c r="S21" s="68">
        <f t="shared" si="21"/>
        <v>0.57000000000000006</v>
      </c>
      <c r="T21" s="68">
        <f>IF(A21="","",IF(F21="D",Tabela1[[#This Row],[ODDE]]-1,-1))</f>
        <v>-1</v>
      </c>
      <c r="U21" s="70">
        <f>IF(A21="","",IF(AND(Tabela1[[#This Row],[FTHG]]&gt;3,F21="H"),1,0))</f>
        <v>0</v>
      </c>
      <c r="V21" s="70">
        <f>IF(A21="","",IF(AND(Tabela1[[#This Row],[FTAG]]&gt;3,F21="A"),1,0))</f>
        <v>0</v>
      </c>
      <c r="W21" s="70">
        <f t="shared" si="22"/>
        <v>1</v>
      </c>
      <c r="X21" s="70">
        <f t="shared" si="23"/>
        <v>1</v>
      </c>
      <c r="Y21" s="71">
        <f t="shared" si="24"/>
        <v>1</v>
      </c>
      <c r="Z21" s="70">
        <f t="shared" si="25"/>
        <v>0</v>
      </c>
      <c r="AA21" s="70">
        <f t="shared" si="26"/>
        <v>0</v>
      </c>
      <c r="AB21" s="70">
        <f t="shared" si="27"/>
        <v>0</v>
      </c>
      <c r="AC21" s="71">
        <f t="shared" si="28"/>
        <v>1</v>
      </c>
      <c r="AD21" s="72" t="str">
        <f t="shared" si="29"/>
        <v>FEV</v>
      </c>
      <c r="AE21" s="73">
        <f>IF(A21="","",COUNT($N$2:N21))</f>
        <v>20</v>
      </c>
      <c r="AF21" s="74">
        <f t="shared" si="30"/>
        <v>0</v>
      </c>
      <c r="AG21" s="74">
        <f t="shared" si="31"/>
        <v>0</v>
      </c>
      <c r="AH21" s="74">
        <f t="shared" si="32"/>
        <v>1</v>
      </c>
      <c r="AI21" s="74" t="str">
        <f t="shared" si="33"/>
        <v>5,51-9,0</v>
      </c>
      <c r="AJ21" s="74" t="str">
        <f t="shared" si="34"/>
        <v>1,41-1,7</v>
      </c>
      <c r="AK21" s="74">
        <f>IF(A21="","",1/Tabela1[[#This Row],[ODDC]])</f>
        <v>0.17391304347826086</v>
      </c>
      <c r="AL21" s="74">
        <f>IF(A21="","",1/Tabela1[[#This Row],[ODDE]])</f>
        <v>0.26315789473684209</v>
      </c>
      <c r="AM21" s="74">
        <f>IF(A21="","",1/Tabela1[[#This Row],[ODDV]])</f>
        <v>0.63694267515923564</v>
      </c>
      <c r="AN21" s="74">
        <f>IF(A21="","",1-(Tabela1[[#This Row],[p(H)]]+Tabela1[[#This Row],[p(D)]]+Tabela1[[#This Row],[p(A)]]))</f>
        <v>-7.4013613374338538E-2</v>
      </c>
      <c r="AO21" s="74">
        <f>IF(A21="","",IFERROR(Tabela1[[#This Row],[p(H)]]/Tabela1[[#This Row],[FTHG]],1))</f>
        <v>0.17391304347826086</v>
      </c>
      <c r="AP21" s="74">
        <f>IF(A21="","",IFERROR(Tabela1[[#This Row],[p(A)]]/Tabela1[[#This Row],[FTAG]],1))</f>
        <v>0.31847133757961782</v>
      </c>
      <c r="AQ21" s="244" t="s">
        <v>381</v>
      </c>
      <c r="AR21" s="75">
        <f>AVERAGEIF($B$2:$B$1203,Tabela2[[#This Row],[T]],$J$2:$J$1214)</f>
        <v>2.1666666666666665</v>
      </c>
      <c r="AS21" s="75">
        <f>AVERAGEIF($C$2:$C$1203,Tabela2[[#This Row],[T]],$K$2:$K$1214)</f>
        <v>0.4</v>
      </c>
      <c r="AT21" s="75">
        <f t="array" ref="AT21">_xlfn.STDEV.S(IF($B$2:$B$1203=Tabela2[[#This Row],[T]],$J$2:$J$1203))</f>
        <v>1.3291601358251257</v>
      </c>
      <c r="AU21" s="75">
        <f t="array" ref="AU21">_xlfn.STDEV.S(IF($C$2:$C$1203=Tabela2[[#This Row],[T]],$K$2:$K$1203))</f>
        <v>0.54772255750516607</v>
      </c>
      <c r="AV21" s="88">
        <f>Tabela2[[#This Row],[DPMPTC]]/Tabela2[[#This Row],[MPTC]]</f>
        <v>0.61345852422698111</v>
      </c>
      <c r="AW21" s="89">
        <f>Tabela2[[#This Row],[DPMPTV]]/Tabela2[[#This Row],[MPTV]]</f>
        <v>1.3693063937629151</v>
      </c>
      <c r="AX21" s="243" t="str">
        <f>Tabela2[[#This Row],[T]]</f>
        <v>Vitoria</v>
      </c>
      <c r="AY21" s="75">
        <f ca="1">AVERAGEIF($B$2:$B$1203,Tabela2[[#This Row],[T]],$U$2:$U$1194)</f>
        <v>0</v>
      </c>
      <c r="AZ21" s="75">
        <f ca="1">AVERAGEIF($B$2:$B$1203,Tabela2[[#This Row],[T]],$V$2:$V$1194)</f>
        <v>0</v>
      </c>
      <c r="BA21" s="75">
        <f ca="1">AVERAGEIF($C$2:$C$1203,Tabela2[[#This Row],[T1]],$V$2:$V$1194)</f>
        <v>0</v>
      </c>
      <c r="BB21" s="75">
        <f ca="1">AVERAGEIF($C$2:$C$1203,Tabela2[[#This Row],[T]],$U$2:$U$1194)</f>
        <v>0.2</v>
      </c>
      <c r="BC21" s="243" t="str">
        <f>Tabela2[[#This Row],[T]]</f>
        <v>Vitoria</v>
      </c>
      <c r="BD21" s="75">
        <f>AVERAGEIF($B$2:$B$1203,Tabela2[[#This Row],[T]],$D$2:$D$1203)</f>
        <v>1.3333333333333333</v>
      </c>
      <c r="BE21" s="75">
        <f>AVERAGEIF($C$2:$C$1203,Tabela2[[#This Row],[T]],$E$2:$E$1203)</f>
        <v>0.6</v>
      </c>
      <c r="BF21" s="76">
        <f t="array" ref="BF21">_xlfn.STDEV.S(IF($B$2:$B$1203=Tabela2[[#This Row],[T]],$D$2:$D$1203))</f>
        <v>0.81649658092772603</v>
      </c>
      <c r="BG21" s="76">
        <f t="array" ref="BG21">_xlfn.STDEV.S(IF($C$2:$C$1203=Tabela2[[#This Row],[T]],$E$2:$E$1203))</f>
        <v>0.54772255750516607</v>
      </c>
      <c r="BH21" s="88">
        <f t="shared" si="0"/>
        <v>0.61237243569579458</v>
      </c>
      <c r="BI21" s="89">
        <f t="shared" si="1"/>
        <v>0.91287092917527679</v>
      </c>
      <c r="BJ21" s="243" t="str">
        <f>Tabela2[[#This Row],[T]]</f>
        <v>Vitoria</v>
      </c>
      <c r="BK21" s="75">
        <f>AVERAGEIF($B$2:$B$1203,Tabela2[[#This Row],[T]],$E$2:$E$1203)</f>
        <v>0.33333333333333331</v>
      </c>
      <c r="BL21" s="75">
        <f>AVERAGEIF($C$2:$C$1203,Tabela2[[#This Row],[T]],$D$2:$D$1203)</f>
        <v>2.4</v>
      </c>
      <c r="BM21" s="76">
        <f t="array" ref="BM21">_xlfn.STDEV.S(IF($B$2:$B$1203=Tabela2[[#This Row],[T]],$E$2:$E$1203))</f>
        <v>0.81649658092772603</v>
      </c>
      <c r="BN21" s="76">
        <f t="array" ref="BN21">_xlfn.STDEV.S(IF($C$2:$C$1203=Tabela2[[#This Row],[T]],$D$2:$D$1203))</f>
        <v>1.6733200530681511</v>
      </c>
      <c r="BO21" s="88">
        <f t="shared" si="2"/>
        <v>2.4494897427831783</v>
      </c>
      <c r="BP21" s="89">
        <f t="shared" si="3"/>
        <v>0.69721668877839638</v>
      </c>
      <c r="BQ21" s="243" t="str">
        <f>Tabela2[[#This Row],[T]]</f>
        <v>Vitoria</v>
      </c>
      <c r="BR21" s="79">
        <f t="shared" si="4"/>
        <v>0.82969108822875759</v>
      </c>
      <c r="BS21" s="79">
        <f t="shared" si="5"/>
        <v>0.57606583609555373</v>
      </c>
      <c r="BT21" s="79">
        <f t="shared" si="6"/>
        <v>0.31952527673171294</v>
      </c>
      <c r="BU21" s="79">
        <f t="shared" si="7"/>
        <v>1.5093209553043345</v>
      </c>
      <c r="BV21" s="75">
        <f t="shared" si="8"/>
        <v>0.51016581149704465</v>
      </c>
      <c r="BW21" s="75">
        <f t="shared" si="9"/>
        <v>-0.93325511920878079</v>
      </c>
      <c r="BX21" s="243" t="str">
        <f>Tabela2[[#This Row],[T]]</f>
        <v>Vitoria</v>
      </c>
      <c r="BY21" s="75">
        <f ca="1">AVERAGEIF($B$2:$B$1469,Tabela2[[#This Row],[T]],$G$2:$G$1214)</f>
        <v>3</v>
      </c>
      <c r="BZ21" s="75">
        <f ca="1">AVERAGEIF($C$2:$C$1469,Tabela2[[#This Row],[T]],$I$2:$I$1214)</f>
        <v>5.75</v>
      </c>
      <c r="CA21" s="76">
        <f t="array" ref="CA21">_xlfn.STDEV.S(IF($B$2:$B$1469=Tabela2[[#This Row],[T]],$G$2:$G$1183))</f>
        <v>1.4041937188294209</v>
      </c>
      <c r="CB21" s="76">
        <f t="array" ref="CB21">_xlfn.STDEV.S(IF($C$2:$C1488=Tabela2[[#This Row],[T]],$I$2:$I$1183))</f>
        <v>2.6634094690828145</v>
      </c>
      <c r="CC21" s="90">
        <f t="shared" ca="1" si="10"/>
        <v>0.4680645729431403</v>
      </c>
      <c r="CD21" s="91">
        <f t="shared" ca="1" si="11"/>
        <v>0.4632016467970112</v>
      </c>
      <c r="CE21" s="243" t="str">
        <f>Tabela2[[#This Row],[T]]</f>
        <v>Vitoria</v>
      </c>
      <c r="CF21" s="75">
        <f ca="1">AVERAGEIF($B$2:$B$1469,Tabela2[[#This Row],[T]],$W$2:$W$1203)</f>
        <v>0.83333333333333337</v>
      </c>
      <c r="CG21" s="75">
        <f ca="1">AVERAGEIF($C$2:$C$1469,Tabela2[[#This Row],[T]],$W$2:$W$1203)</f>
        <v>1</v>
      </c>
      <c r="CH21" s="75">
        <f ca="1">AVERAGEIF($B$2:$B$1469,Tabela2[[#This Row],[T]],$X$2:$X$1203)</f>
        <v>0.66666666666666663</v>
      </c>
      <c r="CI21" s="75">
        <f ca="1">AVERAGEIF($C$2:$C$1469,Tabela2[[#This Row],[T]],$X$2:$X$1183)</f>
        <v>1</v>
      </c>
      <c r="CJ21" s="88">
        <f ca="1">AVERAGEIF($B$2:$B$1469,Tabela2[[#This Row],[T]],$Y$2:$Y$1203)</f>
        <v>0.16666666666666666</v>
      </c>
      <c r="CK21" s="89">
        <f ca="1">AVERAGEIF($C$2:$C$1469,Tabela2[[#This Row],[T]],$Y$2:$Y$1203)</f>
        <v>0.4</v>
      </c>
      <c r="CL21" s="75">
        <f ca="1">AVERAGEIF($B$2:$B$1469,Tabela2[[#This Row],[T]],$Z$2:$Z$1203)</f>
        <v>0</v>
      </c>
      <c r="CM21" s="75">
        <f ca="1">AVERAGEIF($C$2:$C$1469,Tabela2[[#This Row],[T]],$Z$2:$Z$1183)</f>
        <v>0.2</v>
      </c>
      <c r="CN21" s="75">
        <f ca="1">AVERAGEIF($B$2:$B$1469,Tabela2[[#This Row],[T]],$AA$2:$AA$1203)</f>
        <v>0</v>
      </c>
      <c r="CO21" s="75">
        <f ca="1">AVERAGEIF($C$2:$C$1469,Tabela2[[#This Row],[T]],$AA$2:$AA$1203)</f>
        <v>0.2</v>
      </c>
      <c r="CP21" s="75">
        <f ca="1">AVERAGEIF($B$2:$B$1469,Tabela2[[#This Row],[T]],$AB$2:$AB$1203)</f>
        <v>0</v>
      </c>
      <c r="CQ21" s="75">
        <f ca="1">AVERAGEIF($C$2:$C$1469,Tabela2[[#This Row],[T]],$AB$2:$AB$1183)</f>
        <v>0.2</v>
      </c>
      <c r="CR21" s="243" t="str">
        <f>Tabela2[[#This Row],[T]]</f>
        <v>Vitoria</v>
      </c>
      <c r="CS21" s="75">
        <f ca="1">AVERAGEIF($B$2:$B$1469,Tabela2[[#This Row],[T]],$AC$2:$AC$1240)</f>
        <v>0.16666666666666666</v>
      </c>
      <c r="CT21" s="75">
        <f ca="1">AVERAGEIF($C$2:$C$1469,Tabela2[[#This Row],[T]],$AC$2:$AC$1220)</f>
        <v>0.6</v>
      </c>
      <c r="CU21" s="243" t="str">
        <f>Tabela2[[#This Row],[T]]</f>
        <v>Vitoria</v>
      </c>
      <c r="CV21" s="75">
        <f ca="1">AVERAGEIF($B$2:$B$1240,Tabela2[[#This Row],[T]],$L$2:$L$1205)</f>
        <v>0.47070951918420906</v>
      </c>
      <c r="CW21" s="75">
        <f ca="1">AVERAGEIF($C$2:$C$1240,Tabela2[[#This Row],[T]],$M$2:$M$1205)</f>
        <v>0.35432808155699719</v>
      </c>
      <c r="CX21" s="75">
        <f t="array" ref="CX21">_xlfn.STDEV.S(IF($B$2:$B$1203=Tabela2[[#This Row],[T]],$L$2:$L$1203))</f>
        <v>0.28120796955353294</v>
      </c>
      <c r="CY21" s="75">
        <f t="array" ref="CY21">_xlfn.STDEV.S(IF($C$2:$C$1203=Tabela2[[#This Row],[T]],$M$2:$M$1203))</f>
        <v>0.34888085432389121</v>
      </c>
      <c r="CZ21" s="75">
        <f ca="1">Tabela2[[#This Row],[DPPGC]]/Tabela2[[#This Row],[PESOGC]]</f>
        <v>0.59741296509341268</v>
      </c>
      <c r="DA21" s="75">
        <f ca="1">Tabela2[[#This Row],[DPPGV]]/Tabela2[[#This Row],[PESOGV]]</f>
        <v>0.98462660027065974</v>
      </c>
      <c r="DB21" s="243" t="str">
        <f>Tabela2[[#This Row],[T]]</f>
        <v>Vitoria</v>
      </c>
      <c r="DC21" s="75">
        <f ca="1">AVERAGEIF($B$2:$B$1240,Tabela2[[#This Row],[T]],$AO$2:$AO$1205)</f>
        <v>0.37075526980475737</v>
      </c>
      <c r="DD21" s="75">
        <f ca="1">AVERAGEIF($C$2:$C$1240,Tabela2[[#This Row],[T]],$AP$2:$AP$1205)</f>
        <v>0.53082251082251086</v>
      </c>
      <c r="DE21" s="75">
        <f t="array" ref="DE21">_xlfn.STDEV.S(IF($B$2:$B$1203=Tabela2[[#This Row],[T]],$AO$2:$AO$1203))</f>
        <v>0.31910567595985784</v>
      </c>
      <c r="DF21" s="75">
        <f t="array" ref="DF21">_xlfn.STDEV.S(IF($C$2:$C$1203=Tabela2[[#This Row],[T]],$AP$2:$AP$1203))</f>
        <v>0.43864846235836352</v>
      </c>
      <c r="DG21" s="75">
        <f ca="1">Tabela2[[#This Row],[DPCGC]]/Tabela2[[#This Row],[CUSTGC]]</f>
        <v>0.86069087063253713</v>
      </c>
      <c r="DH21" s="75">
        <f ca="1">Tabela2[[#This Row],[DPCGV]]/Tabela2[[#This Row],[CUSTGV]]</f>
        <v>0.82635618010750256</v>
      </c>
      <c r="DI21" s="243" t="str">
        <f>Tabela2[[#This Row],[T]]</f>
        <v>Vitoria</v>
      </c>
      <c r="DJ21" s="88">
        <f t="shared" ca="1" si="12"/>
        <v>6.5</v>
      </c>
      <c r="DK21" s="89">
        <f t="shared" ca="1" si="13"/>
        <v>2.3000000000000003</v>
      </c>
      <c r="DL21" s="243" t="str">
        <f>Tabela2[[#This Row],[T]]</f>
        <v>Vitoria</v>
      </c>
      <c r="DM21" s="82">
        <f ca="1">SUMIF($B$2:$B$1340,Tabela2[[#This Row],[T]],$R$2:$R$1240)</f>
        <v>3.6799999999999997</v>
      </c>
      <c r="DN21" s="83">
        <f ca="1">SUMIF($C$2:$C$1340,Tabela2[[#This Row],[T]],$S$2:$S$1240)</f>
        <v>-5</v>
      </c>
      <c r="DO21" s="83">
        <f>SUMIF($B$2:$B$1240,Tabela2[[#This Row],[T]],$T$2:$T$1240)</f>
        <v>-3</v>
      </c>
      <c r="DP21" s="83">
        <f>SUMIF($C$2:$C$1240,Tabela2[[#This Row],[T]],$T$2:$T$1240)</f>
        <v>1.8000000000000003</v>
      </c>
      <c r="DR21" s="237"/>
      <c r="DS21" s="237"/>
    </row>
    <row r="22" spans="1:123" x14ac:dyDescent="0.25">
      <c r="A22" s="4">
        <v>46064</v>
      </c>
      <c r="B22" t="s">
        <v>390</v>
      </c>
      <c r="C22" t="s">
        <v>387</v>
      </c>
      <c r="D22">
        <v>3</v>
      </c>
      <c r="E22">
        <v>3</v>
      </c>
      <c r="F22" t="s">
        <v>348</v>
      </c>
      <c r="G22">
        <v>2.7</v>
      </c>
      <c r="H22">
        <v>3.2</v>
      </c>
      <c r="I22">
        <v>2.65</v>
      </c>
      <c r="J22" s="68">
        <f t="shared" si="14"/>
        <v>1</v>
      </c>
      <c r="K22" s="68">
        <f t="shared" si="15"/>
        <v>1</v>
      </c>
      <c r="L22" s="69">
        <f t="shared" si="16"/>
        <v>1.1320754716981132</v>
      </c>
      <c r="M22" s="69">
        <f t="shared" si="17"/>
        <v>1.1111111111111109</v>
      </c>
      <c r="N22" s="69">
        <f>IF(A22="","",Tabela1[[#This Row],[PTC]]*Tabela1[[#This Row],[ODDC]])</f>
        <v>2.7</v>
      </c>
      <c r="O22" s="69">
        <f>IF(A22="","",Tabela1[[#This Row],[PTV]]*Tabela1[[#This Row],[ODDV]])</f>
        <v>2.65</v>
      </c>
      <c r="P22" s="68">
        <f t="shared" si="18"/>
        <v>0</v>
      </c>
      <c r="Q22" s="68">
        <f t="shared" si="19"/>
        <v>0</v>
      </c>
      <c r="R22" s="68">
        <f t="shared" si="20"/>
        <v>-1</v>
      </c>
      <c r="S22" s="68">
        <f t="shared" si="21"/>
        <v>-1</v>
      </c>
      <c r="T22" s="68">
        <f>IF(A22="","",IF(F22="D",Tabela1[[#This Row],[ODDE]]-1,-1))</f>
        <v>2.2000000000000002</v>
      </c>
      <c r="U22" s="70">
        <f>IF(A22="","",IF(AND(Tabela1[[#This Row],[FTHG]]&gt;3,F22="H"),1,0))</f>
        <v>0</v>
      </c>
      <c r="V22" s="70">
        <f>IF(A22="","",IF(AND(Tabela1[[#This Row],[FTAG]]&gt;3,F22="A"),1,0))</f>
        <v>0</v>
      </c>
      <c r="W22" s="70">
        <f t="shared" si="22"/>
        <v>1</v>
      </c>
      <c r="X22" s="70">
        <f t="shared" si="23"/>
        <v>1</v>
      </c>
      <c r="Y22" s="71">
        <f t="shared" si="24"/>
        <v>1</v>
      </c>
      <c r="Z22" s="70">
        <f t="shared" si="25"/>
        <v>1</v>
      </c>
      <c r="AA22" s="70">
        <f t="shared" si="26"/>
        <v>1</v>
      </c>
      <c r="AB22" s="70">
        <f t="shared" si="27"/>
        <v>1</v>
      </c>
      <c r="AC22" s="71">
        <f t="shared" si="28"/>
        <v>1</v>
      </c>
      <c r="AD22" s="72" t="str">
        <f t="shared" si="29"/>
        <v>FEV</v>
      </c>
      <c r="AE22" s="73">
        <f>IF(A22="","",COUNT($N$2:N22))</f>
        <v>21</v>
      </c>
      <c r="AF22" s="74">
        <f t="shared" si="30"/>
        <v>0</v>
      </c>
      <c r="AG22" s="74">
        <f t="shared" si="31"/>
        <v>1</v>
      </c>
      <c r="AH22" s="74">
        <f t="shared" si="32"/>
        <v>0</v>
      </c>
      <c r="AI22" s="74" t="str">
        <f t="shared" si="33"/>
        <v>2,41-3,0</v>
      </c>
      <c r="AJ22" s="74" t="str">
        <f t="shared" si="34"/>
        <v>2,41-3,0</v>
      </c>
      <c r="AK22" s="74">
        <f>IF(A22="","",1/Tabela1[[#This Row],[ODDC]])</f>
        <v>0.37037037037037035</v>
      </c>
      <c r="AL22" s="74">
        <f>IF(A22="","",1/Tabela1[[#This Row],[ODDE]])</f>
        <v>0.3125</v>
      </c>
      <c r="AM22" s="74">
        <f>IF(A22="","",1/Tabela1[[#This Row],[ODDV]])</f>
        <v>0.37735849056603776</v>
      </c>
      <c r="AN22" s="74">
        <f>IF(A22="","",1-(Tabela1[[#This Row],[p(H)]]+Tabela1[[#This Row],[p(D)]]+Tabela1[[#This Row],[p(A)]]))</f>
        <v>-6.0228860936408113E-2</v>
      </c>
      <c r="AO22" s="74">
        <f>IF(A22="","",IFERROR(Tabela1[[#This Row],[p(H)]]/Tabela1[[#This Row],[FTHG]],1))</f>
        <v>0.12345679012345678</v>
      </c>
      <c r="AP22" s="74">
        <f>IF(A22="","",IFERROR(Tabela1[[#This Row],[p(A)]]/Tabela1[[#This Row],[FTAG]],1))</f>
        <v>0.12578616352201258</v>
      </c>
      <c r="AQ22" s="92"/>
      <c r="AR22" s="92">
        <f t="shared" ref="AR22:AW22" si="35">AVERAGE(AR2:AR21)</f>
        <v>1.7820238095238092</v>
      </c>
      <c r="AS22" s="92">
        <f t="shared" si="35"/>
        <v>0.96726190476190455</v>
      </c>
      <c r="AT22" s="92">
        <f t="shared" si="35"/>
        <v>1.1789989888551917</v>
      </c>
      <c r="AU22" s="92">
        <f t="shared" si="35"/>
        <v>1.0519970140616099</v>
      </c>
      <c r="AV22" s="92">
        <f t="shared" si="35"/>
        <v>0.79004185418905093</v>
      </c>
      <c r="AW22" s="92">
        <f t="shared" si="35"/>
        <v>1.3457576966448981</v>
      </c>
      <c r="AX22" s="92"/>
      <c r="AY22" s="92">
        <f ca="1">AVERAGE(AY2:AY21)</f>
        <v>7.4642857142857136E-2</v>
      </c>
      <c r="AZ22" s="92">
        <f t="shared" ref="AZ22:BB22" ca="1" si="36">AVERAGE(AZ2:AZ21)</f>
        <v>1.4285714285714285E-2</v>
      </c>
      <c r="BA22" s="92">
        <f t="shared" ca="1" si="36"/>
        <v>1.4285714285714285E-2</v>
      </c>
      <c r="BB22" s="92">
        <f t="shared" ca="1" si="36"/>
        <v>6.9761904761904761E-2</v>
      </c>
      <c r="BC22" s="75">
        <f>Tabela2[[#This Row],[T]]</f>
        <v>0</v>
      </c>
      <c r="BD22" s="92">
        <f t="shared" ref="BD22:BI22" si="37">AVERAGE(BD2:BD21)</f>
        <v>1.6070238095238096</v>
      </c>
      <c r="BE22" s="92">
        <f t="shared" si="37"/>
        <v>1.0415476190476192</v>
      </c>
      <c r="BF22" s="92">
        <f t="shared" si="37"/>
        <v>1.1358431590071016</v>
      </c>
      <c r="BG22" s="92">
        <f t="shared" si="37"/>
        <v>0.82577659514127788</v>
      </c>
      <c r="BH22" s="92">
        <f t="shared" si="37"/>
        <v>0.75832865716859721</v>
      </c>
      <c r="BI22" s="92">
        <f t="shared" si="37"/>
        <v>0.9063826423545821</v>
      </c>
      <c r="BJ22" s="75">
        <f>Tabela2[[#This Row],[T]]</f>
        <v>0</v>
      </c>
      <c r="BK22" s="92">
        <f t="shared" ref="BK22:BP22" si="38">AVERAGE(BK2:BK21)</f>
        <v>1.0432142857142854</v>
      </c>
      <c r="BL22" s="92">
        <f t="shared" si="38"/>
        <v>1.5901190476190479</v>
      </c>
      <c r="BM22" s="92">
        <f t="shared" si="38"/>
        <v>0.86833097381901303</v>
      </c>
      <c r="BN22" s="92">
        <f t="shared" si="38"/>
        <v>1.0396582840190534</v>
      </c>
      <c r="BO22" s="92">
        <f t="shared" si="38"/>
        <v>0.93595300508632095</v>
      </c>
      <c r="BP22" s="92">
        <f t="shared" si="38"/>
        <v>0.67762513548314263</v>
      </c>
      <c r="BQ22" s="75">
        <f>Tabela2[[#This Row],[T]]</f>
        <v>0</v>
      </c>
      <c r="BR22" s="92">
        <f t="shared" ref="BR22:BW22" si="39">AVERAGE(BR2:BR21)</f>
        <v>1</v>
      </c>
      <c r="BS22" s="92">
        <f t="shared" si="39"/>
        <v>1</v>
      </c>
      <c r="BT22" s="92">
        <f t="shared" si="39"/>
        <v>1.0000000000000004</v>
      </c>
      <c r="BU22" s="92">
        <f t="shared" si="39"/>
        <v>0.99999999999999978</v>
      </c>
      <c r="BV22" s="92">
        <f t="shared" si="39"/>
        <v>-3.497202527569243E-16</v>
      </c>
      <c r="BW22" s="92">
        <f t="shared" si="39"/>
        <v>4.9960036108132046E-17</v>
      </c>
      <c r="BX22" s="75">
        <f>Tabela2[[#This Row],[T]]</f>
        <v>0</v>
      </c>
      <c r="BY22" s="92">
        <f t="shared" ref="BY22:DH22" ca="1" si="40">AVERAGE(BY2:BY21)</f>
        <v>2.2111214285714285</v>
      </c>
      <c r="BZ22" s="92">
        <f t="shared" ca="1" si="40"/>
        <v>4.2646964285714288</v>
      </c>
      <c r="CA22" s="92">
        <f t="shared" si="40"/>
        <v>0.53491721599110087</v>
      </c>
      <c r="CB22" s="92">
        <f t="shared" si="40"/>
        <v>1.4895666017063567</v>
      </c>
      <c r="CC22" s="92">
        <f t="shared" ca="1" si="40"/>
        <v>0.23235995152075262</v>
      </c>
      <c r="CD22" s="92">
        <f t="shared" ca="1" si="40"/>
        <v>0.32657381137010943</v>
      </c>
      <c r="CE22" s="92">
        <f>Tabela2[[#This Row],[T]]</f>
        <v>0</v>
      </c>
      <c r="CF22" s="92">
        <f t="shared" ca="1" si="40"/>
        <v>0.95190476190476192</v>
      </c>
      <c r="CG22" s="92">
        <f t="shared" ca="1" si="40"/>
        <v>0.95071428571428584</v>
      </c>
      <c r="CH22" s="92">
        <f t="shared" ca="1" si="40"/>
        <v>0.78499999999999992</v>
      </c>
      <c r="CI22" s="92">
        <f t="shared" ca="1" si="40"/>
        <v>0.7857142857142857</v>
      </c>
      <c r="CJ22" s="92">
        <f t="shared" ca="1" si="40"/>
        <v>0.48357142857142865</v>
      </c>
      <c r="CK22" s="92">
        <f t="shared" ca="1" si="40"/>
        <v>0.47595238095238102</v>
      </c>
      <c r="CL22" s="92">
        <f t="shared" ca="1" si="40"/>
        <v>0.22297619047619052</v>
      </c>
      <c r="CM22" s="92">
        <f t="shared" ca="1" si="40"/>
        <v>0.21785714285714289</v>
      </c>
      <c r="CN22" s="92">
        <f t="shared" ca="1" si="40"/>
        <v>0.12869047619047619</v>
      </c>
      <c r="CO22" s="92">
        <f t="shared" ca="1" si="40"/>
        <v>0.1273809523809524</v>
      </c>
      <c r="CP22" s="92">
        <f t="shared" ca="1" si="40"/>
        <v>5.8095238095238103E-2</v>
      </c>
      <c r="CQ22" s="92">
        <f t="shared" ca="1" si="40"/>
        <v>5.9761904761904759E-2</v>
      </c>
      <c r="CR22" s="92">
        <f>Tabela2[[#This Row],[T]]</f>
        <v>0</v>
      </c>
      <c r="CS22" s="92">
        <f t="shared" ca="1" si="40"/>
        <v>0.55928571428571439</v>
      </c>
      <c r="CT22" s="92">
        <f t="shared" ca="1" si="40"/>
        <v>0.56892857142857145</v>
      </c>
      <c r="CU22" s="92">
        <f>Tabela2[[#This Row],[T]]</f>
        <v>0</v>
      </c>
      <c r="CV22" s="92">
        <f t="shared" ca="1" si="40"/>
        <v>0.42363898011541468</v>
      </c>
      <c r="CW22" s="92">
        <f t="shared" ca="1" si="40"/>
        <v>0.47439728825058314</v>
      </c>
      <c r="CX22" s="92">
        <f t="shared" si="40"/>
        <v>0.32186986052006639</v>
      </c>
      <c r="CY22" s="92">
        <f t="shared" si="40"/>
        <v>0.40187668163733248</v>
      </c>
      <c r="CZ22" s="92">
        <f t="shared" ca="1" si="40"/>
        <v>0.74453312679421657</v>
      </c>
      <c r="DA22" s="92">
        <f t="shared" ca="1" si="40"/>
        <v>0.94657334280186201</v>
      </c>
      <c r="DB22" s="92">
        <f>Tabela2[[#This Row],[T]]</f>
        <v>0</v>
      </c>
      <c r="DC22" s="92">
        <f t="shared" ca="1" si="40"/>
        <v>0.43642939474508652</v>
      </c>
      <c r="DD22" s="92">
        <f t="shared" ca="1" si="40"/>
        <v>0.4710589693099223</v>
      </c>
      <c r="DE22" s="92">
        <f t="shared" si="40"/>
        <v>0.28559056930120874</v>
      </c>
      <c r="DF22" s="92">
        <f t="shared" si="40"/>
        <v>0.35529158577470016</v>
      </c>
      <c r="DG22" s="92">
        <f t="shared" ca="1" si="40"/>
        <v>0.66256198564963675</v>
      </c>
      <c r="DH22" s="92">
        <f t="shared" ca="1" si="40"/>
        <v>0.79173021502228336</v>
      </c>
      <c r="DI22" s="92">
        <f>Tabela2[[#This Row],[T]]</f>
        <v>0</v>
      </c>
      <c r="DJ22" s="92">
        <f ca="1">AVERAGE(DJ2:DJ21)</f>
        <v>3.8138645975056691</v>
      </c>
      <c r="DK22" s="92">
        <f ca="1">AVERAGE(DK2:DK21)</f>
        <v>3.7128514597505662</v>
      </c>
      <c r="DL22" s="92">
        <f>Tabela2[[#This Row],[T]]</f>
        <v>0</v>
      </c>
      <c r="DM22" s="92">
        <f t="shared" ref="DM22:DP22" ca="1" si="41">AVERAGE(DM2:DM21)</f>
        <v>-9.200000000000004E-2</v>
      </c>
      <c r="DN22" s="92">
        <f t="shared" ca="1" si="41"/>
        <v>-0.99249999999999994</v>
      </c>
      <c r="DO22" s="92">
        <f t="shared" si="41"/>
        <v>-0.63500000000000001</v>
      </c>
      <c r="DP22" s="92">
        <f t="shared" si="41"/>
        <v>-0.63499999999999968</v>
      </c>
      <c r="DR22" s="237"/>
      <c r="DS22" s="237"/>
    </row>
    <row r="23" spans="1:123" x14ac:dyDescent="0.25">
      <c r="A23" s="4">
        <v>46064</v>
      </c>
      <c r="B23" t="s">
        <v>382</v>
      </c>
      <c r="C23" t="s">
        <v>358</v>
      </c>
      <c r="D23">
        <v>2</v>
      </c>
      <c r="E23">
        <v>2</v>
      </c>
      <c r="F23" t="s">
        <v>348</v>
      </c>
      <c r="G23">
        <v>2.4</v>
      </c>
      <c r="H23">
        <v>3</v>
      </c>
      <c r="I23">
        <v>3.2</v>
      </c>
      <c r="J23" s="68">
        <f t="shared" si="14"/>
        <v>1</v>
      </c>
      <c r="K23" s="68">
        <f t="shared" si="15"/>
        <v>1</v>
      </c>
      <c r="L23" s="69">
        <f t="shared" si="16"/>
        <v>0.625</v>
      </c>
      <c r="M23" s="69">
        <f t="shared" si="17"/>
        <v>0.83333333333333337</v>
      </c>
      <c r="N23" s="69">
        <f>IF(A23="","",Tabela1[[#This Row],[PTC]]*Tabela1[[#This Row],[ODDC]])</f>
        <v>2.4</v>
      </c>
      <c r="O23" s="69">
        <f>IF(A23="","",Tabela1[[#This Row],[PTV]]*Tabela1[[#This Row],[ODDV]])</f>
        <v>3.2</v>
      </c>
      <c r="P23" s="68">
        <f t="shared" si="18"/>
        <v>0</v>
      </c>
      <c r="Q23" s="68">
        <f t="shared" si="19"/>
        <v>0</v>
      </c>
      <c r="R23" s="68">
        <f t="shared" si="20"/>
        <v>-1</v>
      </c>
      <c r="S23" s="68">
        <f t="shared" si="21"/>
        <v>-1</v>
      </c>
      <c r="T23" s="68">
        <f>IF(A23="","",IF(F23="D",Tabela1[[#This Row],[ODDE]]-1,-1))</f>
        <v>2</v>
      </c>
      <c r="U23" s="70">
        <f>IF(A23="","",IF(AND(Tabela1[[#This Row],[FTHG]]&gt;3,F23="H"),1,0))</f>
        <v>0</v>
      </c>
      <c r="V23" s="70">
        <f>IF(A23="","",IF(AND(Tabela1[[#This Row],[FTAG]]&gt;3,F23="A"),1,0))</f>
        <v>0</v>
      </c>
      <c r="W23" s="70">
        <f t="shared" si="22"/>
        <v>1</v>
      </c>
      <c r="X23" s="70">
        <f t="shared" si="23"/>
        <v>1</v>
      </c>
      <c r="Y23" s="71">
        <f t="shared" si="24"/>
        <v>1</v>
      </c>
      <c r="Z23" s="70">
        <f t="shared" si="25"/>
        <v>1</v>
      </c>
      <c r="AA23" s="70">
        <f t="shared" si="26"/>
        <v>0</v>
      </c>
      <c r="AB23" s="70">
        <f t="shared" si="27"/>
        <v>0</v>
      </c>
      <c r="AC23" s="71">
        <f t="shared" si="28"/>
        <v>1</v>
      </c>
      <c r="AD23" s="72" t="str">
        <f t="shared" si="29"/>
        <v>FEV</v>
      </c>
      <c r="AE23" s="73">
        <f>IF(A23="","",COUNT($N$2:N23))</f>
        <v>22</v>
      </c>
      <c r="AF23" s="74">
        <f t="shared" si="30"/>
        <v>0</v>
      </c>
      <c r="AG23" s="74">
        <f t="shared" si="31"/>
        <v>1</v>
      </c>
      <c r="AH23" s="74">
        <f t="shared" si="32"/>
        <v>0</v>
      </c>
      <c r="AI23" s="74" t="str">
        <f t="shared" si="33"/>
        <v>2,01-2,4</v>
      </c>
      <c r="AJ23" s="74" t="str">
        <f t="shared" si="34"/>
        <v>3,01-4.0</v>
      </c>
      <c r="AK23" s="74">
        <f>IF(A23="","",1/Tabela1[[#This Row],[ODDC]])</f>
        <v>0.41666666666666669</v>
      </c>
      <c r="AL23" s="74">
        <f>IF(A23="","",1/Tabela1[[#This Row],[ODDE]])</f>
        <v>0.33333333333333331</v>
      </c>
      <c r="AM23" s="74">
        <f>IF(A23="","",1/Tabela1[[#This Row],[ODDV]])</f>
        <v>0.3125</v>
      </c>
      <c r="AN23" s="74">
        <f>IF(A23="","",1-(Tabela1[[#This Row],[p(H)]]+Tabela1[[#This Row],[p(D)]]+Tabela1[[#This Row],[p(A)]]))</f>
        <v>-6.25E-2</v>
      </c>
      <c r="AO23" s="74">
        <f>IF(A23="","",IFERROR(Tabela1[[#This Row],[p(H)]]/Tabela1[[#This Row],[FTHG]],1))</f>
        <v>0.20833333333333334</v>
      </c>
      <c r="AP23" s="74">
        <f>IF(A23="","",IFERROR(Tabela1[[#This Row],[p(A)]]/Tabela1[[#This Row],[FTAG]],1))</f>
        <v>0.15625</v>
      </c>
      <c r="AQ23" s="93"/>
      <c r="AR23" s="75"/>
      <c r="AS23" s="75"/>
      <c r="AT23" s="75"/>
      <c r="AU23" s="75"/>
      <c r="AV23" s="75"/>
      <c r="AW23" s="75"/>
      <c r="AX23" s="93"/>
      <c r="AY23" s="75"/>
      <c r="AZ23" s="75"/>
      <c r="BA23" s="75"/>
      <c r="BB23" s="75"/>
      <c r="BC23" s="93"/>
      <c r="BD23" s="75"/>
      <c r="BE23" s="75"/>
      <c r="BF23" s="75"/>
      <c r="BG23" s="75"/>
      <c r="BH23" s="75"/>
      <c r="BI23" s="75"/>
      <c r="BJ23" s="93"/>
      <c r="BK23" s="75"/>
      <c r="BL23" s="75"/>
      <c r="BM23" s="75"/>
      <c r="BN23" s="75"/>
      <c r="BO23" s="75"/>
      <c r="BP23" s="75"/>
      <c r="BQ23" s="93"/>
      <c r="BR23" s="79"/>
      <c r="BS23" s="79"/>
      <c r="BT23" s="79"/>
      <c r="BU23" s="79"/>
      <c r="BV23" s="75"/>
      <c r="BW23" s="75"/>
      <c r="BX23" s="93"/>
      <c r="BY23" s="75"/>
      <c r="BZ23" s="75"/>
      <c r="CA23" s="94"/>
      <c r="CB23" s="94"/>
      <c r="CC23" s="94"/>
      <c r="CD23" s="94"/>
      <c r="CE23" s="93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93"/>
      <c r="CS23" s="75"/>
      <c r="CT23" s="75"/>
      <c r="CU23" s="93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95"/>
      <c r="DN23" s="83"/>
      <c r="DO23" s="83"/>
      <c r="DP23" s="83"/>
      <c r="DR23" s="237"/>
    </row>
    <row r="24" spans="1:123" x14ac:dyDescent="0.25">
      <c r="A24" s="4">
        <v>46064</v>
      </c>
      <c r="B24" t="s">
        <v>359</v>
      </c>
      <c r="C24" t="s">
        <v>389</v>
      </c>
      <c r="D24">
        <v>3</v>
      </c>
      <c r="E24">
        <v>3</v>
      </c>
      <c r="F24" t="s">
        <v>348</v>
      </c>
      <c r="G24">
        <v>1.41</v>
      </c>
      <c r="H24">
        <v>4.5</v>
      </c>
      <c r="I24">
        <v>7.5</v>
      </c>
      <c r="J24" s="68">
        <f t="shared" si="14"/>
        <v>1</v>
      </c>
      <c r="K24" s="68">
        <f t="shared" si="15"/>
        <v>1</v>
      </c>
      <c r="L24" s="69">
        <f t="shared" si="16"/>
        <v>0.4</v>
      </c>
      <c r="M24" s="69">
        <f t="shared" si="17"/>
        <v>2.1276595744680851</v>
      </c>
      <c r="N24" s="69">
        <f>IF(A24="","",Tabela1[[#This Row],[PTC]]*Tabela1[[#This Row],[ODDC]])</f>
        <v>1.41</v>
      </c>
      <c r="O24" s="69">
        <f>IF(A24="","",Tabela1[[#This Row],[PTV]]*Tabela1[[#This Row],[ODDV]])</f>
        <v>7.5</v>
      </c>
      <c r="P24" s="68">
        <f t="shared" si="18"/>
        <v>0</v>
      </c>
      <c r="Q24" s="68">
        <f t="shared" si="19"/>
        <v>0</v>
      </c>
      <c r="R24" s="68">
        <f t="shared" si="20"/>
        <v>-1</v>
      </c>
      <c r="S24" s="68">
        <f t="shared" si="21"/>
        <v>-1</v>
      </c>
      <c r="T24" s="68">
        <f>IF(A24="","",IF(F24="D",Tabela1[[#This Row],[ODDE]]-1,-1))</f>
        <v>3.5</v>
      </c>
      <c r="U24" s="70">
        <f>IF(A24="","",IF(AND(Tabela1[[#This Row],[FTHG]]&gt;3,F24="H"),1,0))</f>
        <v>0</v>
      </c>
      <c r="V24" s="70">
        <f>IF(A24="","",IF(AND(Tabela1[[#This Row],[FTAG]]&gt;3,F24="A"),1,0))</f>
        <v>0</v>
      </c>
      <c r="W24" s="70">
        <f t="shared" si="22"/>
        <v>1</v>
      </c>
      <c r="X24" s="70">
        <f t="shared" si="23"/>
        <v>1</v>
      </c>
      <c r="Y24" s="71">
        <f t="shared" si="24"/>
        <v>1</v>
      </c>
      <c r="Z24" s="70">
        <f t="shared" si="25"/>
        <v>1</v>
      </c>
      <c r="AA24" s="70">
        <f t="shared" si="26"/>
        <v>1</v>
      </c>
      <c r="AB24" s="70">
        <f t="shared" si="27"/>
        <v>1</v>
      </c>
      <c r="AC24" s="71">
        <f t="shared" si="28"/>
        <v>1</v>
      </c>
      <c r="AD24" s="72" t="str">
        <f t="shared" si="29"/>
        <v>FEV</v>
      </c>
      <c r="AE24" s="73">
        <f>IF(A24="","",COUNT($N$2:N24))</f>
        <v>23</v>
      </c>
      <c r="AF24" s="74">
        <f t="shared" si="30"/>
        <v>0</v>
      </c>
      <c r="AG24" s="74">
        <f t="shared" si="31"/>
        <v>1</v>
      </c>
      <c r="AH24" s="74">
        <f t="shared" si="32"/>
        <v>0</v>
      </c>
      <c r="AI24" s="74" t="str">
        <f t="shared" si="33"/>
        <v>1,41-1,7</v>
      </c>
      <c r="AJ24" s="74" t="str">
        <f t="shared" si="34"/>
        <v>5,51-9,0</v>
      </c>
      <c r="AK24" s="74">
        <f>IF(A24="","",1/Tabela1[[#This Row],[ODDC]])</f>
        <v>0.70921985815602839</v>
      </c>
      <c r="AL24" s="74">
        <f>IF(A24="","",1/Tabela1[[#This Row],[ODDE]])</f>
        <v>0.22222222222222221</v>
      </c>
      <c r="AM24" s="74">
        <f>IF(A24="","",1/Tabela1[[#This Row],[ODDV]])</f>
        <v>0.13333333333333333</v>
      </c>
      <c r="AN24" s="74">
        <f>IF(A24="","",1-(Tabela1[[#This Row],[p(H)]]+Tabela1[[#This Row],[p(D)]]+Tabela1[[#This Row],[p(A)]]))</f>
        <v>-6.4775413711583907E-2</v>
      </c>
      <c r="AO24" s="74">
        <f>IF(A24="","",IFERROR(Tabela1[[#This Row],[p(H)]]/Tabela1[[#This Row],[FTHG]],1))</f>
        <v>0.2364066193853428</v>
      </c>
      <c r="AP24" s="74">
        <f>IF(A24="","",IFERROR(Tabela1[[#This Row],[p(A)]]/Tabela1[[#This Row],[FTAG]],1))</f>
        <v>4.4444444444444446E-2</v>
      </c>
      <c r="AQ24" s="96"/>
      <c r="AR24" s="75"/>
      <c r="AS24" s="75"/>
      <c r="AT24" s="75"/>
      <c r="AU24" s="75"/>
      <c r="AV24" s="75"/>
      <c r="AW24" s="75"/>
      <c r="AX24" s="96"/>
      <c r="AY24" s="75"/>
      <c r="AZ24" s="75"/>
      <c r="BA24" s="75"/>
      <c r="BB24" s="75"/>
      <c r="BC24" s="96"/>
      <c r="BD24" s="75"/>
      <c r="BE24" s="75"/>
      <c r="BF24" s="75"/>
      <c r="BG24" s="75"/>
      <c r="BH24" s="75"/>
      <c r="BI24" s="75"/>
      <c r="BJ24" s="96"/>
      <c r="BK24" s="75"/>
      <c r="BL24" s="75"/>
      <c r="BM24" s="75"/>
      <c r="BN24" s="75"/>
      <c r="BO24" s="75"/>
      <c r="BP24" s="75"/>
      <c r="BQ24" s="96"/>
      <c r="BR24" s="79"/>
      <c r="BS24" s="79"/>
      <c r="BT24" s="79"/>
      <c r="BU24" s="79"/>
      <c r="BV24" s="75"/>
      <c r="BW24" s="75"/>
      <c r="BX24" s="96"/>
      <c r="BY24" s="75"/>
      <c r="BZ24" s="75"/>
      <c r="CA24" s="94"/>
      <c r="CB24" s="94"/>
      <c r="CC24" s="94"/>
      <c r="CD24" s="94"/>
      <c r="CE24" s="96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96"/>
      <c r="CS24" s="75"/>
      <c r="CT24" s="75"/>
      <c r="CU24" s="96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95"/>
      <c r="DN24" s="83"/>
      <c r="DO24" s="83"/>
      <c r="DP24" s="83"/>
      <c r="DR24" s="237"/>
    </row>
    <row r="25" spans="1:123" x14ac:dyDescent="0.25">
      <c r="A25" s="4">
        <v>46065</v>
      </c>
      <c r="B25" t="s">
        <v>351</v>
      </c>
      <c r="C25" t="s">
        <v>361</v>
      </c>
      <c r="D25">
        <v>2</v>
      </c>
      <c r="E25">
        <v>0</v>
      </c>
      <c r="F25" t="s">
        <v>347</v>
      </c>
      <c r="G25">
        <v>1.91</v>
      </c>
      <c r="H25">
        <v>3.2</v>
      </c>
      <c r="I25">
        <v>4.2</v>
      </c>
      <c r="J25" s="68">
        <f t="shared" si="14"/>
        <v>3</v>
      </c>
      <c r="K25" s="68">
        <f t="shared" si="15"/>
        <v>0</v>
      </c>
      <c r="L25" s="69">
        <f t="shared" si="16"/>
        <v>0.47619047619047616</v>
      </c>
      <c r="M25" s="69">
        <f t="shared" si="17"/>
        <v>0</v>
      </c>
      <c r="N25" s="69">
        <f>IF(A25="","",Tabela1[[#This Row],[PTC]]*Tabela1[[#This Row],[ODDC]])</f>
        <v>5.7299999999999995</v>
      </c>
      <c r="O25" s="69">
        <f>IF(A25="","",Tabela1[[#This Row],[PTV]]*Tabela1[[#This Row],[ODDV]])</f>
        <v>0</v>
      </c>
      <c r="P25" s="68">
        <f t="shared" si="18"/>
        <v>2</v>
      </c>
      <c r="Q25" s="68">
        <f t="shared" si="19"/>
        <v>-2</v>
      </c>
      <c r="R25" s="68">
        <f t="shared" si="20"/>
        <v>0.90999999999999992</v>
      </c>
      <c r="S25" s="68">
        <f t="shared" si="21"/>
        <v>-1</v>
      </c>
      <c r="T25" s="68">
        <f>IF(A25="","",IF(F25="D",Tabela1[[#This Row],[ODDE]]-1,-1))</f>
        <v>-1</v>
      </c>
      <c r="U25" s="70">
        <f>IF(A25="","",IF(AND(Tabela1[[#This Row],[FTHG]]&gt;3,F25="H"),1,0))</f>
        <v>0</v>
      </c>
      <c r="V25" s="70">
        <f>IF(A25="","",IF(AND(Tabela1[[#This Row],[FTAG]]&gt;3,F25="A"),1,0))</f>
        <v>0</v>
      </c>
      <c r="W25" s="70">
        <f t="shared" si="22"/>
        <v>1</v>
      </c>
      <c r="X25" s="70">
        <f t="shared" si="23"/>
        <v>1</v>
      </c>
      <c r="Y25" s="71">
        <f t="shared" si="24"/>
        <v>0</v>
      </c>
      <c r="Z25" s="70">
        <f t="shared" si="25"/>
        <v>0</v>
      </c>
      <c r="AA25" s="70">
        <f t="shared" si="26"/>
        <v>0</v>
      </c>
      <c r="AB25" s="70">
        <f t="shared" si="27"/>
        <v>0</v>
      </c>
      <c r="AC25" s="71">
        <f t="shared" si="28"/>
        <v>0</v>
      </c>
      <c r="AD25" s="72" t="str">
        <f t="shared" si="29"/>
        <v>FEV</v>
      </c>
      <c r="AE25" s="73">
        <f>IF(A25="","",COUNT($N$2:N25))</f>
        <v>24</v>
      </c>
      <c r="AF25" s="74">
        <f t="shared" si="30"/>
        <v>1</v>
      </c>
      <c r="AG25" s="74">
        <f t="shared" si="31"/>
        <v>0</v>
      </c>
      <c r="AH25" s="74">
        <f t="shared" si="32"/>
        <v>0</v>
      </c>
      <c r="AI25" s="74" t="str">
        <f t="shared" si="33"/>
        <v>1,71-2,0</v>
      </c>
      <c r="AJ25" s="74" t="str">
        <f t="shared" si="34"/>
        <v>4,01-5,5</v>
      </c>
      <c r="AK25" s="74">
        <f>IF(A25="","",1/Tabela1[[#This Row],[ODDC]])</f>
        <v>0.52356020942408377</v>
      </c>
      <c r="AL25" s="74">
        <f>IF(A25="","",1/Tabela1[[#This Row],[ODDE]])</f>
        <v>0.3125</v>
      </c>
      <c r="AM25" s="74">
        <f>IF(A25="","",1/Tabela1[[#This Row],[ODDV]])</f>
        <v>0.23809523809523808</v>
      </c>
      <c r="AN25" s="74">
        <f>IF(A25="","",1-(Tabela1[[#This Row],[p(H)]]+Tabela1[[#This Row],[p(D)]]+Tabela1[[#This Row],[p(A)]]))</f>
        <v>-7.4155447519321793E-2</v>
      </c>
      <c r="AO25" s="74">
        <f>IF(A25="","",IFERROR(Tabela1[[#This Row],[p(H)]]/Tabela1[[#This Row],[FTHG]],1))</f>
        <v>0.26178010471204188</v>
      </c>
      <c r="AP25" s="74">
        <f>IF(A25="","",IFERROR(Tabela1[[#This Row],[p(A)]]/Tabela1[[#This Row],[FTAG]],1))</f>
        <v>1</v>
      </c>
      <c r="AQ25" s="93"/>
      <c r="AR25" s="75"/>
      <c r="AS25" s="75"/>
      <c r="AT25" s="75"/>
      <c r="AU25" s="75"/>
      <c r="AV25" s="75"/>
      <c r="AW25" s="75"/>
      <c r="AX25" s="93"/>
      <c r="AY25" s="75"/>
      <c r="AZ25" s="75"/>
      <c r="BA25" s="75"/>
      <c r="BB25" s="75"/>
      <c r="BC25" s="93"/>
      <c r="BD25" s="75"/>
      <c r="BE25" s="75"/>
      <c r="BF25" s="75"/>
      <c r="BG25" s="75"/>
      <c r="BH25" s="75"/>
      <c r="BI25" s="75"/>
      <c r="BJ25" s="93"/>
      <c r="BK25" s="75"/>
      <c r="BL25" s="75"/>
      <c r="BM25" s="75"/>
      <c r="BN25" s="75"/>
      <c r="BO25" s="75"/>
      <c r="BP25" s="75"/>
      <c r="BQ25" s="93"/>
      <c r="BR25" s="79"/>
      <c r="BS25" s="79"/>
      <c r="BT25" s="79"/>
      <c r="BU25" s="79"/>
      <c r="BV25" s="75"/>
      <c r="BW25" s="75"/>
      <c r="BX25" s="93"/>
      <c r="BY25" s="75"/>
      <c r="BZ25" s="75"/>
      <c r="CA25" s="94"/>
      <c r="CB25" s="94"/>
      <c r="CC25" s="94"/>
      <c r="CD25" s="94"/>
      <c r="CE25" s="93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93"/>
      <c r="CS25" s="75"/>
      <c r="CT25" s="75"/>
      <c r="CU25" s="93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95"/>
      <c r="DN25" s="83"/>
      <c r="DO25" s="83"/>
      <c r="DP25" s="83"/>
      <c r="DR25" s="237"/>
    </row>
    <row r="26" spans="1:123" x14ac:dyDescent="0.25">
      <c r="A26" s="4">
        <v>46065</v>
      </c>
      <c r="B26" t="s">
        <v>360</v>
      </c>
      <c r="C26" t="s">
        <v>356</v>
      </c>
      <c r="D26">
        <v>0</v>
      </c>
      <c r="E26">
        <v>1</v>
      </c>
      <c r="F26" t="s">
        <v>346</v>
      </c>
      <c r="G26">
        <v>2.2000000000000002</v>
      </c>
      <c r="H26">
        <v>3.3</v>
      </c>
      <c r="I26">
        <v>3.1</v>
      </c>
      <c r="J26" s="68">
        <f t="shared" si="14"/>
        <v>0</v>
      </c>
      <c r="K26" s="68">
        <f t="shared" si="15"/>
        <v>3</v>
      </c>
      <c r="L26" s="69">
        <f t="shared" si="16"/>
        <v>0</v>
      </c>
      <c r="M26" s="69">
        <f t="shared" si="17"/>
        <v>0.45454545454545453</v>
      </c>
      <c r="N26" s="69">
        <f>IF(A26="","",Tabela1[[#This Row],[PTC]]*Tabela1[[#This Row],[ODDC]])</f>
        <v>0</v>
      </c>
      <c r="O26" s="69">
        <f>IF(A26="","",Tabela1[[#This Row],[PTV]]*Tabela1[[#This Row],[ODDV]])</f>
        <v>9.3000000000000007</v>
      </c>
      <c r="P26" s="68">
        <f t="shared" si="18"/>
        <v>-1</v>
      </c>
      <c r="Q26" s="68">
        <f t="shared" si="19"/>
        <v>1</v>
      </c>
      <c r="R26" s="68">
        <f t="shared" si="20"/>
        <v>-1</v>
      </c>
      <c r="S26" s="68">
        <f t="shared" si="21"/>
        <v>2.1</v>
      </c>
      <c r="T26" s="68">
        <f>IF(A26="","",IF(F26="D",Tabela1[[#This Row],[ODDE]]-1,-1))</f>
        <v>-1</v>
      </c>
      <c r="U26" s="70">
        <f>IF(A26="","",IF(AND(Tabela1[[#This Row],[FTHG]]&gt;3,F26="H"),1,0))</f>
        <v>0</v>
      </c>
      <c r="V26" s="70">
        <f>IF(A26="","",IF(AND(Tabela1[[#This Row],[FTAG]]&gt;3,F26="A"),1,0))</f>
        <v>0</v>
      </c>
      <c r="W26" s="70">
        <f t="shared" si="22"/>
        <v>1</v>
      </c>
      <c r="X26" s="70">
        <f t="shared" si="23"/>
        <v>0</v>
      </c>
      <c r="Y26" s="71">
        <f t="shared" si="24"/>
        <v>0</v>
      </c>
      <c r="Z26" s="70">
        <f t="shared" si="25"/>
        <v>0</v>
      </c>
      <c r="AA26" s="70">
        <f t="shared" si="26"/>
        <v>0</v>
      </c>
      <c r="AB26" s="70">
        <f t="shared" si="27"/>
        <v>0</v>
      </c>
      <c r="AC26" s="71">
        <f t="shared" si="28"/>
        <v>0</v>
      </c>
      <c r="AD26" s="72" t="str">
        <f t="shared" si="29"/>
        <v>FEV</v>
      </c>
      <c r="AE26" s="73">
        <f>IF(A26="","",COUNT($N$2:N26))</f>
        <v>25</v>
      </c>
      <c r="AF26" s="74">
        <f t="shared" si="30"/>
        <v>0</v>
      </c>
      <c r="AG26" s="74">
        <f t="shared" si="31"/>
        <v>0</v>
      </c>
      <c r="AH26" s="74">
        <f t="shared" si="32"/>
        <v>1</v>
      </c>
      <c r="AI26" s="74" t="str">
        <f t="shared" si="33"/>
        <v>2,01-2,4</v>
      </c>
      <c r="AJ26" s="74" t="str">
        <f t="shared" si="34"/>
        <v>3,01-4.0</v>
      </c>
      <c r="AK26" s="74">
        <f>IF(A26="","",1/Tabela1[[#This Row],[ODDC]])</f>
        <v>0.45454545454545453</v>
      </c>
      <c r="AL26" s="74">
        <f>IF(A26="","",1/Tabela1[[#This Row],[ODDE]])</f>
        <v>0.30303030303030304</v>
      </c>
      <c r="AM26" s="74">
        <f>IF(A26="","",1/Tabela1[[#This Row],[ODDV]])</f>
        <v>0.32258064516129031</v>
      </c>
      <c r="AN26" s="74">
        <f>IF(A26="","",1-(Tabela1[[#This Row],[p(H)]]+Tabela1[[#This Row],[p(D)]]+Tabela1[[#This Row],[p(A)]]))</f>
        <v>-8.0156402737047827E-2</v>
      </c>
      <c r="AO26" s="74">
        <f>IF(A26="","",IFERROR(Tabela1[[#This Row],[p(H)]]/Tabela1[[#This Row],[FTHG]],1))</f>
        <v>1</v>
      </c>
      <c r="AP26" s="74">
        <f>IF(A26="","",IFERROR(Tabela1[[#This Row],[p(A)]]/Tabela1[[#This Row],[FTAG]],1))</f>
        <v>0.32258064516129031</v>
      </c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97"/>
      <c r="BD26" s="97"/>
      <c r="BE26" s="97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5"/>
      <c r="DN26" s="75"/>
      <c r="DO26" s="75"/>
      <c r="DP26" s="75"/>
      <c r="DR26" s="237"/>
    </row>
    <row r="27" spans="1:123" x14ac:dyDescent="0.25">
      <c r="A27" s="4">
        <v>46065</v>
      </c>
      <c r="B27" t="s">
        <v>388</v>
      </c>
      <c r="C27" t="s">
        <v>362</v>
      </c>
      <c r="D27">
        <v>2</v>
      </c>
      <c r="E27">
        <v>1</v>
      </c>
      <c r="F27" t="s">
        <v>347</v>
      </c>
      <c r="G27">
        <v>1.96</v>
      </c>
      <c r="H27">
        <v>3.25</v>
      </c>
      <c r="I27">
        <v>4</v>
      </c>
      <c r="J27" s="68">
        <f t="shared" si="14"/>
        <v>3</v>
      </c>
      <c r="K27" s="68">
        <f t="shared" si="15"/>
        <v>0</v>
      </c>
      <c r="L27" s="69">
        <f t="shared" si="16"/>
        <v>0.5</v>
      </c>
      <c r="M27" s="69">
        <f t="shared" si="17"/>
        <v>0.51020408163265307</v>
      </c>
      <c r="N27" s="69">
        <f>IF(A27="","",Tabela1[[#This Row],[PTC]]*Tabela1[[#This Row],[ODDC]])</f>
        <v>5.88</v>
      </c>
      <c r="O27" s="69">
        <f>IF(A27="","",Tabela1[[#This Row],[PTV]]*Tabela1[[#This Row],[ODDV]])</f>
        <v>0</v>
      </c>
      <c r="P27" s="68">
        <f t="shared" si="18"/>
        <v>1</v>
      </c>
      <c r="Q27" s="68">
        <f t="shared" si="19"/>
        <v>-1</v>
      </c>
      <c r="R27" s="68">
        <f t="shared" si="20"/>
        <v>0.96</v>
      </c>
      <c r="S27" s="68">
        <f t="shared" si="21"/>
        <v>-1</v>
      </c>
      <c r="T27" s="68">
        <f>IF(A27="","",IF(F27="D",Tabela1[[#This Row],[ODDE]]-1,-1))</f>
        <v>-1</v>
      </c>
      <c r="U27" s="70">
        <f>IF(A27="","",IF(AND(Tabela1[[#This Row],[FTHG]]&gt;3,F27="H"),1,0))</f>
        <v>0</v>
      </c>
      <c r="V27" s="70">
        <f>IF(A27="","",IF(AND(Tabela1[[#This Row],[FTAG]]&gt;3,F27="A"),1,0))</f>
        <v>0</v>
      </c>
      <c r="W27" s="70">
        <f t="shared" si="22"/>
        <v>1</v>
      </c>
      <c r="X27" s="70">
        <f t="shared" si="23"/>
        <v>1</v>
      </c>
      <c r="Y27" s="71">
        <f t="shared" si="24"/>
        <v>1</v>
      </c>
      <c r="Z27" s="70">
        <f t="shared" si="25"/>
        <v>0</v>
      </c>
      <c r="AA27" s="70">
        <f t="shared" si="26"/>
        <v>0</v>
      </c>
      <c r="AB27" s="70">
        <f t="shared" si="27"/>
        <v>0</v>
      </c>
      <c r="AC27" s="71">
        <f t="shared" si="28"/>
        <v>1</v>
      </c>
      <c r="AD27" s="72" t="str">
        <f t="shared" si="29"/>
        <v>FEV</v>
      </c>
      <c r="AE27" s="73">
        <f>IF(A27="","",COUNT($N$2:N27))</f>
        <v>26</v>
      </c>
      <c r="AF27" s="74">
        <f t="shared" si="30"/>
        <v>1</v>
      </c>
      <c r="AG27" s="74">
        <f t="shared" si="31"/>
        <v>0</v>
      </c>
      <c r="AH27" s="74">
        <f t="shared" si="32"/>
        <v>0</v>
      </c>
      <c r="AI27" s="74" t="str">
        <f t="shared" si="33"/>
        <v>1,71-2,0</v>
      </c>
      <c r="AJ27" s="74" t="str">
        <f t="shared" si="34"/>
        <v>3,01-4.0</v>
      </c>
      <c r="AK27" s="74">
        <f>IF(A27="","",1/Tabela1[[#This Row],[ODDC]])</f>
        <v>0.51020408163265307</v>
      </c>
      <c r="AL27" s="74">
        <f>IF(A27="","",1/Tabela1[[#This Row],[ODDE]])</f>
        <v>0.30769230769230771</v>
      </c>
      <c r="AM27" s="74">
        <f>IF(A27="","",1/Tabela1[[#This Row],[ODDV]])</f>
        <v>0.25</v>
      </c>
      <c r="AN27" s="74">
        <f>IF(A27="","",1-(Tabela1[[#This Row],[p(H)]]+Tabela1[[#This Row],[p(D)]]+Tabela1[[#This Row],[p(A)]]))</f>
        <v>-6.7896389324960893E-2</v>
      </c>
      <c r="AO27" s="74">
        <f>IF(A27="","",IFERROR(Tabela1[[#This Row],[p(H)]]/Tabela1[[#This Row],[FTHG]],1))</f>
        <v>0.25510204081632654</v>
      </c>
      <c r="AP27" s="74">
        <f>IF(A27="","",IFERROR(Tabela1[[#This Row],[p(A)]]/Tabela1[[#This Row],[FTAG]],1))</f>
        <v>0.25</v>
      </c>
      <c r="AQ27" s="98"/>
      <c r="AR27" s="75"/>
      <c r="AS27" s="75"/>
      <c r="AT27" s="75"/>
      <c r="AU27" s="75"/>
      <c r="AV27" s="75"/>
      <c r="AW27" s="75"/>
      <c r="AX27" s="98"/>
      <c r="AY27" s="75"/>
      <c r="AZ27" s="75"/>
      <c r="BA27" s="75"/>
      <c r="BB27" s="75"/>
      <c r="BC27" s="99"/>
      <c r="BD27" s="97"/>
      <c r="BE27" s="97"/>
      <c r="BF27" s="97"/>
      <c r="BG27" s="97"/>
      <c r="BH27" s="100"/>
      <c r="BI27" s="97"/>
      <c r="BJ27" s="101"/>
      <c r="BK27" s="97"/>
      <c r="BL27" s="97"/>
      <c r="BM27" s="97"/>
      <c r="BN27" s="97"/>
      <c r="BO27" s="97"/>
      <c r="BP27" s="97"/>
      <c r="BQ27" s="97"/>
      <c r="BR27" s="97"/>
      <c r="BS27" s="75"/>
      <c r="BT27" s="75"/>
      <c r="BU27" s="75"/>
      <c r="BV27" s="75"/>
      <c r="BW27" s="75"/>
      <c r="BX27" s="98"/>
      <c r="BY27" s="94"/>
      <c r="BZ27" s="94"/>
      <c r="CA27" s="94"/>
      <c r="CB27" s="94"/>
      <c r="CC27" s="94"/>
      <c r="CD27" s="94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</row>
    <row r="28" spans="1:123" ht="18.75" x14ac:dyDescent="0.3">
      <c r="A28" s="4">
        <v>46065</v>
      </c>
      <c r="B28" t="s">
        <v>352</v>
      </c>
      <c r="C28" t="s">
        <v>350</v>
      </c>
      <c r="D28">
        <v>1</v>
      </c>
      <c r="E28">
        <v>0</v>
      </c>
      <c r="F28" t="s">
        <v>347</v>
      </c>
      <c r="G28">
        <v>1.76</v>
      </c>
      <c r="H28">
        <v>3.3</v>
      </c>
      <c r="I28">
        <v>5.5</v>
      </c>
      <c r="J28" s="68">
        <f t="shared" si="14"/>
        <v>3</v>
      </c>
      <c r="K28" s="68">
        <f t="shared" si="15"/>
        <v>0</v>
      </c>
      <c r="L28" s="69">
        <f t="shared" si="16"/>
        <v>0.18181818181818182</v>
      </c>
      <c r="M28" s="69">
        <f t="shared" si="17"/>
        <v>0</v>
      </c>
      <c r="N28" s="69">
        <f>IF(A28="","",Tabela1[[#This Row],[PTC]]*Tabela1[[#This Row],[ODDC]])</f>
        <v>5.28</v>
      </c>
      <c r="O28" s="69">
        <f>IF(A28="","",Tabela1[[#This Row],[PTV]]*Tabela1[[#This Row],[ODDV]])</f>
        <v>0</v>
      </c>
      <c r="P28" s="68">
        <f t="shared" si="18"/>
        <v>1</v>
      </c>
      <c r="Q28" s="68">
        <f t="shared" si="19"/>
        <v>-1</v>
      </c>
      <c r="R28" s="68">
        <f t="shared" si="20"/>
        <v>0.76</v>
      </c>
      <c r="S28" s="68">
        <f t="shared" si="21"/>
        <v>-1</v>
      </c>
      <c r="T28" s="68">
        <f>IF(A28="","",IF(F28="D",Tabela1[[#This Row],[ODDE]]-1,-1))</f>
        <v>-1</v>
      </c>
      <c r="U28" s="70">
        <f>IF(A28="","",IF(AND(Tabela1[[#This Row],[FTHG]]&gt;3,F28="H"),1,0))</f>
        <v>0</v>
      </c>
      <c r="V28" s="70">
        <f>IF(A28="","",IF(AND(Tabela1[[#This Row],[FTAG]]&gt;3,F28="A"),1,0))</f>
        <v>0</v>
      </c>
      <c r="W28" s="70">
        <f t="shared" si="22"/>
        <v>1</v>
      </c>
      <c r="X28" s="70">
        <f t="shared" si="23"/>
        <v>0</v>
      </c>
      <c r="Y28" s="71">
        <f t="shared" si="24"/>
        <v>0</v>
      </c>
      <c r="Z28" s="70">
        <f t="shared" si="25"/>
        <v>0</v>
      </c>
      <c r="AA28" s="70">
        <f t="shared" si="26"/>
        <v>0</v>
      </c>
      <c r="AB28" s="70">
        <f t="shared" si="27"/>
        <v>0</v>
      </c>
      <c r="AC28" s="71">
        <f t="shared" si="28"/>
        <v>0</v>
      </c>
      <c r="AD28" s="72" t="str">
        <f t="shared" si="29"/>
        <v>FEV</v>
      </c>
      <c r="AE28" s="73">
        <f>IF(A28="","",COUNT($N$2:N28))</f>
        <v>27</v>
      </c>
      <c r="AF28" s="74">
        <f t="shared" si="30"/>
        <v>1</v>
      </c>
      <c r="AG28" s="74">
        <f t="shared" si="31"/>
        <v>0</v>
      </c>
      <c r="AH28" s="74">
        <f t="shared" si="32"/>
        <v>0</v>
      </c>
      <c r="AI28" s="74" t="str">
        <f t="shared" si="33"/>
        <v>1,71-2,0</v>
      </c>
      <c r="AJ28" s="74" t="str">
        <f t="shared" si="34"/>
        <v>4,01-5,5</v>
      </c>
      <c r="AK28" s="74">
        <f>IF(A28="","",1/Tabela1[[#This Row],[ODDC]])</f>
        <v>0.56818181818181823</v>
      </c>
      <c r="AL28" s="74">
        <f>IF(A28="","",1/Tabela1[[#This Row],[ODDE]])</f>
        <v>0.30303030303030304</v>
      </c>
      <c r="AM28" s="74">
        <f>IF(A28="","",1/Tabela1[[#This Row],[ODDV]])</f>
        <v>0.18181818181818182</v>
      </c>
      <c r="AN28" s="74">
        <f>IF(A28="","",1-(Tabela1[[#This Row],[p(H)]]+Tabela1[[#This Row],[p(D)]]+Tabela1[[#This Row],[p(A)]]))</f>
        <v>-5.3030303030303205E-2</v>
      </c>
      <c r="AO28" s="74">
        <f>IF(A28="","",IFERROR(Tabela1[[#This Row],[p(H)]]/Tabela1[[#This Row],[FTHG]],1))</f>
        <v>0.56818181818181823</v>
      </c>
      <c r="AP28" s="74">
        <f>IF(A28="","",IFERROR(Tabela1[[#This Row],[p(A)]]/Tabela1[[#This Row],[FTAG]],1))</f>
        <v>1</v>
      </c>
      <c r="AQ28" s="103"/>
      <c r="AR28" s="75"/>
      <c r="AS28" s="75"/>
      <c r="AT28" s="75"/>
      <c r="AU28" s="75"/>
      <c r="AV28" s="75"/>
      <c r="AW28" s="75"/>
      <c r="AX28" s="103"/>
      <c r="AY28" s="75"/>
      <c r="AZ28" s="75"/>
      <c r="BA28" s="75"/>
      <c r="BB28" s="75"/>
      <c r="BC28" s="104"/>
      <c r="BD28" s="104"/>
      <c r="BE28" s="104"/>
      <c r="BF28" s="104"/>
      <c r="BG28" s="104"/>
      <c r="BH28" s="105"/>
      <c r="BI28" s="104"/>
      <c r="BJ28" s="104"/>
      <c r="BK28" s="104"/>
      <c r="BL28" s="104"/>
      <c r="BM28" s="104"/>
      <c r="BN28" s="104"/>
      <c r="BO28" s="104"/>
      <c r="BP28" s="97"/>
      <c r="BQ28" s="97"/>
      <c r="BR28" s="97"/>
      <c r="BS28" s="75"/>
      <c r="BT28" s="75"/>
      <c r="BU28" s="75"/>
      <c r="BV28" s="75"/>
      <c r="BW28" s="75"/>
      <c r="BX28" s="103"/>
      <c r="BY28" s="94"/>
      <c r="BZ28" s="94"/>
      <c r="CA28" s="94"/>
      <c r="CB28" s="94"/>
      <c r="CC28" s="94"/>
      <c r="CD28" s="94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</row>
    <row r="29" spans="1:123" x14ac:dyDescent="0.25">
      <c r="A29" s="4">
        <v>46065</v>
      </c>
      <c r="B29" t="s">
        <v>357</v>
      </c>
      <c r="C29" t="s">
        <v>355</v>
      </c>
      <c r="D29">
        <v>2</v>
      </c>
      <c r="E29">
        <v>0</v>
      </c>
      <c r="F29" t="s">
        <v>347</v>
      </c>
      <c r="G29">
        <v>1.86</v>
      </c>
      <c r="H29">
        <v>3.2</v>
      </c>
      <c r="I29">
        <v>4.75</v>
      </c>
      <c r="J29" s="68">
        <f t="shared" si="14"/>
        <v>3</v>
      </c>
      <c r="K29" s="68">
        <f t="shared" si="15"/>
        <v>0</v>
      </c>
      <c r="L29" s="69">
        <f t="shared" si="16"/>
        <v>0.42105263157894735</v>
      </c>
      <c r="M29" s="69">
        <f t="shared" si="17"/>
        <v>0</v>
      </c>
      <c r="N29" s="69">
        <f>IF(A29="","",Tabela1[[#This Row],[PTC]]*Tabela1[[#This Row],[ODDC]])</f>
        <v>5.58</v>
      </c>
      <c r="O29" s="69">
        <f>IF(A29="","",Tabela1[[#This Row],[PTV]]*Tabela1[[#This Row],[ODDV]])</f>
        <v>0</v>
      </c>
      <c r="P29" s="68">
        <f t="shared" si="18"/>
        <v>2</v>
      </c>
      <c r="Q29" s="68">
        <f t="shared" si="19"/>
        <v>-2</v>
      </c>
      <c r="R29" s="68">
        <f t="shared" si="20"/>
        <v>0.8600000000000001</v>
      </c>
      <c r="S29" s="68">
        <f t="shared" si="21"/>
        <v>-1</v>
      </c>
      <c r="T29" s="68">
        <f>IF(A29="","",IF(F29="D",Tabela1[[#This Row],[ODDE]]-1,-1))</f>
        <v>-1</v>
      </c>
      <c r="U29" s="70">
        <f>IF(A29="","",IF(AND(Tabela1[[#This Row],[FTHG]]&gt;3,F29="H"),1,0))</f>
        <v>0</v>
      </c>
      <c r="V29" s="70">
        <f>IF(A29="","",IF(AND(Tabela1[[#This Row],[FTAG]]&gt;3,F29="A"),1,0))</f>
        <v>0</v>
      </c>
      <c r="W29" s="70">
        <f t="shared" si="22"/>
        <v>1</v>
      </c>
      <c r="X29" s="70">
        <f t="shared" si="23"/>
        <v>1</v>
      </c>
      <c r="Y29" s="71">
        <f t="shared" si="24"/>
        <v>0</v>
      </c>
      <c r="Z29" s="70">
        <f t="shared" si="25"/>
        <v>0</v>
      </c>
      <c r="AA29" s="70">
        <f t="shared" si="26"/>
        <v>0</v>
      </c>
      <c r="AB29" s="70">
        <f t="shared" si="27"/>
        <v>0</v>
      </c>
      <c r="AC29" s="71">
        <f t="shared" si="28"/>
        <v>0</v>
      </c>
      <c r="AD29" s="72" t="str">
        <f t="shared" si="29"/>
        <v>FEV</v>
      </c>
      <c r="AE29" s="73">
        <f>IF(A29="","",COUNT($N$2:N29))</f>
        <v>28</v>
      </c>
      <c r="AF29" s="74">
        <f t="shared" si="30"/>
        <v>1</v>
      </c>
      <c r="AG29" s="74">
        <f t="shared" si="31"/>
        <v>0</v>
      </c>
      <c r="AH29" s="74">
        <f t="shared" si="32"/>
        <v>0</v>
      </c>
      <c r="AI29" s="74" t="str">
        <f t="shared" si="33"/>
        <v>1,71-2,0</v>
      </c>
      <c r="AJ29" s="74" t="str">
        <f t="shared" si="34"/>
        <v>4,01-5,5</v>
      </c>
      <c r="AK29" s="74">
        <f>IF(A29="","",1/Tabela1[[#This Row],[ODDC]])</f>
        <v>0.5376344086021505</v>
      </c>
      <c r="AL29" s="74">
        <f>IF(A29="","",1/Tabela1[[#This Row],[ODDE]])</f>
        <v>0.3125</v>
      </c>
      <c r="AM29" s="74">
        <f>IF(A29="","",1/Tabela1[[#This Row],[ODDV]])</f>
        <v>0.21052631578947367</v>
      </c>
      <c r="AN29" s="74">
        <f>IF(A29="","",1-(Tabela1[[#This Row],[p(H)]]+Tabela1[[#This Row],[p(D)]]+Tabela1[[#This Row],[p(A)]]))</f>
        <v>-6.0660724391624177E-2</v>
      </c>
      <c r="AO29" s="74">
        <f>IF(A29="","",IFERROR(Tabela1[[#This Row],[p(H)]]/Tabela1[[#This Row],[FTHG]],1))</f>
        <v>0.26881720430107525</v>
      </c>
      <c r="AP29" s="74">
        <f>IF(A29="","",IFERROR(Tabela1[[#This Row],[p(A)]]/Tabela1[[#This Row],[FTAG]],1))</f>
        <v>1</v>
      </c>
      <c r="AQ29" s="106"/>
      <c r="AR29" s="92"/>
      <c r="AS29" s="92"/>
      <c r="AT29" s="92"/>
      <c r="AU29" s="92"/>
      <c r="AV29" s="92"/>
      <c r="AW29" s="92"/>
      <c r="AX29" s="107"/>
      <c r="AY29" s="107"/>
      <c r="AZ29" s="75"/>
      <c r="BA29" s="75"/>
      <c r="BB29" s="75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8"/>
      <c r="BQ29" s="108"/>
      <c r="BR29" s="108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</row>
    <row r="30" spans="1:123" x14ac:dyDescent="0.25">
      <c r="A30" s="4">
        <v>46066</v>
      </c>
      <c r="B30" t="s">
        <v>354</v>
      </c>
      <c r="C30" t="s">
        <v>353</v>
      </c>
      <c r="D30">
        <v>1</v>
      </c>
      <c r="E30">
        <v>3</v>
      </c>
      <c r="F30" t="s">
        <v>346</v>
      </c>
      <c r="G30">
        <v>3.1</v>
      </c>
      <c r="H30">
        <v>3.4</v>
      </c>
      <c r="I30">
        <v>2.25</v>
      </c>
      <c r="J30" s="68">
        <f t="shared" si="14"/>
        <v>0</v>
      </c>
      <c r="K30" s="68">
        <f t="shared" si="15"/>
        <v>3</v>
      </c>
      <c r="L30" s="69">
        <f t="shared" si="16"/>
        <v>0.44444444444444442</v>
      </c>
      <c r="M30" s="69">
        <f t="shared" si="17"/>
        <v>0.96774193548387089</v>
      </c>
      <c r="N30" s="69">
        <f>IF(A30="","",Tabela1[[#This Row],[PTC]]*Tabela1[[#This Row],[ODDC]])</f>
        <v>0</v>
      </c>
      <c r="O30" s="69">
        <f>IF(A30="","",Tabela1[[#This Row],[PTV]]*Tabela1[[#This Row],[ODDV]])</f>
        <v>6.75</v>
      </c>
      <c r="P30" s="68">
        <f t="shared" si="18"/>
        <v>-2</v>
      </c>
      <c r="Q30" s="68">
        <f t="shared" si="19"/>
        <v>2</v>
      </c>
      <c r="R30" s="68">
        <f t="shared" si="20"/>
        <v>-1</v>
      </c>
      <c r="S30" s="68">
        <f t="shared" si="21"/>
        <v>1.25</v>
      </c>
      <c r="T30" s="68">
        <f>IF(A30="","",IF(F30="D",Tabela1[[#This Row],[ODDE]]-1,-1))</f>
        <v>-1</v>
      </c>
      <c r="U30" s="70">
        <f>IF(A30="","",IF(AND(Tabela1[[#This Row],[FTHG]]&gt;3,F30="H"),1,0))</f>
        <v>0</v>
      </c>
      <c r="V30" s="70">
        <f>IF(A30="","",IF(AND(Tabela1[[#This Row],[FTAG]]&gt;3,F30="A"),1,0))</f>
        <v>0</v>
      </c>
      <c r="W30" s="70">
        <f t="shared" si="22"/>
        <v>1</v>
      </c>
      <c r="X30" s="70">
        <f t="shared" si="23"/>
        <v>1</v>
      </c>
      <c r="Y30" s="71">
        <f t="shared" si="24"/>
        <v>1</v>
      </c>
      <c r="Z30" s="70">
        <f t="shared" si="25"/>
        <v>1</v>
      </c>
      <c r="AA30" s="70">
        <f t="shared" si="26"/>
        <v>0</v>
      </c>
      <c r="AB30" s="70">
        <f t="shared" si="27"/>
        <v>0</v>
      </c>
      <c r="AC30" s="71">
        <f t="shared" si="28"/>
        <v>1</v>
      </c>
      <c r="AD30" s="72" t="str">
        <f t="shared" si="29"/>
        <v>FEV</v>
      </c>
      <c r="AE30" s="73">
        <f>IF(A30="","",COUNT($N$2:N30))</f>
        <v>29</v>
      </c>
      <c r="AF30" s="74">
        <f t="shared" si="30"/>
        <v>0</v>
      </c>
      <c r="AG30" s="74">
        <f t="shared" si="31"/>
        <v>0</v>
      </c>
      <c r="AH30" s="74">
        <f t="shared" si="32"/>
        <v>1</v>
      </c>
      <c r="AI30" s="74" t="str">
        <f t="shared" si="33"/>
        <v>3,01-4.0</v>
      </c>
      <c r="AJ30" s="74" t="str">
        <f t="shared" si="34"/>
        <v>2,01-2,4</v>
      </c>
      <c r="AK30" s="74">
        <f>IF(A30="","",1/Tabela1[[#This Row],[ODDC]])</f>
        <v>0.32258064516129031</v>
      </c>
      <c r="AL30" s="74">
        <f>IF(A30="","",1/Tabela1[[#This Row],[ODDE]])</f>
        <v>0.29411764705882354</v>
      </c>
      <c r="AM30" s="74">
        <f>IF(A30="","",1/Tabela1[[#This Row],[ODDV]])</f>
        <v>0.44444444444444442</v>
      </c>
      <c r="AN30" s="74">
        <f>IF(A30="","",1-(Tabela1[[#This Row],[p(H)]]+Tabela1[[#This Row],[p(D)]]+Tabela1[[#This Row],[p(A)]]))</f>
        <v>-6.1142736664558273E-2</v>
      </c>
      <c r="AO30" s="74">
        <f>IF(A30="","",IFERROR(Tabela1[[#This Row],[p(H)]]/Tabela1[[#This Row],[FTHG]],1))</f>
        <v>0.32258064516129031</v>
      </c>
      <c r="AP30" s="74">
        <f>IF(A30="","",IFERROR(Tabela1[[#This Row],[p(A)]]/Tabela1[[#This Row],[FTAG]],1))</f>
        <v>0.14814814814814814</v>
      </c>
      <c r="AQ30" s="107"/>
      <c r="AR30" s="107"/>
      <c r="AS30" s="107"/>
      <c r="AT30" s="107"/>
      <c r="AU30" s="107"/>
      <c r="AV30" s="107"/>
      <c r="AW30" s="107"/>
      <c r="AX30" s="107"/>
      <c r="AY30" s="107"/>
      <c r="AZ30" s="75"/>
      <c r="BA30" s="75"/>
      <c r="BB30" s="75"/>
      <c r="BC30" s="109"/>
      <c r="BD30" s="97"/>
      <c r="BE30" s="108"/>
      <c r="BF30" s="108"/>
      <c r="BG30" s="108"/>
      <c r="BH30" s="108"/>
      <c r="BI30" s="108"/>
      <c r="BJ30" s="109"/>
      <c r="BK30" s="108"/>
      <c r="BL30" s="108"/>
      <c r="BM30" s="108"/>
      <c r="BN30" s="108"/>
      <c r="BO30" s="108"/>
      <c r="BP30" s="104"/>
      <c r="BQ30" s="104"/>
      <c r="BR30" s="104"/>
      <c r="BS30" s="107"/>
      <c r="BT30" s="107"/>
      <c r="BU30" s="107"/>
      <c r="BV30" s="107"/>
      <c r="BW30" s="107"/>
      <c r="BX30" s="75"/>
      <c r="BY30" s="75"/>
      <c r="BZ30" s="75"/>
      <c r="CA30" s="75"/>
      <c r="CB30" s="75"/>
      <c r="CC30" s="75"/>
      <c r="CD30" s="75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</row>
    <row r="31" spans="1:123" x14ac:dyDescent="0.25">
      <c r="A31" s="4">
        <v>46072</v>
      </c>
      <c r="B31" t="s">
        <v>388</v>
      </c>
      <c r="C31" t="s">
        <v>357</v>
      </c>
      <c r="D31">
        <v>0</v>
      </c>
      <c r="E31">
        <v>1</v>
      </c>
      <c r="F31" t="s">
        <v>346</v>
      </c>
      <c r="G31">
        <v>2.57</v>
      </c>
      <c r="H31">
        <v>3</v>
      </c>
      <c r="I31">
        <v>2.85</v>
      </c>
      <c r="J31" s="68">
        <f t="shared" si="14"/>
        <v>0</v>
      </c>
      <c r="K31" s="68">
        <f t="shared" si="15"/>
        <v>3</v>
      </c>
      <c r="L31" s="69">
        <f t="shared" si="16"/>
        <v>0</v>
      </c>
      <c r="M31" s="69">
        <f t="shared" si="17"/>
        <v>0.38910505836575876</v>
      </c>
      <c r="N31" s="69">
        <f>IF(A31="","",Tabela1[[#This Row],[PTC]]*Tabela1[[#This Row],[ODDC]])</f>
        <v>0</v>
      </c>
      <c r="O31" s="69">
        <f>IF(A31="","",Tabela1[[#This Row],[PTV]]*Tabela1[[#This Row],[ODDV]])</f>
        <v>8.5500000000000007</v>
      </c>
      <c r="P31" s="68">
        <f t="shared" si="18"/>
        <v>-1</v>
      </c>
      <c r="Q31" s="68">
        <f t="shared" si="19"/>
        <v>1</v>
      </c>
      <c r="R31" s="68">
        <f t="shared" si="20"/>
        <v>-1</v>
      </c>
      <c r="S31" s="68">
        <f t="shared" si="21"/>
        <v>1.85</v>
      </c>
      <c r="T31" s="68">
        <f>IF(A31="","",IF(F31="D",Tabela1[[#This Row],[ODDE]]-1,-1))</f>
        <v>-1</v>
      </c>
      <c r="U31" s="70">
        <f>IF(A31="","",IF(AND(Tabela1[[#This Row],[FTHG]]&gt;3,F31="H"),1,0))</f>
        <v>0</v>
      </c>
      <c r="V31" s="70">
        <f>IF(A31="","",IF(AND(Tabela1[[#This Row],[FTAG]]&gt;3,F31="A"),1,0))</f>
        <v>0</v>
      </c>
      <c r="W31" s="70">
        <f t="shared" si="22"/>
        <v>1</v>
      </c>
      <c r="X31" s="70">
        <f t="shared" si="23"/>
        <v>0</v>
      </c>
      <c r="Y31" s="71">
        <f t="shared" si="24"/>
        <v>0</v>
      </c>
      <c r="Z31" s="70">
        <f t="shared" si="25"/>
        <v>0</v>
      </c>
      <c r="AA31" s="70">
        <f t="shared" si="26"/>
        <v>0</v>
      </c>
      <c r="AB31" s="70">
        <f t="shared" si="27"/>
        <v>0</v>
      </c>
      <c r="AC31" s="71">
        <f t="shared" si="28"/>
        <v>0</v>
      </c>
      <c r="AD31" s="72" t="str">
        <f t="shared" si="29"/>
        <v>FEV</v>
      </c>
      <c r="AE31" s="73">
        <f>IF(A31="","",COUNT($N$2:N31))</f>
        <v>30</v>
      </c>
      <c r="AF31" s="74">
        <f t="shared" si="30"/>
        <v>0</v>
      </c>
      <c r="AG31" s="74">
        <f t="shared" si="31"/>
        <v>0</v>
      </c>
      <c r="AH31" s="74">
        <f t="shared" si="32"/>
        <v>1</v>
      </c>
      <c r="AI31" s="74" t="str">
        <f t="shared" si="33"/>
        <v>2,41-3,0</v>
      </c>
      <c r="AJ31" s="74" t="str">
        <f t="shared" si="34"/>
        <v>2,41-3,0</v>
      </c>
      <c r="AK31" s="74">
        <f>IF(A31="","",1/Tabela1[[#This Row],[ODDC]])</f>
        <v>0.38910505836575876</v>
      </c>
      <c r="AL31" s="74">
        <f>IF(A31="","",1/Tabela1[[#This Row],[ODDE]])</f>
        <v>0.33333333333333331</v>
      </c>
      <c r="AM31" s="74">
        <f>IF(A31="","",1/Tabela1[[#This Row],[ODDV]])</f>
        <v>0.35087719298245612</v>
      </c>
      <c r="AN31" s="74">
        <f>IF(A31="","",1-(Tabela1[[#This Row],[p(H)]]+Tabela1[[#This Row],[p(D)]]+Tabela1[[#This Row],[p(A)]]))</f>
        <v>-7.3315584681548085E-2</v>
      </c>
      <c r="AO31" s="74">
        <f>IF(A31="","",IFERROR(Tabela1[[#This Row],[p(H)]]/Tabela1[[#This Row],[FTHG]],1))</f>
        <v>1</v>
      </c>
      <c r="AP31" s="74">
        <f>IF(A31="","",IFERROR(Tabela1[[#This Row],[p(A)]]/Tabela1[[#This Row],[FTAG]],1))</f>
        <v>0.35087719298245612</v>
      </c>
      <c r="AQ31" s="107"/>
      <c r="AR31" s="107"/>
      <c r="AS31" s="107"/>
      <c r="AT31" s="107"/>
      <c r="AU31" s="107"/>
      <c r="AV31" s="107"/>
      <c r="AW31" s="107"/>
      <c r="AX31" s="107"/>
      <c r="AY31" s="107"/>
      <c r="AZ31" s="75"/>
      <c r="BA31" s="75"/>
      <c r="BB31" s="75"/>
      <c r="BC31" s="109"/>
      <c r="BD31" s="104"/>
      <c r="BE31" s="108"/>
      <c r="BF31" s="108"/>
      <c r="BG31" s="108"/>
      <c r="BH31" s="108"/>
      <c r="BI31" s="108"/>
      <c r="BJ31" s="109"/>
      <c r="BK31" s="108"/>
      <c r="BL31" s="108"/>
      <c r="BM31" s="108"/>
      <c r="BN31" s="108"/>
      <c r="BO31" s="108"/>
      <c r="BP31" s="104"/>
      <c r="BQ31" s="104"/>
      <c r="BR31" s="104"/>
      <c r="BS31" s="107"/>
      <c r="BT31" s="107"/>
      <c r="BU31" s="107"/>
      <c r="BV31" s="107"/>
      <c r="BW31" s="107"/>
      <c r="BX31" s="75"/>
      <c r="BY31" s="75"/>
      <c r="BZ31" s="75"/>
      <c r="CA31" s="75"/>
      <c r="CB31" s="75"/>
      <c r="CC31" s="75"/>
      <c r="CD31" s="75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</row>
    <row r="32" spans="1:123" ht="18.75" x14ac:dyDescent="0.3">
      <c r="A32" s="4">
        <v>46078</v>
      </c>
      <c r="B32" t="s">
        <v>355</v>
      </c>
      <c r="C32" t="s">
        <v>388</v>
      </c>
      <c r="D32">
        <v>1</v>
      </c>
      <c r="E32">
        <v>1</v>
      </c>
      <c r="F32" t="s">
        <v>348</v>
      </c>
      <c r="G32">
        <v>2.0099999999999998</v>
      </c>
      <c r="H32">
        <v>3.3</v>
      </c>
      <c r="I32">
        <v>3.9</v>
      </c>
      <c r="J32" s="68">
        <f t="shared" si="14"/>
        <v>1</v>
      </c>
      <c r="K32" s="68">
        <f t="shared" si="15"/>
        <v>1</v>
      </c>
      <c r="L32" s="69">
        <f t="shared" si="16"/>
        <v>0.25641025641025644</v>
      </c>
      <c r="M32" s="69">
        <f t="shared" si="17"/>
        <v>0.49751243781094534</v>
      </c>
      <c r="N32" s="69">
        <f>IF(A32="","",Tabela1[[#This Row],[PTC]]*Tabela1[[#This Row],[ODDC]])</f>
        <v>2.0099999999999998</v>
      </c>
      <c r="O32" s="69">
        <f>IF(A32="","",Tabela1[[#This Row],[PTV]]*Tabela1[[#This Row],[ODDV]])</f>
        <v>3.9</v>
      </c>
      <c r="P32" s="68">
        <f t="shared" si="18"/>
        <v>0</v>
      </c>
      <c r="Q32" s="68">
        <f t="shared" si="19"/>
        <v>0</v>
      </c>
      <c r="R32" s="68">
        <f t="shared" si="20"/>
        <v>-1</v>
      </c>
      <c r="S32" s="68">
        <f t="shared" si="21"/>
        <v>-1</v>
      </c>
      <c r="T32" s="68">
        <f>IF(A32="","",IF(F32="D",Tabela1[[#This Row],[ODDE]]-1,-1))</f>
        <v>2.2999999999999998</v>
      </c>
      <c r="U32" s="70">
        <f>IF(A32="","",IF(AND(Tabela1[[#This Row],[FTHG]]&gt;3,F32="H"),1,0))</f>
        <v>0</v>
      </c>
      <c r="V32" s="70">
        <f>IF(A32="","",IF(AND(Tabela1[[#This Row],[FTAG]]&gt;3,F32="A"),1,0))</f>
        <v>0</v>
      </c>
      <c r="W32" s="70">
        <f t="shared" si="22"/>
        <v>1</v>
      </c>
      <c r="X32" s="70">
        <f t="shared" si="23"/>
        <v>1</v>
      </c>
      <c r="Y32" s="71">
        <f t="shared" si="24"/>
        <v>0</v>
      </c>
      <c r="Z32" s="70">
        <f t="shared" si="25"/>
        <v>0</v>
      </c>
      <c r="AA32" s="70">
        <f t="shared" si="26"/>
        <v>0</v>
      </c>
      <c r="AB32" s="70">
        <f t="shared" si="27"/>
        <v>0</v>
      </c>
      <c r="AC32" s="71">
        <f t="shared" si="28"/>
        <v>1</v>
      </c>
      <c r="AD32" s="72" t="str">
        <f t="shared" si="29"/>
        <v>FEV</v>
      </c>
      <c r="AE32" s="73">
        <f>IF(A32="","",COUNT($N$2:N32))</f>
        <v>31</v>
      </c>
      <c r="AF32" s="74">
        <f t="shared" si="30"/>
        <v>0</v>
      </c>
      <c r="AG32" s="74">
        <f t="shared" si="31"/>
        <v>1</v>
      </c>
      <c r="AH32" s="74">
        <f t="shared" si="32"/>
        <v>0</v>
      </c>
      <c r="AI32" s="74" t="str">
        <f t="shared" si="33"/>
        <v>2,01-2,4</v>
      </c>
      <c r="AJ32" s="74" t="str">
        <f t="shared" si="34"/>
        <v>3,01-4.0</v>
      </c>
      <c r="AK32" s="74">
        <f>IF(A32="","",1/Tabela1[[#This Row],[ODDC]])</f>
        <v>0.49751243781094534</v>
      </c>
      <c r="AL32" s="74">
        <f>IF(A32="","",1/Tabela1[[#This Row],[ODDE]])</f>
        <v>0.30303030303030304</v>
      </c>
      <c r="AM32" s="74">
        <f>IF(A32="","",1/Tabela1[[#This Row],[ODDV]])</f>
        <v>0.25641025641025644</v>
      </c>
      <c r="AN32" s="74">
        <f>IF(A32="","",1-(Tabela1[[#This Row],[p(H)]]+Tabela1[[#This Row],[p(D)]]+Tabela1[[#This Row],[p(A)]]))</f>
        <v>-5.6952997251504822E-2</v>
      </c>
      <c r="AO32" s="74">
        <f>IF(A32="","",IFERROR(Tabela1[[#This Row],[p(H)]]/Tabela1[[#This Row],[FTHG]],1))</f>
        <v>0.49751243781094534</v>
      </c>
      <c r="AP32" s="74">
        <f>IF(A32="","",IFERROR(Tabela1[[#This Row],[p(A)]]/Tabela1[[#This Row],[FTAG]],1))</f>
        <v>0.25641025641025644</v>
      </c>
      <c r="AQ32" s="107"/>
      <c r="AR32" s="107"/>
      <c r="AS32" s="107"/>
      <c r="AT32" s="107"/>
      <c r="AU32" s="107"/>
      <c r="AV32" s="107"/>
      <c r="AW32" s="107"/>
      <c r="AX32" s="107"/>
      <c r="AY32" s="107"/>
      <c r="AZ32" s="75"/>
      <c r="BA32" s="75"/>
      <c r="BB32" s="75"/>
      <c r="BC32" s="110"/>
      <c r="BD32" s="111"/>
      <c r="BE32" s="110"/>
      <c r="BF32" s="111"/>
      <c r="BG32" s="110"/>
      <c r="BH32" s="111"/>
      <c r="BI32" s="110"/>
      <c r="BJ32" s="111"/>
      <c r="BK32" s="110"/>
      <c r="BL32" s="111"/>
      <c r="BM32" s="110"/>
      <c r="BN32" s="111"/>
      <c r="BO32" s="104"/>
      <c r="BP32" s="104"/>
      <c r="BQ32" s="104"/>
      <c r="BR32" s="104"/>
      <c r="BS32" s="107"/>
      <c r="BT32" s="107"/>
      <c r="BU32" s="107"/>
      <c r="BV32" s="107"/>
      <c r="BW32" s="107"/>
      <c r="BX32" s="75"/>
      <c r="BY32" s="75"/>
      <c r="BZ32" s="75"/>
      <c r="CA32" s="75"/>
      <c r="CB32" s="75"/>
      <c r="CC32" s="75"/>
      <c r="CD32" s="75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</row>
    <row r="33" spans="1:120" ht="18.75" x14ac:dyDescent="0.3">
      <c r="A33" s="4">
        <v>46078</v>
      </c>
      <c r="B33" t="s">
        <v>389</v>
      </c>
      <c r="C33" t="s">
        <v>354</v>
      </c>
      <c r="D33">
        <v>1</v>
      </c>
      <c r="E33">
        <v>1</v>
      </c>
      <c r="F33" t="s">
        <v>348</v>
      </c>
      <c r="G33">
        <v>3.25</v>
      </c>
      <c r="H33">
        <v>3.4</v>
      </c>
      <c r="I33">
        <v>2.15</v>
      </c>
      <c r="J33" s="68">
        <f t="shared" si="14"/>
        <v>1</v>
      </c>
      <c r="K33" s="68">
        <f t="shared" si="15"/>
        <v>1</v>
      </c>
      <c r="L33" s="69">
        <f t="shared" si="16"/>
        <v>0.46511627906976744</v>
      </c>
      <c r="M33" s="69">
        <f t="shared" si="17"/>
        <v>0.30769230769230771</v>
      </c>
      <c r="N33" s="69">
        <f>IF(A33="","",Tabela1[[#This Row],[PTC]]*Tabela1[[#This Row],[ODDC]])</f>
        <v>3.25</v>
      </c>
      <c r="O33" s="69">
        <f>IF(A33="","",Tabela1[[#This Row],[PTV]]*Tabela1[[#This Row],[ODDV]])</f>
        <v>2.15</v>
      </c>
      <c r="P33" s="68">
        <f t="shared" si="18"/>
        <v>0</v>
      </c>
      <c r="Q33" s="68">
        <f t="shared" si="19"/>
        <v>0</v>
      </c>
      <c r="R33" s="68">
        <f t="shared" si="20"/>
        <v>-1</v>
      </c>
      <c r="S33" s="68">
        <f t="shared" si="21"/>
        <v>-1</v>
      </c>
      <c r="T33" s="68">
        <f>IF(A33="","",IF(F33="D",Tabela1[[#This Row],[ODDE]]-1,-1))</f>
        <v>2.4</v>
      </c>
      <c r="U33" s="70">
        <f>IF(A33="","",IF(AND(Tabela1[[#This Row],[FTHG]]&gt;3,F33="H"),1,0))</f>
        <v>0</v>
      </c>
      <c r="V33" s="70">
        <f>IF(A33="","",IF(AND(Tabela1[[#This Row],[FTAG]]&gt;3,F33="A"),1,0))</f>
        <v>0</v>
      </c>
      <c r="W33" s="70">
        <f t="shared" si="22"/>
        <v>1</v>
      </c>
      <c r="X33" s="70">
        <f t="shared" si="23"/>
        <v>1</v>
      </c>
      <c r="Y33" s="71">
        <f t="shared" si="24"/>
        <v>0</v>
      </c>
      <c r="Z33" s="70">
        <f t="shared" si="25"/>
        <v>0</v>
      </c>
      <c r="AA33" s="70">
        <f t="shared" si="26"/>
        <v>0</v>
      </c>
      <c r="AB33" s="70">
        <f t="shared" si="27"/>
        <v>0</v>
      </c>
      <c r="AC33" s="71">
        <f t="shared" si="28"/>
        <v>1</v>
      </c>
      <c r="AD33" s="72" t="str">
        <f t="shared" si="29"/>
        <v>FEV</v>
      </c>
      <c r="AE33" s="73">
        <f>IF(A33="","",COUNT($N$2:N33))</f>
        <v>32</v>
      </c>
      <c r="AF33" s="74">
        <f t="shared" si="30"/>
        <v>0</v>
      </c>
      <c r="AG33" s="74">
        <f t="shared" si="31"/>
        <v>1</v>
      </c>
      <c r="AH33" s="74">
        <f t="shared" si="32"/>
        <v>0</v>
      </c>
      <c r="AI33" s="74" t="str">
        <f t="shared" si="33"/>
        <v>3,01-4.0</v>
      </c>
      <c r="AJ33" s="74" t="str">
        <f t="shared" si="34"/>
        <v>2,01-2,4</v>
      </c>
      <c r="AK33" s="74">
        <f>IF(A33="","",1/Tabela1[[#This Row],[ODDC]])</f>
        <v>0.30769230769230771</v>
      </c>
      <c r="AL33" s="74">
        <f>IF(A33="","",1/Tabela1[[#This Row],[ODDE]])</f>
        <v>0.29411764705882354</v>
      </c>
      <c r="AM33" s="74">
        <f>IF(A33="","",1/Tabela1[[#This Row],[ODDV]])</f>
        <v>0.46511627906976744</v>
      </c>
      <c r="AN33" s="74">
        <f>IF(A33="","",1-(Tabela1[[#This Row],[p(H)]]+Tabela1[[#This Row],[p(D)]]+Tabela1[[#This Row],[p(A)]]))</f>
        <v>-6.6926233820898684E-2</v>
      </c>
      <c r="AO33" s="74">
        <f>IF(A33="","",IFERROR(Tabela1[[#This Row],[p(H)]]/Tabela1[[#This Row],[FTHG]],1))</f>
        <v>0.30769230769230771</v>
      </c>
      <c r="AP33" s="74">
        <f>IF(A33="","",IFERROR(Tabela1[[#This Row],[p(A)]]/Tabela1[[#This Row],[FTAG]],1))</f>
        <v>0.46511627906976744</v>
      </c>
      <c r="AQ33" s="107"/>
      <c r="AR33" s="107"/>
      <c r="AS33" s="107"/>
      <c r="AT33" s="107"/>
      <c r="AU33" s="107"/>
      <c r="AV33" s="107"/>
      <c r="AW33" s="107"/>
      <c r="AX33" s="107"/>
      <c r="AY33" s="107"/>
      <c r="AZ33" s="75"/>
      <c r="BA33" s="75"/>
      <c r="BB33" s="75"/>
      <c r="BC33" s="110"/>
      <c r="BD33" s="111"/>
      <c r="BE33" s="110"/>
      <c r="BF33" s="111"/>
      <c r="BG33" s="110"/>
      <c r="BH33" s="111"/>
      <c r="BI33" s="110"/>
      <c r="BJ33" s="111"/>
      <c r="BK33" s="110"/>
      <c r="BL33" s="111"/>
      <c r="BM33" s="110"/>
      <c r="BN33" s="111"/>
      <c r="BO33" s="104"/>
      <c r="BP33" s="104"/>
      <c r="BQ33" s="104"/>
      <c r="BR33" s="104"/>
      <c r="BS33" s="107"/>
      <c r="BT33" s="107"/>
      <c r="BU33" s="107"/>
      <c r="BV33" s="107"/>
      <c r="BW33" s="107"/>
      <c r="BX33" s="75"/>
      <c r="BY33" s="75"/>
      <c r="BZ33" s="75"/>
      <c r="CA33" s="75"/>
      <c r="CB33" s="75"/>
      <c r="CC33" s="75"/>
      <c r="CD33" s="75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</row>
    <row r="34" spans="1:120" ht="18.75" x14ac:dyDescent="0.3">
      <c r="A34" s="4">
        <v>46078</v>
      </c>
      <c r="B34" t="s">
        <v>387</v>
      </c>
      <c r="C34" t="s">
        <v>351</v>
      </c>
      <c r="D34">
        <v>0</v>
      </c>
      <c r="E34">
        <v>1</v>
      </c>
      <c r="F34" t="s">
        <v>346</v>
      </c>
      <c r="G34">
        <v>2.5</v>
      </c>
      <c r="H34">
        <v>3.1</v>
      </c>
      <c r="I34">
        <v>3</v>
      </c>
      <c r="J34" s="68">
        <f t="shared" si="14"/>
        <v>0</v>
      </c>
      <c r="K34" s="68">
        <f t="shared" si="15"/>
        <v>3</v>
      </c>
      <c r="L34" s="69">
        <f t="shared" si="16"/>
        <v>0</v>
      </c>
      <c r="M34" s="69">
        <f t="shared" si="17"/>
        <v>0.4</v>
      </c>
      <c r="N34" s="69">
        <f>IF(A34="","",Tabela1[[#This Row],[PTC]]*Tabela1[[#This Row],[ODDC]])</f>
        <v>0</v>
      </c>
      <c r="O34" s="69">
        <f>IF(A34="","",Tabela1[[#This Row],[PTV]]*Tabela1[[#This Row],[ODDV]])</f>
        <v>9</v>
      </c>
      <c r="P34" s="68">
        <f t="shared" si="18"/>
        <v>-1</v>
      </c>
      <c r="Q34" s="68">
        <f t="shared" si="19"/>
        <v>1</v>
      </c>
      <c r="R34" s="68">
        <f t="shared" si="20"/>
        <v>-1</v>
      </c>
      <c r="S34" s="68">
        <f t="shared" si="21"/>
        <v>2</v>
      </c>
      <c r="T34" s="68">
        <f>IF(A34="","",IF(F34="D",Tabela1[[#This Row],[ODDE]]-1,-1))</f>
        <v>-1</v>
      </c>
      <c r="U34" s="70">
        <f>IF(A34="","",IF(AND(Tabela1[[#This Row],[FTHG]]&gt;3,F34="H"),1,0))</f>
        <v>0</v>
      </c>
      <c r="V34" s="70">
        <f>IF(A34="","",IF(AND(Tabela1[[#This Row],[FTAG]]&gt;3,F34="A"),1,0))</f>
        <v>0</v>
      </c>
      <c r="W34" s="70">
        <f t="shared" si="22"/>
        <v>1</v>
      </c>
      <c r="X34" s="70">
        <f t="shared" si="23"/>
        <v>0</v>
      </c>
      <c r="Y34" s="71">
        <f t="shared" si="24"/>
        <v>0</v>
      </c>
      <c r="Z34" s="70">
        <f t="shared" si="25"/>
        <v>0</v>
      </c>
      <c r="AA34" s="70">
        <f t="shared" si="26"/>
        <v>0</v>
      </c>
      <c r="AB34" s="70">
        <f t="shared" si="27"/>
        <v>0</v>
      </c>
      <c r="AC34" s="71">
        <f t="shared" si="28"/>
        <v>0</v>
      </c>
      <c r="AD34" s="72" t="str">
        <f t="shared" si="29"/>
        <v>FEV</v>
      </c>
      <c r="AE34" s="73">
        <f>IF(A34="","",COUNT($N$2:N34))</f>
        <v>33</v>
      </c>
      <c r="AF34" s="74">
        <f t="shared" si="30"/>
        <v>0</v>
      </c>
      <c r="AG34" s="74">
        <f t="shared" si="31"/>
        <v>0</v>
      </c>
      <c r="AH34" s="74">
        <f t="shared" si="32"/>
        <v>1</v>
      </c>
      <c r="AI34" s="74" t="str">
        <f t="shared" si="33"/>
        <v>2,41-3,0</v>
      </c>
      <c r="AJ34" s="74" t="str">
        <f t="shared" si="34"/>
        <v>2,41-3,0</v>
      </c>
      <c r="AK34" s="74">
        <f>IF(A34="","",1/Tabela1[[#This Row],[ODDC]])</f>
        <v>0.4</v>
      </c>
      <c r="AL34" s="74">
        <f>IF(A34="","",1/Tabela1[[#This Row],[ODDE]])</f>
        <v>0.32258064516129031</v>
      </c>
      <c r="AM34" s="74">
        <f>IF(A34="","",1/Tabela1[[#This Row],[ODDV]])</f>
        <v>0.33333333333333331</v>
      </c>
      <c r="AN34" s="74">
        <f>IF(A34="","",1-(Tabela1[[#This Row],[p(H)]]+Tabela1[[#This Row],[p(D)]]+Tabela1[[#This Row],[p(A)]]))</f>
        <v>-5.5913978494623651E-2</v>
      </c>
      <c r="AO34" s="74">
        <f>IF(A34="","",IFERROR(Tabela1[[#This Row],[p(H)]]/Tabela1[[#This Row],[FTHG]],1))</f>
        <v>1</v>
      </c>
      <c r="AP34" s="74">
        <f>IF(A34="","",IFERROR(Tabela1[[#This Row],[p(A)]]/Tabela1[[#This Row],[FTAG]],1))</f>
        <v>0.33333333333333331</v>
      </c>
      <c r="AQ34" s="107"/>
      <c r="AR34" s="107"/>
      <c r="AS34" s="107"/>
      <c r="AT34" s="107"/>
      <c r="AU34" s="107"/>
      <c r="AV34" s="107"/>
      <c r="AW34" s="107"/>
      <c r="AX34" s="107"/>
      <c r="AY34" s="107"/>
      <c r="AZ34" s="75"/>
      <c r="BA34" s="75"/>
      <c r="BB34" s="75"/>
      <c r="BC34" s="110"/>
      <c r="BD34" s="111"/>
      <c r="BE34" s="110"/>
      <c r="BF34" s="111"/>
      <c r="BG34" s="110"/>
      <c r="BH34" s="111"/>
      <c r="BI34" s="110"/>
      <c r="BJ34" s="111"/>
      <c r="BK34" s="110"/>
      <c r="BL34" s="111"/>
      <c r="BM34" s="104"/>
      <c r="BN34" s="111"/>
      <c r="BO34" s="104"/>
      <c r="BP34" s="104"/>
      <c r="BQ34" s="104"/>
      <c r="BR34" s="104"/>
      <c r="BS34" s="107"/>
      <c r="BT34" s="107"/>
      <c r="BU34" s="107"/>
      <c r="BV34" s="107"/>
      <c r="BW34" s="107"/>
      <c r="BX34" s="75"/>
      <c r="BY34" s="75"/>
      <c r="BZ34" s="75"/>
      <c r="CA34" s="75"/>
      <c r="CB34" s="75"/>
      <c r="CC34" s="75"/>
      <c r="CD34" s="75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</row>
    <row r="35" spans="1:120" x14ac:dyDescent="0.25">
      <c r="A35" s="4">
        <v>46078</v>
      </c>
      <c r="B35" t="s">
        <v>358</v>
      </c>
      <c r="C35" t="s">
        <v>357</v>
      </c>
      <c r="D35">
        <v>1</v>
      </c>
      <c r="E35">
        <v>1</v>
      </c>
      <c r="F35" t="s">
        <v>348</v>
      </c>
      <c r="G35">
        <v>1.66</v>
      </c>
      <c r="H35">
        <v>3.5</v>
      </c>
      <c r="I35">
        <v>5.5</v>
      </c>
      <c r="J35" s="68">
        <f t="shared" si="14"/>
        <v>1</v>
      </c>
      <c r="K35" s="68">
        <f t="shared" si="15"/>
        <v>1</v>
      </c>
      <c r="L35" s="69">
        <f t="shared" si="16"/>
        <v>0.18181818181818182</v>
      </c>
      <c r="M35" s="69">
        <f t="shared" si="17"/>
        <v>0.60240963855421692</v>
      </c>
      <c r="N35" s="69">
        <f>IF(A35="","",Tabela1[[#This Row],[PTC]]*Tabela1[[#This Row],[ODDC]])</f>
        <v>1.66</v>
      </c>
      <c r="O35" s="69">
        <f>IF(A35="","",Tabela1[[#This Row],[PTV]]*Tabela1[[#This Row],[ODDV]])</f>
        <v>5.5</v>
      </c>
      <c r="P35" s="68">
        <f t="shared" si="18"/>
        <v>0</v>
      </c>
      <c r="Q35" s="68">
        <f t="shared" si="19"/>
        <v>0</v>
      </c>
      <c r="R35" s="68">
        <f t="shared" si="20"/>
        <v>-1</v>
      </c>
      <c r="S35" s="68">
        <f t="shared" si="21"/>
        <v>-1</v>
      </c>
      <c r="T35" s="68">
        <f>IF(A35="","",IF(F35="D",Tabela1[[#This Row],[ODDE]]-1,-1))</f>
        <v>2.5</v>
      </c>
      <c r="U35" s="70">
        <f>IF(A35="","",IF(AND(Tabela1[[#This Row],[FTHG]]&gt;3,F35="H"),1,0))</f>
        <v>0</v>
      </c>
      <c r="V35" s="70">
        <f>IF(A35="","",IF(AND(Tabela1[[#This Row],[FTAG]]&gt;3,F35="A"),1,0))</f>
        <v>0</v>
      </c>
      <c r="W35" s="70">
        <f t="shared" si="22"/>
        <v>1</v>
      </c>
      <c r="X35" s="70">
        <f t="shared" si="23"/>
        <v>1</v>
      </c>
      <c r="Y35" s="71">
        <f t="shared" si="24"/>
        <v>0</v>
      </c>
      <c r="Z35" s="70">
        <f t="shared" si="25"/>
        <v>0</v>
      </c>
      <c r="AA35" s="70">
        <f t="shared" si="26"/>
        <v>0</v>
      </c>
      <c r="AB35" s="70">
        <f t="shared" si="27"/>
        <v>0</v>
      </c>
      <c r="AC35" s="71">
        <f t="shared" si="28"/>
        <v>1</v>
      </c>
      <c r="AD35" s="72" t="str">
        <f t="shared" si="29"/>
        <v>FEV</v>
      </c>
      <c r="AE35" s="73">
        <f>IF(A35="","",COUNT($N$2:N35))</f>
        <v>34</v>
      </c>
      <c r="AF35" s="74">
        <f t="shared" si="30"/>
        <v>0</v>
      </c>
      <c r="AG35" s="74">
        <f t="shared" si="31"/>
        <v>1</v>
      </c>
      <c r="AH35" s="74">
        <f t="shared" si="32"/>
        <v>0</v>
      </c>
      <c r="AI35" s="74" t="str">
        <f t="shared" si="33"/>
        <v>1,41-1,7</v>
      </c>
      <c r="AJ35" s="74" t="str">
        <f t="shared" si="34"/>
        <v>4,01-5,5</v>
      </c>
      <c r="AK35" s="74">
        <f>IF(A35="","",1/Tabela1[[#This Row],[ODDC]])</f>
        <v>0.60240963855421692</v>
      </c>
      <c r="AL35" s="74">
        <f>IF(A35="","",1/Tabela1[[#This Row],[ODDE]])</f>
        <v>0.2857142857142857</v>
      </c>
      <c r="AM35" s="74">
        <f>IF(A35="","",1/Tabela1[[#This Row],[ODDV]])</f>
        <v>0.18181818181818182</v>
      </c>
      <c r="AN35" s="74">
        <f>IF(A35="","",1-(Tabela1[[#This Row],[p(H)]]+Tabela1[[#This Row],[p(D)]]+Tabela1[[#This Row],[p(A)]]))</f>
        <v>-6.9942106086684497E-2</v>
      </c>
      <c r="AO35" s="74">
        <f>IF(A35="","",IFERROR(Tabela1[[#This Row],[p(H)]]/Tabela1[[#This Row],[FTHG]],1))</f>
        <v>0.60240963855421692</v>
      </c>
      <c r="AP35" s="74">
        <f>IF(A35="","",IFERROR(Tabela1[[#This Row],[p(A)]]/Tabela1[[#This Row],[FTAG]],1))</f>
        <v>0.18181818181818182</v>
      </c>
      <c r="AQ35" s="107"/>
      <c r="AR35" s="107"/>
      <c r="AS35" s="107"/>
      <c r="AT35" s="107"/>
      <c r="AU35" s="107"/>
      <c r="AV35" s="107"/>
      <c r="AW35" s="107"/>
      <c r="AX35" s="107"/>
      <c r="AY35" s="107"/>
      <c r="AZ35" s="75"/>
      <c r="BA35" s="75"/>
      <c r="BB35" s="75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7"/>
      <c r="BT35" s="107"/>
      <c r="BU35" s="107"/>
      <c r="BV35" s="107"/>
      <c r="BW35" s="107"/>
      <c r="BX35" s="75"/>
      <c r="BY35" s="75"/>
      <c r="BZ35" s="75"/>
      <c r="CA35" s="75"/>
      <c r="CB35" s="75"/>
      <c r="CC35" s="75"/>
      <c r="CD35" s="75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</row>
    <row r="36" spans="1:120" ht="18.75" x14ac:dyDescent="0.3">
      <c r="A36" s="4">
        <v>46079</v>
      </c>
      <c r="B36" t="s">
        <v>361</v>
      </c>
      <c r="C36" t="s">
        <v>359</v>
      </c>
      <c r="D36">
        <v>2</v>
      </c>
      <c r="E36">
        <v>1</v>
      </c>
      <c r="F36" t="s">
        <v>347</v>
      </c>
      <c r="G36">
        <v>2.1</v>
      </c>
      <c r="H36">
        <v>3.3</v>
      </c>
      <c r="I36">
        <v>3.4</v>
      </c>
      <c r="J36" s="68">
        <f t="shared" si="14"/>
        <v>3</v>
      </c>
      <c r="K36" s="68">
        <f t="shared" si="15"/>
        <v>0</v>
      </c>
      <c r="L36" s="69">
        <f t="shared" si="16"/>
        <v>0.58823529411764708</v>
      </c>
      <c r="M36" s="69">
        <f t="shared" si="17"/>
        <v>0.47619047619047616</v>
      </c>
      <c r="N36" s="69">
        <f>IF(A36="","",Tabela1[[#This Row],[PTC]]*Tabela1[[#This Row],[ODDC]])</f>
        <v>6.3000000000000007</v>
      </c>
      <c r="O36" s="69">
        <f>IF(A36="","",Tabela1[[#This Row],[PTV]]*Tabela1[[#This Row],[ODDV]])</f>
        <v>0</v>
      </c>
      <c r="P36" s="68">
        <f t="shared" si="18"/>
        <v>1</v>
      </c>
      <c r="Q36" s="68">
        <f t="shared" si="19"/>
        <v>-1</v>
      </c>
      <c r="R36" s="68">
        <f t="shared" si="20"/>
        <v>1.1000000000000001</v>
      </c>
      <c r="S36" s="68">
        <f t="shared" si="21"/>
        <v>-1</v>
      </c>
      <c r="T36" s="68">
        <f>IF(A36="","",IF(F36="D",Tabela1[[#This Row],[ODDE]]-1,-1))</f>
        <v>-1</v>
      </c>
      <c r="U36" s="70">
        <f>IF(A36="","",IF(AND(Tabela1[[#This Row],[FTHG]]&gt;3,F36="H"),1,0))</f>
        <v>0</v>
      </c>
      <c r="V36" s="70">
        <f>IF(A36="","",IF(AND(Tabela1[[#This Row],[FTAG]]&gt;3,F36="A"),1,0))</f>
        <v>0</v>
      </c>
      <c r="W36" s="70">
        <f t="shared" si="22"/>
        <v>1</v>
      </c>
      <c r="X36" s="70">
        <f t="shared" si="23"/>
        <v>1</v>
      </c>
      <c r="Y36" s="71">
        <f t="shared" si="24"/>
        <v>1</v>
      </c>
      <c r="Z36" s="70">
        <f t="shared" si="25"/>
        <v>0</v>
      </c>
      <c r="AA36" s="70">
        <f t="shared" si="26"/>
        <v>0</v>
      </c>
      <c r="AB36" s="70">
        <f t="shared" si="27"/>
        <v>0</v>
      </c>
      <c r="AC36" s="71">
        <f t="shared" si="28"/>
        <v>1</v>
      </c>
      <c r="AD36" s="72" t="str">
        <f t="shared" si="29"/>
        <v>FEV</v>
      </c>
      <c r="AE36" s="73">
        <f>IF(A36="","",COUNT($N$2:N36))</f>
        <v>35</v>
      </c>
      <c r="AF36" s="74">
        <f t="shared" si="30"/>
        <v>1</v>
      </c>
      <c r="AG36" s="74">
        <f t="shared" si="31"/>
        <v>0</v>
      </c>
      <c r="AH36" s="74">
        <f t="shared" si="32"/>
        <v>0</v>
      </c>
      <c r="AI36" s="74" t="str">
        <f t="shared" si="33"/>
        <v>2,01-2,4</v>
      </c>
      <c r="AJ36" s="74" t="str">
        <f t="shared" si="34"/>
        <v>3,01-4.0</v>
      </c>
      <c r="AK36" s="74">
        <f>IF(A36="","",1/Tabela1[[#This Row],[ODDC]])</f>
        <v>0.47619047619047616</v>
      </c>
      <c r="AL36" s="74">
        <f>IF(A36="","",1/Tabela1[[#This Row],[ODDE]])</f>
        <v>0.30303030303030304</v>
      </c>
      <c r="AM36" s="74">
        <f>IF(A36="","",1/Tabela1[[#This Row],[ODDV]])</f>
        <v>0.29411764705882354</v>
      </c>
      <c r="AN36" s="74">
        <f>IF(A36="","",1-(Tabela1[[#This Row],[p(H)]]+Tabela1[[#This Row],[p(D)]]+Tabela1[[#This Row],[p(A)]]))</f>
        <v>-7.3338426279602853E-2</v>
      </c>
      <c r="AO36" s="74">
        <f>IF(A36="","",IFERROR(Tabela1[[#This Row],[p(H)]]/Tabela1[[#This Row],[FTHG]],1))</f>
        <v>0.23809523809523808</v>
      </c>
      <c r="AP36" s="74">
        <f>IF(A36="","",IFERROR(Tabela1[[#This Row],[p(A)]]/Tabela1[[#This Row],[FTAG]],1))</f>
        <v>0.29411764705882354</v>
      </c>
      <c r="AQ36" s="107"/>
      <c r="AR36" s="107"/>
      <c r="AS36" s="107"/>
      <c r="AT36" s="107"/>
      <c r="AU36" s="107"/>
      <c r="AV36" s="107"/>
      <c r="AW36" s="107"/>
      <c r="AX36" s="107"/>
      <c r="AY36" s="107"/>
      <c r="AZ36" s="75"/>
      <c r="BA36" s="75"/>
      <c r="BB36" s="75"/>
      <c r="BC36" s="110"/>
      <c r="BD36" s="112"/>
      <c r="BE36" s="110"/>
      <c r="BF36" s="112"/>
      <c r="BG36" s="110"/>
      <c r="BH36" s="112"/>
      <c r="BI36" s="110"/>
      <c r="BJ36" s="112"/>
      <c r="BK36" s="110"/>
      <c r="BL36" s="112"/>
      <c r="BM36" s="110"/>
      <c r="BN36" s="112"/>
      <c r="BO36" s="104"/>
      <c r="BP36" s="104"/>
      <c r="BQ36" s="104"/>
      <c r="BR36" s="104"/>
      <c r="BS36" s="107"/>
      <c r="BT36" s="107"/>
      <c r="BU36" s="107"/>
      <c r="BV36" s="107"/>
      <c r="BW36" s="107"/>
      <c r="BX36" s="75"/>
      <c r="BY36" s="75"/>
      <c r="BZ36" s="75"/>
      <c r="CA36" s="75"/>
      <c r="CB36" s="75"/>
      <c r="CC36" s="75"/>
      <c r="CD36" s="75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</row>
    <row r="37" spans="1:120" ht="18.75" x14ac:dyDescent="0.3">
      <c r="A37" s="4">
        <v>46079</v>
      </c>
      <c r="B37" t="s">
        <v>353</v>
      </c>
      <c r="C37" t="s">
        <v>352</v>
      </c>
      <c r="D37">
        <v>2</v>
      </c>
      <c r="E37">
        <v>1</v>
      </c>
      <c r="F37" t="s">
        <v>347</v>
      </c>
      <c r="G37">
        <v>1.62</v>
      </c>
      <c r="H37">
        <v>3.9</v>
      </c>
      <c r="I37">
        <v>5</v>
      </c>
      <c r="J37" s="68">
        <f t="shared" si="14"/>
        <v>3</v>
      </c>
      <c r="K37" s="68">
        <f t="shared" si="15"/>
        <v>0</v>
      </c>
      <c r="L37" s="69">
        <f t="shared" si="16"/>
        <v>0.4</v>
      </c>
      <c r="M37" s="69">
        <f t="shared" si="17"/>
        <v>0.61728395061728392</v>
      </c>
      <c r="N37" s="69">
        <f>IF(A37="","",Tabela1[[#This Row],[PTC]]*Tabela1[[#This Row],[ODDC]])</f>
        <v>4.8600000000000003</v>
      </c>
      <c r="O37" s="69">
        <f>IF(A37="","",Tabela1[[#This Row],[PTV]]*Tabela1[[#This Row],[ODDV]])</f>
        <v>0</v>
      </c>
      <c r="P37" s="68">
        <f t="shared" si="18"/>
        <v>1</v>
      </c>
      <c r="Q37" s="68">
        <f t="shared" si="19"/>
        <v>-1</v>
      </c>
      <c r="R37" s="68">
        <f t="shared" si="20"/>
        <v>0.62000000000000011</v>
      </c>
      <c r="S37" s="68">
        <f t="shared" si="21"/>
        <v>-1</v>
      </c>
      <c r="T37" s="68">
        <f>IF(A37="","",IF(F37="D",Tabela1[[#This Row],[ODDE]]-1,-1))</f>
        <v>-1</v>
      </c>
      <c r="U37" s="70">
        <f>IF(A37="","",IF(AND(Tabela1[[#This Row],[FTHG]]&gt;3,F37="H"),1,0))</f>
        <v>0</v>
      </c>
      <c r="V37" s="70">
        <f>IF(A37="","",IF(AND(Tabela1[[#This Row],[FTAG]]&gt;3,F37="A"),1,0))</f>
        <v>0</v>
      </c>
      <c r="W37" s="70">
        <f t="shared" si="22"/>
        <v>1</v>
      </c>
      <c r="X37" s="70">
        <f t="shared" si="23"/>
        <v>1</v>
      </c>
      <c r="Y37" s="71">
        <f t="shared" si="24"/>
        <v>1</v>
      </c>
      <c r="Z37" s="70">
        <f t="shared" si="25"/>
        <v>0</v>
      </c>
      <c r="AA37" s="70">
        <f t="shared" si="26"/>
        <v>0</v>
      </c>
      <c r="AB37" s="70">
        <f t="shared" si="27"/>
        <v>0</v>
      </c>
      <c r="AC37" s="71">
        <f t="shared" si="28"/>
        <v>1</v>
      </c>
      <c r="AD37" s="72" t="str">
        <f t="shared" si="29"/>
        <v>FEV</v>
      </c>
      <c r="AE37" s="73">
        <f>IF(A37="","",COUNT($N$2:N37))</f>
        <v>36</v>
      </c>
      <c r="AF37" s="74">
        <f t="shared" si="30"/>
        <v>1</v>
      </c>
      <c r="AG37" s="74">
        <f t="shared" si="31"/>
        <v>0</v>
      </c>
      <c r="AH37" s="74">
        <f t="shared" si="32"/>
        <v>0</v>
      </c>
      <c r="AI37" s="74" t="str">
        <f t="shared" si="33"/>
        <v>1,41-1,7</v>
      </c>
      <c r="AJ37" s="74" t="str">
        <f t="shared" si="34"/>
        <v>4,01-5,5</v>
      </c>
      <c r="AK37" s="74">
        <f>IF(A37="","",1/Tabela1[[#This Row],[ODDC]])</f>
        <v>0.61728395061728392</v>
      </c>
      <c r="AL37" s="74">
        <f>IF(A37="","",1/Tabela1[[#This Row],[ODDE]])</f>
        <v>0.25641025641025644</v>
      </c>
      <c r="AM37" s="74">
        <f>IF(A37="","",1/Tabela1[[#This Row],[ODDV]])</f>
        <v>0.2</v>
      </c>
      <c r="AN37" s="74">
        <f>IF(A37="","",1-(Tabela1[[#This Row],[p(H)]]+Tabela1[[#This Row],[p(D)]]+Tabela1[[#This Row],[p(A)]]))</f>
        <v>-7.369420702754037E-2</v>
      </c>
      <c r="AO37" s="74">
        <f>IF(A37="","",IFERROR(Tabela1[[#This Row],[p(H)]]/Tabela1[[#This Row],[FTHG]],1))</f>
        <v>0.30864197530864196</v>
      </c>
      <c r="AP37" s="74">
        <f>IF(A37="","",IFERROR(Tabela1[[#This Row],[p(A)]]/Tabela1[[#This Row],[FTAG]],1))</f>
        <v>0.2</v>
      </c>
      <c r="AQ37" s="107"/>
      <c r="AR37" s="107"/>
      <c r="AS37" s="107"/>
      <c r="AT37" s="107"/>
      <c r="AU37" s="107"/>
      <c r="AV37" s="107"/>
      <c r="AW37" s="107"/>
      <c r="AX37" s="107"/>
      <c r="AY37" s="107"/>
      <c r="AZ37" s="75"/>
      <c r="BA37" s="75"/>
      <c r="BB37" s="75"/>
      <c r="BC37" s="110"/>
      <c r="BD37" s="112"/>
      <c r="BE37" s="110"/>
      <c r="BF37" s="112"/>
      <c r="BG37" s="110"/>
      <c r="BH37" s="112"/>
      <c r="BI37" s="110"/>
      <c r="BJ37" s="112"/>
      <c r="BK37" s="110"/>
      <c r="BL37" s="112"/>
      <c r="BM37" s="110"/>
      <c r="BN37" s="112"/>
      <c r="BO37" s="104"/>
      <c r="BP37" s="104"/>
      <c r="BQ37" s="104"/>
      <c r="BR37" s="104"/>
      <c r="BS37" s="107"/>
      <c r="BT37" s="107"/>
      <c r="BU37" s="107"/>
      <c r="BV37" s="107"/>
      <c r="BW37" s="107"/>
      <c r="BX37" s="75"/>
      <c r="BY37" s="75"/>
      <c r="BZ37" s="75"/>
      <c r="CA37" s="75"/>
      <c r="CB37" s="75"/>
      <c r="CC37" s="75"/>
      <c r="CD37" s="75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</row>
    <row r="38" spans="1:120" ht="18.75" x14ac:dyDescent="0.3">
      <c r="A38" s="4">
        <v>46079</v>
      </c>
      <c r="B38" t="s">
        <v>362</v>
      </c>
      <c r="C38" t="s">
        <v>360</v>
      </c>
      <c r="D38">
        <v>2</v>
      </c>
      <c r="E38">
        <v>1</v>
      </c>
      <c r="F38" t="s">
        <v>347</v>
      </c>
      <c r="G38">
        <v>2.0099999999999998</v>
      </c>
      <c r="H38">
        <v>3.4</v>
      </c>
      <c r="I38">
        <v>3.75</v>
      </c>
      <c r="J38" s="68">
        <f t="shared" si="14"/>
        <v>3</v>
      </c>
      <c r="K38" s="68">
        <f t="shared" si="15"/>
        <v>0</v>
      </c>
      <c r="L38" s="69">
        <f t="shared" si="16"/>
        <v>0.53333333333333333</v>
      </c>
      <c r="M38" s="69">
        <f t="shared" si="17"/>
        <v>0.49751243781094534</v>
      </c>
      <c r="N38" s="69">
        <f>IF(A38="","",Tabela1[[#This Row],[PTC]]*Tabela1[[#This Row],[ODDC]])</f>
        <v>6.0299999999999994</v>
      </c>
      <c r="O38" s="69">
        <f>IF(A38="","",Tabela1[[#This Row],[PTV]]*Tabela1[[#This Row],[ODDV]])</f>
        <v>0</v>
      </c>
      <c r="P38" s="68">
        <f t="shared" si="18"/>
        <v>1</v>
      </c>
      <c r="Q38" s="68">
        <f t="shared" si="19"/>
        <v>-1</v>
      </c>
      <c r="R38" s="68">
        <f t="shared" si="20"/>
        <v>1.0099999999999998</v>
      </c>
      <c r="S38" s="68">
        <f t="shared" si="21"/>
        <v>-1</v>
      </c>
      <c r="T38" s="68">
        <f>IF(A38="","",IF(F38="D",Tabela1[[#This Row],[ODDE]]-1,-1))</f>
        <v>-1</v>
      </c>
      <c r="U38" s="70">
        <f>IF(A38="","",IF(AND(Tabela1[[#This Row],[FTHG]]&gt;3,F38="H"),1,0))</f>
        <v>0</v>
      </c>
      <c r="V38" s="70">
        <f>IF(A38="","",IF(AND(Tabela1[[#This Row],[FTAG]]&gt;3,F38="A"),1,0))</f>
        <v>0</v>
      </c>
      <c r="W38" s="70">
        <f t="shared" si="22"/>
        <v>1</v>
      </c>
      <c r="X38" s="70">
        <f t="shared" si="23"/>
        <v>1</v>
      </c>
      <c r="Y38" s="71">
        <f t="shared" si="24"/>
        <v>1</v>
      </c>
      <c r="Z38" s="70">
        <f t="shared" si="25"/>
        <v>0</v>
      </c>
      <c r="AA38" s="70">
        <f t="shared" si="26"/>
        <v>0</v>
      </c>
      <c r="AB38" s="70">
        <f t="shared" si="27"/>
        <v>0</v>
      </c>
      <c r="AC38" s="71">
        <f t="shared" si="28"/>
        <v>1</v>
      </c>
      <c r="AD38" s="72" t="str">
        <f t="shared" si="29"/>
        <v>FEV</v>
      </c>
      <c r="AE38" s="73">
        <f>IF(A38="","",COUNT($N$2:N38))</f>
        <v>37</v>
      </c>
      <c r="AF38" s="74">
        <f t="shared" si="30"/>
        <v>1</v>
      </c>
      <c r="AG38" s="74">
        <f t="shared" si="31"/>
        <v>0</v>
      </c>
      <c r="AH38" s="74">
        <f t="shared" si="32"/>
        <v>0</v>
      </c>
      <c r="AI38" s="74" t="str">
        <f t="shared" si="33"/>
        <v>2,01-2,4</v>
      </c>
      <c r="AJ38" s="74" t="str">
        <f t="shared" si="34"/>
        <v>3,01-4.0</v>
      </c>
      <c r="AK38" s="74">
        <f>IF(A38="","",1/Tabela1[[#This Row],[ODDC]])</f>
        <v>0.49751243781094534</v>
      </c>
      <c r="AL38" s="74">
        <f>IF(A38="","",1/Tabela1[[#This Row],[ODDE]])</f>
        <v>0.29411764705882354</v>
      </c>
      <c r="AM38" s="74">
        <f>IF(A38="","",1/Tabela1[[#This Row],[ODDV]])</f>
        <v>0.26666666666666666</v>
      </c>
      <c r="AN38" s="74">
        <f>IF(A38="","",1-(Tabela1[[#This Row],[p(H)]]+Tabela1[[#This Row],[p(D)]]+Tabela1[[#This Row],[p(A)]]))</f>
        <v>-5.8296751536435432E-2</v>
      </c>
      <c r="AO38" s="74">
        <f>IF(A38="","",IFERROR(Tabela1[[#This Row],[p(H)]]/Tabela1[[#This Row],[FTHG]],1))</f>
        <v>0.24875621890547267</v>
      </c>
      <c r="AP38" s="74">
        <f>IF(A38="","",IFERROR(Tabela1[[#This Row],[p(A)]]/Tabela1[[#This Row],[FTAG]],1))</f>
        <v>0.26666666666666666</v>
      </c>
      <c r="AQ38" s="107"/>
      <c r="AR38" s="107"/>
      <c r="AS38" s="107"/>
      <c r="AT38" s="107"/>
      <c r="AU38" s="107"/>
      <c r="AV38" s="107"/>
      <c r="AW38" s="107"/>
      <c r="AX38" s="107"/>
      <c r="AY38" s="107"/>
      <c r="AZ38" s="75"/>
      <c r="BA38" s="75"/>
      <c r="BB38" s="75"/>
      <c r="BC38" s="110"/>
      <c r="BD38" s="112"/>
      <c r="BE38" s="110"/>
      <c r="BF38" s="112"/>
      <c r="BG38" s="110"/>
      <c r="BH38" s="112"/>
      <c r="BI38" s="110"/>
      <c r="BJ38" s="112"/>
      <c r="BK38" s="110"/>
      <c r="BL38" s="112"/>
      <c r="BM38" s="104"/>
      <c r="BN38" s="111"/>
      <c r="BO38" s="104"/>
      <c r="BP38" s="104"/>
      <c r="BQ38" s="104"/>
      <c r="BR38" s="104"/>
      <c r="BS38" s="107"/>
      <c r="BT38" s="107"/>
      <c r="BU38" s="107"/>
      <c r="BV38" s="107"/>
      <c r="BW38" s="107"/>
      <c r="BX38" s="75"/>
      <c r="BY38" s="75"/>
      <c r="BZ38" s="75"/>
      <c r="CA38" s="75"/>
      <c r="CB38" s="75"/>
      <c r="CC38" s="75"/>
      <c r="CD38" s="75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</row>
    <row r="39" spans="1:120" x14ac:dyDescent="0.25">
      <c r="A39" s="4">
        <v>46092</v>
      </c>
      <c r="B39" t="s">
        <v>382</v>
      </c>
      <c r="C39" t="s">
        <v>362</v>
      </c>
      <c r="D39">
        <v>2</v>
      </c>
      <c r="E39">
        <v>2</v>
      </c>
      <c r="F39" t="s">
        <v>348</v>
      </c>
      <c r="G39">
        <v>1.66</v>
      </c>
      <c r="H39">
        <v>3.7</v>
      </c>
      <c r="I39">
        <v>4.75</v>
      </c>
      <c r="J39" s="68">
        <f t="shared" si="14"/>
        <v>1</v>
      </c>
      <c r="K39" s="68">
        <f t="shared" si="15"/>
        <v>1</v>
      </c>
      <c r="L39" s="69">
        <f t="shared" si="16"/>
        <v>0.42105263157894735</v>
      </c>
      <c r="M39" s="69">
        <f t="shared" si="17"/>
        <v>1.2048192771084338</v>
      </c>
      <c r="N39" s="69">
        <f>IF(A39="","",Tabela1[[#This Row],[PTC]]*Tabela1[[#This Row],[ODDC]])</f>
        <v>1.66</v>
      </c>
      <c r="O39" s="69">
        <f>IF(A39="","",Tabela1[[#This Row],[PTV]]*Tabela1[[#This Row],[ODDV]])</f>
        <v>4.75</v>
      </c>
      <c r="P39" s="68">
        <f t="shared" si="18"/>
        <v>0</v>
      </c>
      <c r="Q39" s="68">
        <f t="shared" si="19"/>
        <v>0</v>
      </c>
      <c r="R39" s="68">
        <f t="shared" si="20"/>
        <v>-1</v>
      </c>
      <c r="S39" s="68">
        <f t="shared" si="21"/>
        <v>-1</v>
      </c>
      <c r="T39" s="68">
        <f>IF(A39="","",IF(F39="D",Tabela1[[#This Row],[ODDE]]-1,-1))</f>
        <v>2.7</v>
      </c>
      <c r="U39" s="70">
        <f>IF(A39="","",IF(AND(Tabela1[[#This Row],[FTHG]]&gt;3,F39="H"),1,0))</f>
        <v>0</v>
      </c>
      <c r="V39" s="70">
        <f>IF(A39="","",IF(AND(Tabela1[[#This Row],[FTAG]]&gt;3,F39="A"),1,0))</f>
        <v>0</v>
      </c>
      <c r="W39" s="70">
        <f t="shared" si="22"/>
        <v>1</v>
      </c>
      <c r="X39" s="70">
        <f t="shared" si="23"/>
        <v>1</v>
      </c>
      <c r="Y39" s="71">
        <f t="shared" si="24"/>
        <v>1</v>
      </c>
      <c r="Z39" s="70">
        <f t="shared" si="25"/>
        <v>1</v>
      </c>
      <c r="AA39" s="70">
        <f t="shared" si="26"/>
        <v>0</v>
      </c>
      <c r="AB39" s="70">
        <f t="shared" si="27"/>
        <v>0</v>
      </c>
      <c r="AC39" s="71">
        <f t="shared" si="28"/>
        <v>1</v>
      </c>
      <c r="AD39" s="72" t="str">
        <f t="shared" si="29"/>
        <v>MAR</v>
      </c>
      <c r="AE39" s="73">
        <f>IF(A39="","",COUNT($N$2:N39))</f>
        <v>38</v>
      </c>
      <c r="AF39" s="74">
        <f t="shared" si="30"/>
        <v>0</v>
      </c>
      <c r="AG39" s="74">
        <f t="shared" si="31"/>
        <v>1</v>
      </c>
      <c r="AH39" s="74">
        <f t="shared" si="32"/>
        <v>0</v>
      </c>
      <c r="AI39" s="74" t="str">
        <f t="shared" si="33"/>
        <v>1,41-1,7</v>
      </c>
      <c r="AJ39" s="74" t="str">
        <f t="shared" si="34"/>
        <v>4,01-5,5</v>
      </c>
      <c r="AK39" s="74">
        <f>IF(A39="","",1/Tabela1[[#This Row],[ODDC]])</f>
        <v>0.60240963855421692</v>
      </c>
      <c r="AL39" s="74">
        <f>IF(A39="","",1/Tabela1[[#This Row],[ODDE]])</f>
        <v>0.27027027027027023</v>
      </c>
      <c r="AM39" s="74">
        <f>IF(A39="","",1/Tabela1[[#This Row],[ODDV]])</f>
        <v>0.21052631578947367</v>
      </c>
      <c r="AN39" s="74">
        <f>IF(A39="","",1-(Tabela1[[#This Row],[p(H)]]+Tabela1[[#This Row],[p(D)]]+Tabela1[[#This Row],[p(A)]]))</f>
        <v>-8.3206224613960877E-2</v>
      </c>
      <c r="AO39" s="74">
        <f>IF(A39="","",IFERROR(Tabela1[[#This Row],[p(H)]]/Tabela1[[#This Row],[FTHG]],1))</f>
        <v>0.30120481927710846</v>
      </c>
      <c r="AP39" s="74">
        <f>IF(A39="","",IFERROR(Tabela1[[#This Row],[p(A)]]/Tabela1[[#This Row],[FTAG]],1))</f>
        <v>0.10526315789473684</v>
      </c>
      <c r="AQ39" s="107"/>
      <c r="AR39" s="107"/>
      <c r="AS39" s="107"/>
      <c r="AT39" s="107"/>
      <c r="AU39" s="107"/>
      <c r="AV39" s="107"/>
      <c r="AW39" s="107"/>
      <c r="AX39" s="107"/>
      <c r="AY39" s="107"/>
      <c r="AZ39" s="75"/>
      <c r="BA39" s="75"/>
      <c r="BB39" s="75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7"/>
      <c r="BT39" s="107"/>
      <c r="BU39" s="107"/>
      <c r="BV39" s="107"/>
      <c r="BW39" s="107"/>
      <c r="BX39" s="75"/>
      <c r="BY39" s="75"/>
      <c r="BZ39" s="75"/>
      <c r="CA39" s="75"/>
      <c r="CB39" s="75"/>
      <c r="CC39" s="75"/>
      <c r="CD39" s="75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</row>
    <row r="40" spans="1:120" x14ac:dyDescent="0.25">
      <c r="A40" s="4">
        <v>46092</v>
      </c>
      <c r="B40" t="s">
        <v>359</v>
      </c>
      <c r="C40" t="s">
        <v>354</v>
      </c>
      <c r="D40">
        <v>1</v>
      </c>
      <c r="E40">
        <v>0</v>
      </c>
      <c r="F40" t="s">
        <v>347</v>
      </c>
      <c r="G40">
        <v>2.0099999999999998</v>
      </c>
      <c r="H40">
        <v>3.4</v>
      </c>
      <c r="I40">
        <v>3.7</v>
      </c>
      <c r="J40" s="68">
        <f t="shared" si="14"/>
        <v>3</v>
      </c>
      <c r="K40" s="68">
        <f t="shared" si="15"/>
        <v>0</v>
      </c>
      <c r="L40" s="69">
        <f t="shared" si="16"/>
        <v>0.27027027027027023</v>
      </c>
      <c r="M40" s="69">
        <f t="shared" si="17"/>
        <v>0</v>
      </c>
      <c r="N40" s="69">
        <f>IF(A40="","",Tabela1[[#This Row],[PTC]]*Tabela1[[#This Row],[ODDC]])</f>
        <v>6.0299999999999994</v>
      </c>
      <c r="O40" s="69">
        <f>IF(A40="","",Tabela1[[#This Row],[PTV]]*Tabela1[[#This Row],[ODDV]])</f>
        <v>0</v>
      </c>
      <c r="P40" s="68">
        <f t="shared" si="18"/>
        <v>1</v>
      </c>
      <c r="Q40" s="68">
        <f t="shared" si="19"/>
        <v>-1</v>
      </c>
      <c r="R40" s="68">
        <f t="shared" si="20"/>
        <v>1.0099999999999998</v>
      </c>
      <c r="S40" s="68">
        <f t="shared" si="21"/>
        <v>-1</v>
      </c>
      <c r="T40" s="68">
        <f>IF(A40="","",IF(F40="D",Tabela1[[#This Row],[ODDE]]-1,-1))</f>
        <v>-1</v>
      </c>
      <c r="U40" s="70">
        <f>IF(A40="","",IF(AND(Tabela1[[#This Row],[FTHG]]&gt;3,F40="H"),1,0))</f>
        <v>0</v>
      </c>
      <c r="V40" s="70">
        <f>IF(A40="","",IF(AND(Tabela1[[#This Row],[FTAG]]&gt;3,F40="A"),1,0))</f>
        <v>0</v>
      </c>
      <c r="W40" s="70">
        <f t="shared" si="22"/>
        <v>1</v>
      </c>
      <c r="X40" s="70">
        <f t="shared" si="23"/>
        <v>0</v>
      </c>
      <c r="Y40" s="71">
        <f t="shared" si="24"/>
        <v>0</v>
      </c>
      <c r="Z40" s="70">
        <f t="shared" si="25"/>
        <v>0</v>
      </c>
      <c r="AA40" s="70">
        <f t="shared" si="26"/>
        <v>0</v>
      </c>
      <c r="AB40" s="70">
        <f t="shared" si="27"/>
        <v>0</v>
      </c>
      <c r="AC40" s="71">
        <f t="shared" si="28"/>
        <v>0</v>
      </c>
      <c r="AD40" s="72" t="str">
        <f t="shared" si="29"/>
        <v>MAR</v>
      </c>
      <c r="AE40" s="73">
        <f>IF(A40="","",COUNT($N$2:N40))</f>
        <v>39</v>
      </c>
      <c r="AF40" s="74">
        <f t="shared" si="30"/>
        <v>1</v>
      </c>
      <c r="AG40" s="74">
        <f t="shared" si="31"/>
        <v>0</v>
      </c>
      <c r="AH40" s="74">
        <f t="shared" si="32"/>
        <v>0</v>
      </c>
      <c r="AI40" s="74" t="str">
        <f t="shared" si="33"/>
        <v>2,01-2,4</v>
      </c>
      <c r="AJ40" s="74" t="str">
        <f t="shared" si="34"/>
        <v>3,01-4.0</v>
      </c>
      <c r="AK40" s="74">
        <f>IF(A40="","",1/Tabela1[[#This Row],[ODDC]])</f>
        <v>0.49751243781094534</v>
      </c>
      <c r="AL40" s="74">
        <f>IF(A40="","",1/Tabela1[[#This Row],[ODDE]])</f>
        <v>0.29411764705882354</v>
      </c>
      <c r="AM40" s="74">
        <f>IF(A40="","",1/Tabela1[[#This Row],[ODDV]])</f>
        <v>0.27027027027027023</v>
      </c>
      <c r="AN40" s="74">
        <f>IF(A40="","",1-(Tabela1[[#This Row],[p(H)]]+Tabela1[[#This Row],[p(D)]]+Tabela1[[#This Row],[p(A)]]))</f>
        <v>-6.1900355140038998E-2</v>
      </c>
      <c r="AO40" s="74">
        <f>IF(A40="","",IFERROR(Tabela1[[#This Row],[p(H)]]/Tabela1[[#This Row],[FTHG]],1))</f>
        <v>0.49751243781094534</v>
      </c>
      <c r="AP40" s="74">
        <f>IF(A40="","",IFERROR(Tabela1[[#This Row],[p(A)]]/Tabela1[[#This Row],[FTAG]],1))</f>
        <v>1</v>
      </c>
      <c r="AQ40" s="107"/>
      <c r="AR40" s="107"/>
      <c r="AS40" s="107"/>
      <c r="AT40" s="107"/>
      <c r="AU40" s="107"/>
      <c r="AV40" s="107"/>
      <c r="AW40" s="107"/>
      <c r="AX40" s="107"/>
      <c r="AY40" s="107"/>
      <c r="AZ40" s="75"/>
      <c r="BA40" s="75"/>
      <c r="BB40" s="75"/>
      <c r="BC40" s="104"/>
      <c r="BD40" s="104"/>
      <c r="BE40" s="104"/>
      <c r="BF40" s="104"/>
      <c r="BG40" s="111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7"/>
      <c r="BT40" s="107"/>
      <c r="BU40" s="107"/>
      <c r="BV40" s="107"/>
      <c r="BW40" s="107"/>
      <c r="BX40" s="75"/>
      <c r="BY40" s="75"/>
      <c r="BZ40" s="75"/>
      <c r="CA40" s="75"/>
      <c r="CB40" s="75"/>
      <c r="CC40" s="75"/>
      <c r="CD40" s="75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</row>
    <row r="41" spans="1:120" x14ac:dyDescent="0.25">
      <c r="A41" s="4">
        <v>46092</v>
      </c>
      <c r="B41" t="s">
        <v>356</v>
      </c>
      <c r="C41" t="s">
        <v>381</v>
      </c>
      <c r="D41">
        <v>1</v>
      </c>
      <c r="E41">
        <v>1</v>
      </c>
      <c r="F41" t="s">
        <v>348</v>
      </c>
      <c r="G41">
        <v>1.66</v>
      </c>
      <c r="H41">
        <v>3.6</v>
      </c>
      <c r="I41">
        <v>5.25</v>
      </c>
      <c r="J41" s="68">
        <f t="shared" si="14"/>
        <v>1</v>
      </c>
      <c r="K41" s="68">
        <f t="shared" si="15"/>
        <v>1</v>
      </c>
      <c r="L41" s="69">
        <f t="shared" si="16"/>
        <v>0.19047619047619047</v>
      </c>
      <c r="M41" s="69">
        <f t="shared" si="17"/>
        <v>0.60240963855421692</v>
      </c>
      <c r="N41" s="69">
        <f>IF(A41="","",Tabela1[[#This Row],[PTC]]*Tabela1[[#This Row],[ODDC]])</f>
        <v>1.66</v>
      </c>
      <c r="O41" s="69">
        <f>IF(A41="","",Tabela1[[#This Row],[PTV]]*Tabela1[[#This Row],[ODDV]])</f>
        <v>5.25</v>
      </c>
      <c r="P41" s="68">
        <f t="shared" si="18"/>
        <v>0</v>
      </c>
      <c r="Q41" s="68">
        <f t="shared" si="19"/>
        <v>0</v>
      </c>
      <c r="R41" s="68">
        <f t="shared" si="20"/>
        <v>-1</v>
      </c>
      <c r="S41" s="68">
        <f t="shared" si="21"/>
        <v>-1</v>
      </c>
      <c r="T41" s="68">
        <f>IF(A41="","",IF(F41="D",Tabela1[[#This Row],[ODDE]]-1,-1))</f>
        <v>2.6</v>
      </c>
      <c r="U41" s="70">
        <f>IF(A41="","",IF(AND(Tabela1[[#This Row],[FTHG]]&gt;3,F41="H"),1,0))</f>
        <v>0</v>
      </c>
      <c r="V41" s="70">
        <f>IF(A41="","",IF(AND(Tabela1[[#This Row],[FTAG]]&gt;3,F41="A"),1,0))</f>
        <v>0</v>
      </c>
      <c r="W41" s="70">
        <f t="shared" si="22"/>
        <v>1</v>
      </c>
      <c r="X41" s="70">
        <f t="shared" si="23"/>
        <v>1</v>
      </c>
      <c r="Y41" s="71">
        <f t="shared" si="24"/>
        <v>0</v>
      </c>
      <c r="Z41" s="70">
        <f t="shared" si="25"/>
        <v>0</v>
      </c>
      <c r="AA41" s="70">
        <f t="shared" si="26"/>
        <v>0</v>
      </c>
      <c r="AB41" s="70">
        <f t="shared" si="27"/>
        <v>0</v>
      </c>
      <c r="AC41" s="71">
        <f t="shared" si="28"/>
        <v>1</v>
      </c>
      <c r="AD41" s="72" t="str">
        <f t="shared" si="29"/>
        <v>MAR</v>
      </c>
      <c r="AE41" s="73">
        <f>IF(A41="","",COUNT($N$2:N41))</f>
        <v>40</v>
      </c>
      <c r="AF41" s="74">
        <f t="shared" si="30"/>
        <v>0</v>
      </c>
      <c r="AG41" s="74">
        <f t="shared" si="31"/>
        <v>1</v>
      </c>
      <c r="AH41" s="74">
        <f t="shared" si="32"/>
        <v>0</v>
      </c>
      <c r="AI41" s="74" t="str">
        <f t="shared" si="33"/>
        <v>1,41-1,7</v>
      </c>
      <c r="AJ41" s="74" t="str">
        <f t="shared" si="34"/>
        <v>4,01-5,5</v>
      </c>
      <c r="AK41" s="74">
        <f>IF(A41="","",1/Tabela1[[#This Row],[ODDC]])</f>
        <v>0.60240963855421692</v>
      </c>
      <c r="AL41" s="74">
        <f>IF(A41="","",1/Tabela1[[#This Row],[ODDE]])</f>
        <v>0.27777777777777779</v>
      </c>
      <c r="AM41" s="74">
        <f>IF(A41="","",1/Tabela1[[#This Row],[ODDV]])</f>
        <v>0.19047619047619047</v>
      </c>
      <c r="AN41" s="74">
        <f>IF(A41="","",1-(Tabela1[[#This Row],[p(H)]]+Tabela1[[#This Row],[p(D)]]+Tabela1[[#This Row],[p(A)]]))</f>
        <v>-7.0663606808185175E-2</v>
      </c>
      <c r="AO41" s="74">
        <f>IF(A41="","",IFERROR(Tabela1[[#This Row],[p(H)]]/Tabela1[[#This Row],[FTHG]],1))</f>
        <v>0.60240963855421692</v>
      </c>
      <c r="AP41" s="74">
        <f>IF(A41="","",IFERROR(Tabela1[[#This Row],[p(A)]]/Tabela1[[#This Row],[FTAG]],1))</f>
        <v>0.19047619047619047</v>
      </c>
      <c r="AQ41" s="107"/>
      <c r="AR41" s="107"/>
      <c r="AS41" s="107"/>
      <c r="AT41" s="107"/>
      <c r="AU41" s="107"/>
      <c r="AV41" s="107"/>
      <c r="AW41" s="107"/>
      <c r="AX41" s="107"/>
      <c r="AY41" s="107"/>
      <c r="AZ41" s="75"/>
      <c r="BA41" s="75"/>
      <c r="BB41" s="97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7"/>
      <c r="BT41" s="107"/>
      <c r="BU41" s="107"/>
      <c r="BV41" s="107"/>
      <c r="BW41" s="107"/>
      <c r="BX41" s="75"/>
      <c r="BY41" s="75"/>
      <c r="BZ41" s="75"/>
      <c r="CA41" s="75"/>
      <c r="CB41" s="75"/>
      <c r="CC41" s="75"/>
      <c r="CD41" s="75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</row>
    <row r="42" spans="1:120" x14ac:dyDescent="0.25">
      <c r="A42" s="4">
        <v>46093</v>
      </c>
      <c r="B42" t="s">
        <v>357</v>
      </c>
      <c r="C42" t="s">
        <v>387</v>
      </c>
      <c r="D42">
        <v>0</v>
      </c>
      <c r="E42">
        <v>2</v>
      </c>
      <c r="F42" t="s">
        <v>346</v>
      </c>
      <c r="G42">
        <v>1.62</v>
      </c>
      <c r="H42">
        <v>3.75</v>
      </c>
      <c r="I42">
        <v>5</v>
      </c>
      <c r="J42" s="68">
        <f t="shared" si="14"/>
        <v>0</v>
      </c>
      <c r="K42" s="68">
        <f t="shared" si="15"/>
        <v>3</v>
      </c>
      <c r="L42" s="69">
        <f t="shared" si="16"/>
        <v>0</v>
      </c>
      <c r="M42" s="69">
        <f t="shared" si="17"/>
        <v>1.2345679012345678</v>
      </c>
      <c r="N42" s="69">
        <f>IF(A42="","",Tabela1[[#This Row],[PTC]]*Tabela1[[#This Row],[ODDC]])</f>
        <v>0</v>
      </c>
      <c r="O42" s="69">
        <f>IF(A42="","",Tabela1[[#This Row],[PTV]]*Tabela1[[#This Row],[ODDV]])</f>
        <v>15</v>
      </c>
      <c r="P42" s="68">
        <f t="shared" si="18"/>
        <v>-2</v>
      </c>
      <c r="Q42" s="68">
        <f t="shared" si="19"/>
        <v>2</v>
      </c>
      <c r="R42" s="68">
        <f t="shared" si="20"/>
        <v>-1</v>
      </c>
      <c r="S42" s="68">
        <f t="shared" si="21"/>
        <v>4</v>
      </c>
      <c r="T42" s="68">
        <f>IF(A42="","",IF(F42="D",Tabela1[[#This Row],[ODDE]]-1,-1))</f>
        <v>-1</v>
      </c>
      <c r="U42" s="70">
        <f>IF(A42="","",IF(AND(Tabela1[[#This Row],[FTHG]]&gt;3,F42="H"),1,0))</f>
        <v>0</v>
      </c>
      <c r="V42" s="70">
        <f>IF(A42="","",IF(AND(Tabela1[[#This Row],[FTAG]]&gt;3,F42="A"),1,0))</f>
        <v>0</v>
      </c>
      <c r="W42" s="70">
        <f t="shared" si="22"/>
        <v>1</v>
      </c>
      <c r="X42" s="70">
        <f t="shared" si="23"/>
        <v>1</v>
      </c>
      <c r="Y42" s="71">
        <f t="shared" si="24"/>
        <v>0</v>
      </c>
      <c r="Z42" s="70">
        <f t="shared" si="25"/>
        <v>0</v>
      </c>
      <c r="AA42" s="70">
        <f t="shared" si="26"/>
        <v>0</v>
      </c>
      <c r="AB42" s="70">
        <f t="shared" si="27"/>
        <v>0</v>
      </c>
      <c r="AC42" s="71">
        <f t="shared" si="28"/>
        <v>0</v>
      </c>
      <c r="AD42" s="72" t="str">
        <f t="shared" si="29"/>
        <v>MAR</v>
      </c>
      <c r="AE42" s="73">
        <f>IF(A42="","",COUNT($N$2:N42))</f>
        <v>41</v>
      </c>
      <c r="AF42" s="74">
        <f t="shared" si="30"/>
        <v>0</v>
      </c>
      <c r="AG42" s="74">
        <f t="shared" si="31"/>
        <v>0</v>
      </c>
      <c r="AH42" s="74">
        <f t="shared" si="32"/>
        <v>1</v>
      </c>
      <c r="AI42" s="74" t="str">
        <f t="shared" si="33"/>
        <v>1,41-1,7</v>
      </c>
      <c r="AJ42" s="74" t="str">
        <f t="shared" si="34"/>
        <v>4,01-5,5</v>
      </c>
      <c r="AK42" s="74">
        <f>IF(A42="","",1/Tabela1[[#This Row],[ODDC]])</f>
        <v>0.61728395061728392</v>
      </c>
      <c r="AL42" s="74">
        <f>IF(A42="","",1/Tabela1[[#This Row],[ODDE]])</f>
        <v>0.26666666666666666</v>
      </c>
      <c r="AM42" s="74">
        <f>IF(A42="","",1/Tabela1[[#This Row],[ODDV]])</f>
        <v>0.2</v>
      </c>
      <c r="AN42" s="74">
        <f>IF(A42="","",1-(Tabela1[[#This Row],[p(H)]]+Tabela1[[#This Row],[p(D)]]+Tabela1[[#This Row],[p(A)]]))</f>
        <v>-8.395061728395059E-2</v>
      </c>
      <c r="AO42" s="74">
        <f>IF(A42="","",IFERROR(Tabela1[[#This Row],[p(H)]]/Tabela1[[#This Row],[FTHG]],1))</f>
        <v>1</v>
      </c>
      <c r="AP42" s="74">
        <f>IF(A42="","",IFERROR(Tabela1[[#This Row],[p(A)]]/Tabela1[[#This Row],[FTAG]],1))</f>
        <v>0.1</v>
      </c>
      <c r="AQ42" s="107"/>
      <c r="AR42" s="107"/>
      <c r="AS42" s="107"/>
      <c r="AT42" s="107"/>
      <c r="AU42" s="107"/>
      <c r="AV42" s="107"/>
      <c r="AW42" s="107"/>
      <c r="AX42" s="107"/>
      <c r="AY42" s="107"/>
      <c r="AZ42" s="75"/>
      <c r="BA42" s="75"/>
      <c r="BB42" s="97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7"/>
      <c r="BT42" s="107"/>
      <c r="BU42" s="107"/>
      <c r="BV42" s="107"/>
      <c r="BW42" s="107"/>
      <c r="BX42" s="75"/>
      <c r="BY42" s="75"/>
      <c r="BZ42" s="75"/>
      <c r="CA42" s="75"/>
      <c r="CB42" s="75"/>
      <c r="CC42" s="75"/>
      <c r="CD42" s="75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</row>
    <row r="43" spans="1:120" ht="15.75" x14ac:dyDescent="0.25">
      <c r="A43" s="4">
        <v>46093</v>
      </c>
      <c r="B43" t="s">
        <v>363</v>
      </c>
      <c r="C43" t="s">
        <v>358</v>
      </c>
      <c r="D43">
        <v>2</v>
      </c>
      <c r="E43">
        <v>0</v>
      </c>
      <c r="F43" t="s">
        <v>347</v>
      </c>
      <c r="G43">
        <v>1.45</v>
      </c>
      <c r="H43">
        <v>4.2</v>
      </c>
      <c r="I43">
        <v>6.5</v>
      </c>
      <c r="J43" s="68">
        <f t="shared" si="14"/>
        <v>3</v>
      </c>
      <c r="K43" s="68">
        <f t="shared" si="15"/>
        <v>0</v>
      </c>
      <c r="L43" s="69">
        <f t="shared" si="16"/>
        <v>0.30769230769230771</v>
      </c>
      <c r="M43" s="69">
        <f t="shared" si="17"/>
        <v>0</v>
      </c>
      <c r="N43" s="69">
        <f>IF(A43="","",Tabela1[[#This Row],[PTC]]*Tabela1[[#This Row],[ODDC]])</f>
        <v>4.3499999999999996</v>
      </c>
      <c r="O43" s="69">
        <f>IF(A43="","",Tabela1[[#This Row],[PTV]]*Tabela1[[#This Row],[ODDV]])</f>
        <v>0</v>
      </c>
      <c r="P43" s="68">
        <f t="shared" si="18"/>
        <v>2</v>
      </c>
      <c r="Q43" s="68">
        <f t="shared" si="19"/>
        <v>-2</v>
      </c>
      <c r="R43" s="68">
        <f t="shared" si="20"/>
        <v>0.44999999999999996</v>
      </c>
      <c r="S43" s="68">
        <f t="shared" si="21"/>
        <v>-1</v>
      </c>
      <c r="T43" s="68">
        <f>IF(A43="","",IF(F43="D",Tabela1[[#This Row],[ODDE]]-1,-1))</f>
        <v>-1</v>
      </c>
      <c r="U43" s="70">
        <f>IF(A43="","",IF(AND(Tabela1[[#This Row],[FTHG]]&gt;3,F43="H"),1,0))</f>
        <v>0</v>
      </c>
      <c r="V43" s="70">
        <f>IF(A43="","",IF(AND(Tabela1[[#This Row],[FTAG]]&gt;3,F43="A"),1,0))</f>
        <v>0</v>
      </c>
      <c r="W43" s="70">
        <f t="shared" si="22"/>
        <v>1</v>
      </c>
      <c r="X43" s="70">
        <f t="shared" si="23"/>
        <v>1</v>
      </c>
      <c r="Y43" s="71">
        <f t="shared" si="24"/>
        <v>0</v>
      </c>
      <c r="Z43" s="70">
        <f t="shared" si="25"/>
        <v>0</v>
      </c>
      <c r="AA43" s="70">
        <f t="shared" si="26"/>
        <v>0</v>
      </c>
      <c r="AB43" s="70">
        <f t="shared" si="27"/>
        <v>0</v>
      </c>
      <c r="AC43" s="71">
        <f t="shared" si="28"/>
        <v>0</v>
      </c>
      <c r="AD43" s="72" t="str">
        <f t="shared" si="29"/>
        <v>MAR</v>
      </c>
      <c r="AE43" s="73">
        <f>IF(A43="","",COUNT($N$2:N43))</f>
        <v>42</v>
      </c>
      <c r="AF43" s="74">
        <f t="shared" si="30"/>
        <v>1</v>
      </c>
      <c r="AG43" s="74">
        <f t="shared" si="31"/>
        <v>0</v>
      </c>
      <c r="AH43" s="74">
        <f t="shared" si="32"/>
        <v>0</v>
      </c>
      <c r="AI43" s="74" t="str">
        <f t="shared" si="33"/>
        <v>1,41-1,7</v>
      </c>
      <c r="AJ43" s="74" t="str">
        <f t="shared" si="34"/>
        <v>5,51-9,0</v>
      </c>
      <c r="AK43" s="74">
        <f>IF(A43="","",1/Tabela1[[#This Row],[ODDC]])</f>
        <v>0.68965517241379315</v>
      </c>
      <c r="AL43" s="74">
        <f>IF(A43="","",1/Tabela1[[#This Row],[ODDE]])</f>
        <v>0.23809523809523808</v>
      </c>
      <c r="AM43" s="74">
        <f>IF(A43="","",1/Tabela1[[#This Row],[ODDV]])</f>
        <v>0.15384615384615385</v>
      </c>
      <c r="AN43" s="74">
        <f>IF(A43="","",1-(Tabela1[[#This Row],[p(H)]]+Tabela1[[#This Row],[p(D)]]+Tabela1[[#This Row],[p(A)]]))</f>
        <v>-8.1596564355185031E-2</v>
      </c>
      <c r="AO43" s="74">
        <f>IF(A43="","",IFERROR(Tabela1[[#This Row],[p(H)]]/Tabela1[[#This Row],[FTHG]],1))</f>
        <v>0.34482758620689657</v>
      </c>
      <c r="AP43" s="74">
        <f>IF(A43="","",IFERROR(Tabela1[[#This Row],[p(A)]]/Tabela1[[#This Row],[FTAG]],1))</f>
        <v>1</v>
      </c>
      <c r="AQ43" s="107"/>
      <c r="AR43" s="107"/>
      <c r="AS43" s="107"/>
      <c r="AT43" s="107"/>
      <c r="AU43" s="107"/>
      <c r="AV43" s="107"/>
      <c r="AW43" s="107"/>
      <c r="AX43" s="107"/>
      <c r="AY43" s="107"/>
      <c r="AZ43" s="75"/>
      <c r="BA43" s="75"/>
      <c r="BB43" s="97"/>
      <c r="BC43" s="113"/>
      <c r="BD43" s="97"/>
      <c r="BE43" s="104"/>
      <c r="BF43" s="97"/>
      <c r="BG43" s="114"/>
      <c r="BH43" s="114"/>
      <c r="BI43" s="115"/>
      <c r="BJ43" s="100"/>
      <c r="BK43" s="97"/>
      <c r="BL43" s="97"/>
      <c r="BM43" s="97"/>
      <c r="BN43" s="97"/>
      <c r="BO43" s="97"/>
      <c r="BP43" s="97"/>
      <c r="BQ43" s="97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</row>
    <row r="44" spans="1:120" ht="15.75" x14ac:dyDescent="0.25">
      <c r="A44" s="4">
        <v>46093</v>
      </c>
      <c r="B44" t="s">
        <v>389</v>
      </c>
      <c r="C44" t="s">
        <v>352</v>
      </c>
      <c r="D44">
        <v>0</v>
      </c>
      <c r="E44">
        <v>2</v>
      </c>
      <c r="F44" t="s">
        <v>346</v>
      </c>
      <c r="G44">
        <v>4</v>
      </c>
      <c r="H44">
        <v>3.5</v>
      </c>
      <c r="I44">
        <v>1.86</v>
      </c>
      <c r="J44" s="68">
        <f t="shared" si="14"/>
        <v>0</v>
      </c>
      <c r="K44" s="68">
        <f t="shared" si="15"/>
        <v>3</v>
      </c>
      <c r="L44" s="69">
        <f t="shared" si="16"/>
        <v>0</v>
      </c>
      <c r="M44" s="69">
        <f t="shared" si="17"/>
        <v>0.5</v>
      </c>
      <c r="N44" s="69">
        <f>IF(A44="","",Tabela1[[#This Row],[PTC]]*Tabela1[[#This Row],[ODDC]])</f>
        <v>0</v>
      </c>
      <c r="O44" s="69">
        <f>IF(A44="","",Tabela1[[#This Row],[PTV]]*Tabela1[[#This Row],[ODDV]])</f>
        <v>5.58</v>
      </c>
      <c r="P44" s="68">
        <f t="shared" si="18"/>
        <v>-2</v>
      </c>
      <c r="Q44" s="68">
        <f t="shared" si="19"/>
        <v>2</v>
      </c>
      <c r="R44" s="68">
        <f t="shared" si="20"/>
        <v>-1</v>
      </c>
      <c r="S44" s="68">
        <f t="shared" si="21"/>
        <v>0.8600000000000001</v>
      </c>
      <c r="T44" s="68">
        <f>IF(A44="","",IF(F44="D",Tabela1[[#This Row],[ODDE]]-1,-1))</f>
        <v>-1</v>
      </c>
      <c r="U44" s="70">
        <f>IF(A44="","",IF(AND(Tabela1[[#This Row],[FTHG]]&gt;3,F44="H"),1,0))</f>
        <v>0</v>
      </c>
      <c r="V44" s="70">
        <f>IF(A44="","",IF(AND(Tabela1[[#This Row],[FTAG]]&gt;3,F44="A"),1,0))</f>
        <v>0</v>
      </c>
      <c r="W44" s="70">
        <f t="shared" si="22"/>
        <v>1</v>
      </c>
      <c r="X44" s="70">
        <f t="shared" si="23"/>
        <v>1</v>
      </c>
      <c r="Y44" s="71">
        <f t="shared" si="24"/>
        <v>0</v>
      </c>
      <c r="Z44" s="70">
        <f t="shared" si="25"/>
        <v>0</v>
      </c>
      <c r="AA44" s="70">
        <f t="shared" si="26"/>
        <v>0</v>
      </c>
      <c r="AB44" s="70">
        <f t="shared" si="27"/>
        <v>0</v>
      </c>
      <c r="AC44" s="71">
        <f t="shared" si="28"/>
        <v>0</v>
      </c>
      <c r="AD44" s="72" t="str">
        <f t="shared" si="29"/>
        <v>MAR</v>
      </c>
      <c r="AE44" s="73">
        <f>IF(A44="","",COUNT($N$2:N44))</f>
        <v>43</v>
      </c>
      <c r="AF44" s="74">
        <f t="shared" si="30"/>
        <v>0</v>
      </c>
      <c r="AG44" s="74">
        <f t="shared" si="31"/>
        <v>0</v>
      </c>
      <c r="AH44" s="74">
        <f t="shared" si="32"/>
        <v>1</v>
      </c>
      <c r="AI44" s="74" t="str">
        <f t="shared" si="33"/>
        <v>3,01-4.0</v>
      </c>
      <c r="AJ44" s="74" t="str">
        <f t="shared" si="34"/>
        <v>1,71-2,0</v>
      </c>
      <c r="AK44" s="74">
        <f>IF(A44="","",1/Tabela1[[#This Row],[ODDC]])</f>
        <v>0.25</v>
      </c>
      <c r="AL44" s="74">
        <f>IF(A44="","",1/Tabela1[[#This Row],[ODDE]])</f>
        <v>0.2857142857142857</v>
      </c>
      <c r="AM44" s="74">
        <f>IF(A44="","",1/Tabela1[[#This Row],[ODDV]])</f>
        <v>0.5376344086021505</v>
      </c>
      <c r="AN44" s="74">
        <f>IF(A44="","",1-(Tabela1[[#This Row],[p(H)]]+Tabela1[[#This Row],[p(D)]]+Tabela1[[#This Row],[p(A)]]))</f>
        <v>-7.3348694316436092E-2</v>
      </c>
      <c r="AO44" s="74">
        <f>IF(A44="","",IFERROR(Tabela1[[#This Row],[p(H)]]/Tabela1[[#This Row],[FTHG]],1))</f>
        <v>1</v>
      </c>
      <c r="AP44" s="74">
        <f>IF(A44="","",IFERROR(Tabela1[[#This Row],[p(A)]]/Tabela1[[#This Row],[FTAG]],1))</f>
        <v>0.26881720430107525</v>
      </c>
      <c r="AQ44" s="107"/>
      <c r="AR44" s="107"/>
      <c r="AS44" s="107"/>
      <c r="AT44" s="107"/>
      <c r="AU44" s="107"/>
      <c r="AV44" s="107"/>
      <c r="AW44" s="107"/>
      <c r="AX44" s="107"/>
      <c r="AY44" s="107"/>
      <c r="AZ44" s="75"/>
      <c r="BA44" s="75"/>
      <c r="BB44" s="97"/>
      <c r="BC44" s="113"/>
      <c r="BD44" s="97"/>
      <c r="BE44" s="104"/>
      <c r="BF44" s="97"/>
      <c r="BG44" s="114"/>
      <c r="BH44" s="114"/>
      <c r="BI44" s="115"/>
      <c r="BJ44" s="104"/>
      <c r="BK44" s="104"/>
      <c r="BL44" s="104"/>
      <c r="BM44" s="104"/>
      <c r="BN44" s="104"/>
      <c r="BO44" s="104"/>
      <c r="BP44" s="104"/>
      <c r="BQ44" s="104"/>
      <c r="BR44" s="107"/>
      <c r="BS44" s="107"/>
      <c r="BT44" s="107"/>
      <c r="BU44" s="107"/>
      <c r="BV44" s="107"/>
      <c r="BW44" s="107"/>
      <c r="BX44" s="75"/>
      <c r="BY44" s="75"/>
      <c r="BZ44" s="75"/>
      <c r="CA44" s="75"/>
      <c r="CB44" s="75"/>
      <c r="CC44" s="75"/>
      <c r="CD44" s="75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</row>
    <row r="45" spans="1:120" ht="15.75" x14ac:dyDescent="0.25">
      <c r="A45" s="4">
        <v>46093</v>
      </c>
      <c r="B45" t="s">
        <v>360</v>
      </c>
      <c r="C45" t="s">
        <v>353</v>
      </c>
      <c r="D45">
        <v>2</v>
      </c>
      <c r="E45">
        <v>1</v>
      </c>
      <c r="F45" t="s">
        <v>347</v>
      </c>
      <c r="G45">
        <v>3.1</v>
      </c>
      <c r="H45">
        <v>3.25</v>
      </c>
      <c r="I45">
        <v>2.4</v>
      </c>
      <c r="J45" s="68">
        <f t="shared" si="14"/>
        <v>3</v>
      </c>
      <c r="K45" s="68">
        <f t="shared" si="15"/>
        <v>0</v>
      </c>
      <c r="L45" s="69">
        <f t="shared" si="16"/>
        <v>0.83333333333333337</v>
      </c>
      <c r="M45" s="69">
        <f t="shared" si="17"/>
        <v>0.32258064516129031</v>
      </c>
      <c r="N45" s="69">
        <f>IF(A45="","",Tabela1[[#This Row],[PTC]]*Tabela1[[#This Row],[ODDC]])</f>
        <v>9.3000000000000007</v>
      </c>
      <c r="O45" s="69">
        <f>IF(A45="","",Tabela1[[#This Row],[PTV]]*Tabela1[[#This Row],[ODDV]])</f>
        <v>0</v>
      </c>
      <c r="P45" s="68">
        <f t="shared" si="18"/>
        <v>1</v>
      </c>
      <c r="Q45" s="68">
        <f t="shared" si="19"/>
        <v>-1</v>
      </c>
      <c r="R45" s="68">
        <f t="shared" si="20"/>
        <v>2.1</v>
      </c>
      <c r="S45" s="68">
        <f t="shared" si="21"/>
        <v>-1</v>
      </c>
      <c r="T45" s="68">
        <f>IF(A45="","",IF(F45="D",Tabela1[[#This Row],[ODDE]]-1,-1))</f>
        <v>-1</v>
      </c>
      <c r="U45" s="70">
        <f>IF(A45="","",IF(AND(Tabela1[[#This Row],[FTHG]]&gt;3,F45="H"),1,0))</f>
        <v>0</v>
      </c>
      <c r="V45" s="70">
        <f>IF(A45="","",IF(AND(Tabela1[[#This Row],[FTAG]]&gt;3,F45="A"),1,0))</f>
        <v>0</v>
      </c>
      <c r="W45" s="70">
        <f t="shared" si="22"/>
        <v>1</v>
      </c>
      <c r="X45" s="70">
        <f t="shared" si="23"/>
        <v>1</v>
      </c>
      <c r="Y45" s="71">
        <f t="shared" si="24"/>
        <v>1</v>
      </c>
      <c r="Z45" s="70">
        <f t="shared" si="25"/>
        <v>0</v>
      </c>
      <c r="AA45" s="70">
        <f t="shared" si="26"/>
        <v>0</v>
      </c>
      <c r="AB45" s="70">
        <f t="shared" si="27"/>
        <v>0</v>
      </c>
      <c r="AC45" s="71">
        <f t="shared" si="28"/>
        <v>1</v>
      </c>
      <c r="AD45" s="72" t="str">
        <f t="shared" si="29"/>
        <v>MAR</v>
      </c>
      <c r="AE45" s="73">
        <f>IF(A45="","",COUNT($N$2:N45))</f>
        <v>44</v>
      </c>
      <c r="AF45" s="74">
        <f t="shared" si="30"/>
        <v>1</v>
      </c>
      <c r="AG45" s="74">
        <f t="shared" si="31"/>
        <v>0</v>
      </c>
      <c r="AH45" s="74">
        <f t="shared" si="32"/>
        <v>0</v>
      </c>
      <c r="AI45" s="74" t="str">
        <f t="shared" si="33"/>
        <v>3,01-4.0</v>
      </c>
      <c r="AJ45" s="74" t="str">
        <f t="shared" si="34"/>
        <v>2,01-2,4</v>
      </c>
      <c r="AK45" s="74">
        <f>IF(A45="","",1/Tabela1[[#This Row],[ODDC]])</f>
        <v>0.32258064516129031</v>
      </c>
      <c r="AL45" s="74">
        <f>IF(A45="","",1/Tabela1[[#This Row],[ODDE]])</f>
        <v>0.30769230769230771</v>
      </c>
      <c r="AM45" s="74">
        <f>IF(A45="","",1/Tabela1[[#This Row],[ODDV]])</f>
        <v>0.41666666666666669</v>
      </c>
      <c r="AN45" s="74">
        <f>IF(A45="","",1-(Tabela1[[#This Row],[p(H)]]+Tabela1[[#This Row],[p(D)]]+Tabela1[[#This Row],[p(A)]]))</f>
        <v>-4.6939619520264708E-2</v>
      </c>
      <c r="AO45" s="74">
        <f>IF(A45="","",IFERROR(Tabela1[[#This Row],[p(H)]]/Tabela1[[#This Row],[FTHG]],1))</f>
        <v>0.16129032258064516</v>
      </c>
      <c r="AP45" s="74">
        <f>IF(A45="","",IFERROR(Tabela1[[#This Row],[p(A)]]/Tabela1[[#This Row],[FTAG]],1))</f>
        <v>0.41666666666666669</v>
      </c>
      <c r="AQ45" s="107"/>
      <c r="AR45" s="107"/>
      <c r="AS45" s="107"/>
      <c r="AT45" s="107"/>
      <c r="AU45" s="107"/>
      <c r="AV45" s="107"/>
      <c r="AW45" s="107"/>
      <c r="AX45" s="107"/>
      <c r="AY45" s="107"/>
      <c r="AZ45" s="75"/>
      <c r="BA45" s="75"/>
      <c r="BB45" s="97"/>
      <c r="BC45" s="113"/>
      <c r="BD45" s="97"/>
      <c r="BE45" s="104"/>
      <c r="BF45" s="97"/>
      <c r="BG45" s="114"/>
      <c r="BH45" s="114"/>
      <c r="BI45" s="115"/>
      <c r="BJ45" s="116"/>
      <c r="BK45" s="97"/>
      <c r="BL45" s="97"/>
      <c r="BM45" s="97"/>
      <c r="BN45" s="97"/>
      <c r="BO45" s="97"/>
      <c r="BP45" s="97"/>
      <c r="BQ45" s="97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</row>
    <row r="46" spans="1:120" ht="15.75" x14ac:dyDescent="0.25">
      <c r="A46" s="4">
        <v>46093</v>
      </c>
      <c r="B46" t="s">
        <v>351</v>
      </c>
      <c r="C46" t="s">
        <v>390</v>
      </c>
      <c r="D46">
        <v>2</v>
      </c>
      <c r="E46">
        <v>0</v>
      </c>
      <c r="F46" t="s">
        <v>347</v>
      </c>
      <c r="G46">
        <v>1.39</v>
      </c>
      <c r="H46">
        <v>4.5</v>
      </c>
      <c r="I46">
        <v>7.5</v>
      </c>
      <c r="J46" s="68">
        <f t="shared" si="14"/>
        <v>3</v>
      </c>
      <c r="K46" s="68">
        <f t="shared" si="15"/>
        <v>0</v>
      </c>
      <c r="L46" s="69">
        <f t="shared" si="16"/>
        <v>0.26666666666666666</v>
      </c>
      <c r="M46" s="69">
        <f t="shared" si="17"/>
        <v>0</v>
      </c>
      <c r="N46" s="69">
        <f>IF(A46="","",Tabela1[[#This Row],[PTC]]*Tabela1[[#This Row],[ODDC]])</f>
        <v>4.17</v>
      </c>
      <c r="O46" s="69">
        <f>IF(A46="","",Tabela1[[#This Row],[PTV]]*Tabela1[[#This Row],[ODDV]])</f>
        <v>0</v>
      </c>
      <c r="P46" s="68">
        <f t="shared" si="18"/>
        <v>2</v>
      </c>
      <c r="Q46" s="68">
        <f t="shared" si="19"/>
        <v>-2</v>
      </c>
      <c r="R46" s="68">
        <f t="shared" si="20"/>
        <v>0.3899999999999999</v>
      </c>
      <c r="S46" s="68">
        <f t="shared" si="21"/>
        <v>-1</v>
      </c>
      <c r="T46" s="68">
        <f>IF(A46="","",IF(F46="D",Tabela1[[#This Row],[ODDE]]-1,-1))</f>
        <v>-1</v>
      </c>
      <c r="U46" s="70">
        <f>IF(A46="","",IF(AND(Tabela1[[#This Row],[FTHG]]&gt;3,F46="H"),1,0))</f>
        <v>0</v>
      </c>
      <c r="V46" s="70">
        <f>IF(A46="","",IF(AND(Tabela1[[#This Row],[FTAG]]&gt;3,F46="A"),1,0))</f>
        <v>0</v>
      </c>
      <c r="W46" s="70">
        <f t="shared" si="22"/>
        <v>1</v>
      </c>
      <c r="X46" s="70">
        <f t="shared" si="23"/>
        <v>1</v>
      </c>
      <c r="Y46" s="71">
        <f t="shared" si="24"/>
        <v>0</v>
      </c>
      <c r="Z46" s="70">
        <f t="shared" si="25"/>
        <v>0</v>
      </c>
      <c r="AA46" s="70">
        <f t="shared" si="26"/>
        <v>0</v>
      </c>
      <c r="AB46" s="70">
        <f t="shared" si="27"/>
        <v>0</v>
      </c>
      <c r="AC46" s="71">
        <f t="shared" si="28"/>
        <v>0</v>
      </c>
      <c r="AD46" s="72" t="str">
        <f t="shared" si="29"/>
        <v>MAR</v>
      </c>
      <c r="AE46" s="73">
        <f>IF(A46="","",COUNT($N$2:N46))</f>
        <v>45</v>
      </c>
      <c r="AF46" s="74">
        <f t="shared" si="30"/>
        <v>1</v>
      </c>
      <c r="AG46" s="74">
        <f t="shared" si="31"/>
        <v>0</v>
      </c>
      <c r="AH46" s="74">
        <f t="shared" si="32"/>
        <v>0</v>
      </c>
      <c r="AI46" s="74" t="str">
        <f t="shared" si="33"/>
        <v>1,21-1,4</v>
      </c>
      <c r="AJ46" s="74" t="str">
        <f t="shared" si="34"/>
        <v>5,51-9,0</v>
      </c>
      <c r="AK46" s="74">
        <f>IF(A46="","",1/Tabela1[[#This Row],[ODDC]])</f>
        <v>0.71942446043165476</v>
      </c>
      <c r="AL46" s="74">
        <f>IF(A46="","",1/Tabela1[[#This Row],[ODDE]])</f>
        <v>0.22222222222222221</v>
      </c>
      <c r="AM46" s="74">
        <f>IF(A46="","",1/Tabela1[[#This Row],[ODDV]])</f>
        <v>0.13333333333333333</v>
      </c>
      <c r="AN46" s="74">
        <f>IF(A46="","",1-(Tabela1[[#This Row],[p(H)]]+Tabela1[[#This Row],[p(D)]]+Tabela1[[#This Row],[p(A)]]))</f>
        <v>-7.4980015987210269E-2</v>
      </c>
      <c r="AO46" s="74">
        <f>IF(A46="","",IFERROR(Tabela1[[#This Row],[p(H)]]/Tabela1[[#This Row],[FTHG]],1))</f>
        <v>0.35971223021582738</v>
      </c>
      <c r="AP46" s="74">
        <f>IF(A46="","",IFERROR(Tabela1[[#This Row],[p(A)]]/Tabela1[[#This Row],[FTAG]],1))</f>
        <v>1</v>
      </c>
      <c r="AQ46" s="107"/>
      <c r="AR46" s="107"/>
      <c r="AS46" s="107"/>
      <c r="AT46" s="107"/>
      <c r="AU46" s="107"/>
      <c r="AV46" s="107"/>
      <c r="AW46" s="107"/>
      <c r="AX46" s="107"/>
      <c r="AY46" s="107"/>
      <c r="AZ46" s="75"/>
      <c r="BA46" s="75"/>
      <c r="BB46" s="97"/>
      <c r="BC46" s="113"/>
      <c r="BD46" s="97"/>
      <c r="BE46" s="104"/>
      <c r="BF46" s="97"/>
      <c r="BG46" s="114"/>
      <c r="BH46" s="114"/>
      <c r="BI46" s="115"/>
      <c r="BJ46" s="104"/>
      <c r="BK46" s="104"/>
      <c r="BL46" s="104"/>
      <c r="BM46" s="104"/>
      <c r="BN46" s="104"/>
      <c r="BO46" s="104"/>
      <c r="BP46" s="104"/>
      <c r="BQ46" s="104"/>
      <c r="BR46" s="107"/>
      <c r="BS46" s="107"/>
      <c r="BT46" s="107"/>
      <c r="BU46" s="107"/>
      <c r="BV46" s="107"/>
      <c r="BW46" s="107"/>
      <c r="BX46" s="75"/>
      <c r="BY46" s="75"/>
      <c r="BZ46" s="75"/>
      <c r="CA46" s="75"/>
      <c r="CB46" s="75"/>
      <c r="CC46" s="75"/>
      <c r="CD46" s="75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</row>
    <row r="47" spans="1:120" ht="15.75" x14ac:dyDescent="0.25">
      <c r="A47" s="4">
        <v>46094</v>
      </c>
      <c r="B47" t="s">
        <v>361</v>
      </c>
      <c r="C47" t="s">
        <v>355</v>
      </c>
      <c r="D47">
        <v>1</v>
      </c>
      <c r="E47">
        <v>1</v>
      </c>
      <c r="F47" t="s">
        <v>348</v>
      </c>
      <c r="G47">
        <v>2.15</v>
      </c>
      <c r="H47">
        <v>3.4</v>
      </c>
      <c r="I47">
        <v>3.2</v>
      </c>
      <c r="J47" s="68">
        <f t="shared" si="14"/>
        <v>1</v>
      </c>
      <c r="K47" s="68">
        <f t="shared" si="15"/>
        <v>1</v>
      </c>
      <c r="L47" s="69">
        <f t="shared" si="16"/>
        <v>0.3125</v>
      </c>
      <c r="M47" s="69">
        <f t="shared" si="17"/>
        <v>0.46511627906976744</v>
      </c>
      <c r="N47" s="69">
        <f>IF(A47="","",Tabela1[[#This Row],[PTC]]*Tabela1[[#This Row],[ODDC]])</f>
        <v>2.15</v>
      </c>
      <c r="O47" s="69">
        <f>IF(A47="","",Tabela1[[#This Row],[PTV]]*Tabela1[[#This Row],[ODDV]])</f>
        <v>3.2</v>
      </c>
      <c r="P47" s="68">
        <f t="shared" si="18"/>
        <v>0</v>
      </c>
      <c r="Q47" s="68">
        <f t="shared" si="19"/>
        <v>0</v>
      </c>
      <c r="R47" s="68">
        <f t="shared" si="20"/>
        <v>-1</v>
      </c>
      <c r="S47" s="68">
        <f t="shared" si="21"/>
        <v>-1</v>
      </c>
      <c r="T47" s="68">
        <f>IF(A47="","",IF(F47="D",Tabela1[[#This Row],[ODDE]]-1,-1))</f>
        <v>2.4</v>
      </c>
      <c r="U47" s="70">
        <f>IF(A47="","",IF(AND(Tabela1[[#This Row],[FTHG]]&gt;3,F47="H"),1,0))</f>
        <v>0</v>
      </c>
      <c r="V47" s="70">
        <f>IF(A47="","",IF(AND(Tabela1[[#This Row],[FTAG]]&gt;3,F47="A"),1,0))</f>
        <v>0</v>
      </c>
      <c r="W47" s="70">
        <f t="shared" si="22"/>
        <v>1</v>
      </c>
      <c r="X47" s="70">
        <f t="shared" si="23"/>
        <v>1</v>
      </c>
      <c r="Y47" s="71">
        <f t="shared" si="24"/>
        <v>0</v>
      </c>
      <c r="Z47" s="70">
        <f t="shared" si="25"/>
        <v>0</v>
      </c>
      <c r="AA47" s="70">
        <f t="shared" si="26"/>
        <v>0</v>
      </c>
      <c r="AB47" s="70">
        <f t="shared" si="27"/>
        <v>0</v>
      </c>
      <c r="AC47" s="71">
        <f t="shared" si="28"/>
        <v>1</v>
      </c>
      <c r="AD47" s="72" t="str">
        <f t="shared" si="29"/>
        <v>MAR</v>
      </c>
      <c r="AE47" s="73">
        <f>IF(A47="","",COUNT($N$2:N47))</f>
        <v>46</v>
      </c>
      <c r="AF47" s="74">
        <f t="shared" si="30"/>
        <v>0</v>
      </c>
      <c r="AG47" s="74">
        <f t="shared" si="31"/>
        <v>1</v>
      </c>
      <c r="AH47" s="74">
        <f t="shared" si="32"/>
        <v>0</v>
      </c>
      <c r="AI47" s="74" t="str">
        <f t="shared" si="33"/>
        <v>2,01-2,4</v>
      </c>
      <c r="AJ47" s="74" t="str">
        <f t="shared" si="34"/>
        <v>3,01-4.0</v>
      </c>
      <c r="AK47" s="74">
        <f>IF(A47="","",1/Tabela1[[#This Row],[ODDC]])</f>
        <v>0.46511627906976744</v>
      </c>
      <c r="AL47" s="74">
        <f>IF(A47="","",1/Tabela1[[#This Row],[ODDE]])</f>
        <v>0.29411764705882354</v>
      </c>
      <c r="AM47" s="74">
        <f>IF(A47="","",1/Tabela1[[#This Row],[ODDV]])</f>
        <v>0.3125</v>
      </c>
      <c r="AN47" s="74">
        <f>IF(A47="","",1-(Tabela1[[#This Row],[p(H)]]+Tabela1[[#This Row],[p(D)]]+Tabela1[[#This Row],[p(A)]]))</f>
        <v>-7.1733926128590975E-2</v>
      </c>
      <c r="AO47" s="74">
        <f>IF(A47="","",IFERROR(Tabela1[[#This Row],[p(H)]]/Tabela1[[#This Row],[FTHG]],1))</f>
        <v>0.46511627906976744</v>
      </c>
      <c r="AP47" s="74">
        <f>IF(A47="","",IFERROR(Tabela1[[#This Row],[p(A)]]/Tabela1[[#This Row],[FTAG]],1))</f>
        <v>0.3125</v>
      </c>
      <c r="AQ47" s="107"/>
      <c r="AR47" s="107"/>
      <c r="AS47" s="107"/>
      <c r="AT47" s="107"/>
      <c r="AU47" s="107"/>
      <c r="AV47" s="107"/>
      <c r="AW47" s="107"/>
      <c r="AX47" s="107"/>
      <c r="AY47" s="107"/>
      <c r="AZ47" s="75"/>
      <c r="BA47" s="75"/>
      <c r="BB47" s="97"/>
      <c r="BC47" s="113"/>
      <c r="BD47" s="97"/>
      <c r="BE47" s="104"/>
      <c r="BF47" s="97"/>
      <c r="BG47" s="114"/>
      <c r="BH47" s="114"/>
      <c r="BI47" s="115"/>
      <c r="BJ47" s="104"/>
      <c r="BK47" s="97"/>
      <c r="BL47" s="97"/>
      <c r="BM47" s="104"/>
      <c r="BN47" s="97"/>
      <c r="BO47" s="97"/>
      <c r="BP47" s="97"/>
      <c r="BQ47" s="97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</row>
    <row r="48" spans="1:120" ht="15.75" x14ac:dyDescent="0.25">
      <c r="A48" s="4">
        <v>46095</v>
      </c>
      <c r="B48" t="s">
        <v>381</v>
      </c>
      <c r="C48" t="s">
        <v>359</v>
      </c>
      <c r="D48">
        <v>2</v>
      </c>
      <c r="E48">
        <v>0</v>
      </c>
      <c r="F48" t="s">
        <v>347</v>
      </c>
      <c r="G48">
        <v>2.3199999999999998</v>
      </c>
      <c r="H48">
        <v>3.1</v>
      </c>
      <c r="I48">
        <v>3.25</v>
      </c>
      <c r="J48" s="68">
        <f t="shared" si="14"/>
        <v>3</v>
      </c>
      <c r="K48" s="68">
        <f t="shared" si="15"/>
        <v>0</v>
      </c>
      <c r="L48" s="69">
        <f t="shared" si="16"/>
        <v>0.61538461538461542</v>
      </c>
      <c r="M48" s="69">
        <f t="shared" si="17"/>
        <v>0</v>
      </c>
      <c r="N48" s="69">
        <f>IF(A48="","",Tabela1[[#This Row],[PTC]]*Tabela1[[#This Row],[ODDC]])</f>
        <v>6.9599999999999991</v>
      </c>
      <c r="O48" s="69">
        <f>IF(A48="","",Tabela1[[#This Row],[PTV]]*Tabela1[[#This Row],[ODDV]])</f>
        <v>0</v>
      </c>
      <c r="P48" s="68">
        <f t="shared" si="18"/>
        <v>2</v>
      </c>
      <c r="Q48" s="68">
        <f t="shared" si="19"/>
        <v>-2</v>
      </c>
      <c r="R48" s="68">
        <f t="shared" si="20"/>
        <v>1.3199999999999998</v>
      </c>
      <c r="S48" s="68">
        <f t="shared" si="21"/>
        <v>-1</v>
      </c>
      <c r="T48" s="68">
        <f>IF(A48="","",IF(F48="D",Tabela1[[#This Row],[ODDE]]-1,-1))</f>
        <v>-1</v>
      </c>
      <c r="U48" s="70">
        <f>IF(A48="","",IF(AND(Tabela1[[#This Row],[FTHG]]&gt;3,F48="H"),1,0))</f>
        <v>0</v>
      </c>
      <c r="V48" s="70">
        <f>IF(A48="","",IF(AND(Tabela1[[#This Row],[FTAG]]&gt;3,F48="A"),1,0))</f>
        <v>0</v>
      </c>
      <c r="W48" s="70">
        <f t="shared" si="22"/>
        <v>1</v>
      </c>
      <c r="X48" s="70">
        <f t="shared" si="23"/>
        <v>1</v>
      </c>
      <c r="Y48" s="71">
        <f t="shared" si="24"/>
        <v>0</v>
      </c>
      <c r="Z48" s="70">
        <f t="shared" si="25"/>
        <v>0</v>
      </c>
      <c r="AA48" s="70">
        <f t="shared" si="26"/>
        <v>0</v>
      </c>
      <c r="AB48" s="70">
        <f t="shared" si="27"/>
        <v>0</v>
      </c>
      <c r="AC48" s="71">
        <f t="shared" si="28"/>
        <v>0</v>
      </c>
      <c r="AD48" s="72" t="str">
        <f t="shared" si="29"/>
        <v>MAR</v>
      </c>
      <c r="AE48" s="73">
        <f>IF(A48="","",COUNT($N$2:N48))</f>
        <v>47</v>
      </c>
      <c r="AF48" s="74">
        <f t="shared" si="30"/>
        <v>1</v>
      </c>
      <c r="AG48" s="74">
        <f t="shared" si="31"/>
        <v>0</v>
      </c>
      <c r="AH48" s="74">
        <f t="shared" si="32"/>
        <v>0</v>
      </c>
      <c r="AI48" s="74" t="str">
        <f t="shared" si="33"/>
        <v>2,01-2,4</v>
      </c>
      <c r="AJ48" s="74" t="str">
        <f t="shared" si="34"/>
        <v>3,01-4.0</v>
      </c>
      <c r="AK48" s="74">
        <f>IF(A48="","",1/Tabela1[[#This Row],[ODDC]])</f>
        <v>0.43103448275862072</v>
      </c>
      <c r="AL48" s="74">
        <f>IF(A48="","",1/Tabela1[[#This Row],[ODDE]])</f>
        <v>0.32258064516129031</v>
      </c>
      <c r="AM48" s="74">
        <f>IF(A48="","",1/Tabela1[[#This Row],[ODDV]])</f>
        <v>0.30769230769230771</v>
      </c>
      <c r="AN48" s="74">
        <f>IF(A48="","",1-(Tabela1[[#This Row],[p(H)]]+Tabela1[[#This Row],[p(D)]]+Tabela1[[#This Row],[p(A)]]))</f>
        <v>-6.1307435612218741E-2</v>
      </c>
      <c r="AO48" s="74">
        <f>IF(A48="","",IFERROR(Tabela1[[#This Row],[p(H)]]/Tabela1[[#This Row],[FTHG]],1))</f>
        <v>0.21551724137931036</v>
      </c>
      <c r="AP48" s="74">
        <f>IF(A48="","",IFERROR(Tabela1[[#This Row],[p(A)]]/Tabela1[[#This Row],[FTAG]],1))</f>
        <v>1</v>
      </c>
      <c r="AQ48" s="107"/>
      <c r="AR48" s="107"/>
      <c r="AS48" s="107"/>
      <c r="AT48" s="107"/>
      <c r="AU48" s="107"/>
      <c r="AV48" s="107"/>
      <c r="AW48" s="107"/>
      <c r="AX48" s="107"/>
      <c r="AY48" s="107"/>
      <c r="AZ48" s="75"/>
      <c r="BA48" s="75"/>
      <c r="BB48" s="97"/>
      <c r="BC48" s="113"/>
      <c r="BD48" s="97"/>
      <c r="BE48" s="104"/>
      <c r="BF48" s="97"/>
      <c r="BG48" s="114"/>
      <c r="BH48" s="114"/>
      <c r="BI48" s="115"/>
      <c r="BJ48" s="104"/>
      <c r="BK48" s="97"/>
      <c r="BL48" s="97"/>
      <c r="BM48" s="104"/>
      <c r="BN48" s="97"/>
      <c r="BO48" s="97"/>
      <c r="BP48" s="97"/>
      <c r="BQ48" s="97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</row>
    <row r="49" spans="1:120" ht="15.75" x14ac:dyDescent="0.25">
      <c r="A49" s="4">
        <v>46095</v>
      </c>
      <c r="B49" t="s">
        <v>350</v>
      </c>
      <c r="C49" t="s">
        <v>363</v>
      </c>
      <c r="D49">
        <v>0</v>
      </c>
      <c r="E49">
        <v>3</v>
      </c>
      <c r="F49" t="s">
        <v>346</v>
      </c>
      <c r="G49">
        <v>4.0999999999999996</v>
      </c>
      <c r="H49">
        <v>3.3</v>
      </c>
      <c r="I49">
        <v>1.91</v>
      </c>
      <c r="J49" s="68">
        <f t="shared" si="14"/>
        <v>0</v>
      </c>
      <c r="K49" s="68">
        <f t="shared" si="15"/>
        <v>3</v>
      </c>
      <c r="L49" s="69">
        <f t="shared" si="16"/>
        <v>0</v>
      </c>
      <c r="M49" s="69">
        <f t="shared" si="17"/>
        <v>0.73170731707317083</v>
      </c>
      <c r="N49" s="69">
        <f>IF(A49="","",Tabela1[[#This Row],[PTC]]*Tabela1[[#This Row],[ODDC]])</f>
        <v>0</v>
      </c>
      <c r="O49" s="69">
        <f>IF(A49="","",Tabela1[[#This Row],[PTV]]*Tabela1[[#This Row],[ODDV]])</f>
        <v>5.7299999999999995</v>
      </c>
      <c r="P49" s="68">
        <f t="shared" si="18"/>
        <v>-3</v>
      </c>
      <c r="Q49" s="68">
        <f t="shared" si="19"/>
        <v>3</v>
      </c>
      <c r="R49" s="68">
        <f t="shared" si="20"/>
        <v>-1</v>
      </c>
      <c r="S49" s="68">
        <f t="shared" si="21"/>
        <v>0.90999999999999992</v>
      </c>
      <c r="T49" s="68">
        <f>IF(A49="","",IF(F49="D",Tabela1[[#This Row],[ODDE]]-1,-1))</f>
        <v>-1</v>
      </c>
      <c r="U49" s="70">
        <f>IF(A49="","",IF(AND(Tabela1[[#This Row],[FTHG]]&gt;3,F49="H"),1,0))</f>
        <v>0</v>
      </c>
      <c r="V49" s="70">
        <f>IF(A49="","",IF(AND(Tabela1[[#This Row],[FTAG]]&gt;3,F49="A"),1,0))</f>
        <v>0</v>
      </c>
      <c r="W49" s="70">
        <f t="shared" si="22"/>
        <v>1</v>
      </c>
      <c r="X49" s="70">
        <f t="shared" si="23"/>
        <v>1</v>
      </c>
      <c r="Y49" s="71">
        <f t="shared" si="24"/>
        <v>1</v>
      </c>
      <c r="Z49" s="70">
        <f t="shared" si="25"/>
        <v>0</v>
      </c>
      <c r="AA49" s="70">
        <f t="shared" si="26"/>
        <v>0</v>
      </c>
      <c r="AB49" s="70">
        <f t="shared" si="27"/>
        <v>0</v>
      </c>
      <c r="AC49" s="71">
        <f t="shared" si="28"/>
        <v>0</v>
      </c>
      <c r="AD49" s="72" t="str">
        <f t="shared" si="29"/>
        <v>MAR</v>
      </c>
      <c r="AE49" s="73">
        <f>IF(A49="","",COUNT($N$2:N49))</f>
        <v>48</v>
      </c>
      <c r="AF49" s="74">
        <f t="shared" si="30"/>
        <v>0</v>
      </c>
      <c r="AG49" s="74">
        <f t="shared" si="31"/>
        <v>0</v>
      </c>
      <c r="AH49" s="74">
        <f t="shared" si="32"/>
        <v>1</v>
      </c>
      <c r="AI49" s="74" t="str">
        <f t="shared" si="33"/>
        <v>4,01-5,5</v>
      </c>
      <c r="AJ49" s="74" t="str">
        <f t="shared" si="34"/>
        <v>1,71-2,0</v>
      </c>
      <c r="AK49" s="74">
        <f>IF(A49="","",1/Tabela1[[#This Row],[ODDC]])</f>
        <v>0.24390243902439027</v>
      </c>
      <c r="AL49" s="74">
        <f>IF(A49="","",1/Tabela1[[#This Row],[ODDE]])</f>
        <v>0.30303030303030304</v>
      </c>
      <c r="AM49" s="74">
        <f>IF(A49="","",1/Tabela1[[#This Row],[ODDV]])</f>
        <v>0.52356020942408377</v>
      </c>
      <c r="AN49" s="74">
        <f>IF(A49="","",1-(Tabela1[[#This Row],[p(H)]]+Tabela1[[#This Row],[p(D)]]+Tabela1[[#This Row],[p(A)]]))</f>
        <v>-7.0492951478777099E-2</v>
      </c>
      <c r="AO49" s="74">
        <f>IF(A49="","",IFERROR(Tabela1[[#This Row],[p(H)]]/Tabela1[[#This Row],[FTHG]],1))</f>
        <v>1</v>
      </c>
      <c r="AP49" s="74">
        <f>IF(A49="","",IFERROR(Tabela1[[#This Row],[p(A)]]/Tabela1[[#This Row],[FTAG]],1))</f>
        <v>0.17452006980802792</v>
      </c>
      <c r="AQ49" s="107"/>
      <c r="AR49" s="107"/>
      <c r="AS49" s="107"/>
      <c r="AT49" s="107"/>
      <c r="AU49" s="107"/>
      <c r="AV49" s="107"/>
      <c r="AW49" s="107"/>
      <c r="AX49" s="107"/>
      <c r="AY49" s="107"/>
      <c r="AZ49" s="75"/>
      <c r="BA49" s="75"/>
      <c r="BB49" s="97"/>
      <c r="BC49" s="113"/>
      <c r="BD49" s="97"/>
      <c r="BE49" s="104"/>
      <c r="BF49" s="97"/>
      <c r="BG49" s="114"/>
      <c r="BH49" s="114"/>
      <c r="BI49" s="115"/>
      <c r="BJ49" s="104"/>
      <c r="BK49" s="101"/>
      <c r="BL49" s="104"/>
      <c r="BM49" s="104"/>
      <c r="BN49" s="101"/>
      <c r="BO49" s="104"/>
      <c r="BP49" s="104"/>
      <c r="BQ49" s="104"/>
      <c r="BR49" s="107"/>
      <c r="BS49" s="107"/>
      <c r="BT49" s="107"/>
      <c r="BU49" s="107"/>
      <c r="BV49" s="107"/>
      <c r="BW49" s="107"/>
      <c r="BX49" s="75"/>
      <c r="BY49" s="75"/>
      <c r="BZ49" s="75"/>
      <c r="CA49" s="75"/>
      <c r="CB49" s="75"/>
      <c r="CC49" s="75"/>
      <c r="CD49" s="75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</row>
    <row r="50" spans="1:120" ht="15.75" x14ac:dyDescent="0.25">
      <c r="A50" s="4">
        <v>46096</v>
      </c>
      <c r="B50" t="s">
        <v>352</v>
      </c>
      <c r="C50" t="s">
        <v>388</v>
      </c>
      <c r="D50">
        <v>3</v>
      </c>
      <c r="E50">
        <v>2</v>
      </c>
      <c r="F50" t="s">
        <v>347</v>
      </c>
      <c r="G50">
        <v>1.79</v>
      </c>
      <c r="H50">
        <v>3.4</v>
      </c>
      <c r="I50">
        <v>4.75</v>
      </c>
      <c r="J50" s="68">
        <f t="shared" si="14"/>
        <v>3</v>
      </c>
      <c r="K50" s="68">
        <f t="shared" si="15"/>
        <v>0</v>
      </c>
      <c r="L50" s="69">
        <f t="shared" si="16"/>
        <v>0.63157894736842102</v>
      </c>
      <c r="M50" s="69">
        <f t="shared" si="17"/>
        <v>1.1173184357541899</v>
      </c>
      <c r="N50" s="69">
        <f>IF(A50="","",Tabela1[[#This Row],[PTC]]*Tabela1[[#This Row],[ODDC]])</f>
        <v>5.37</v>
      </c>
      <c r="O50" s="69">
        <f>IF(A50="","",Tabela1[[#This Row],[PTV]]*Tabela1[[#This Row],[ODDV]])</f>
        <v>0</v>
      </c>
      <c r="P50" s="68">
        <f t="shared" si="18"/>
        <v>1</v>
      </c>
      <c r="Q50" s="68">
        <f t="shared" si="19"/>
        <v>-1</v>
      </c>
      <c r="R50" s="68">
        <f t="shared" si="20"/>
        <v>0.79</v>
      </c>
      <c r="S50" s="68">
        <f t="shared" si="21"/>
        <v>-1</v>
      </c>
      <c r="T50" s="68">
        <f>IF(A50="","",IF(F50="D",Tabela1[[#This Row],[ODDE]]-1,-1))</f>
        <v>-1</v>
      </c>
      <c r="U50" s="70">
        <f>IF(A50="","",IF(AND(Tabela1[[#This Row],[FTHG]]&gt;3,F50="H"),1,0))</f>
        <v>0</v>
      </c>
      <c r="V50" s="70">
        <f>IF(A50="","",IF(AND(Tabela1[[#This Row],[FTAG]]&gt;3,F50="A"),1,0))</f>
        <v>0</v>
      </c>
      <c r="W50" s="70">
        <f t="shared" si="22"/>
        <v>1</v>
      </c>
      <c r="X50" s="70">
        <f t="shared" si="23"/>
        <v>1</v>
      </c>
      <c r="Y50" s="71">
        <f t="shared" si="24"/>
        <v>1</v>
      </c>
      <c r="Z50" s="70">
        <f t="shared" si="25"/>
        <v>1</v>
      </c>
      <c r="AA50" s="70">
        <f t="shared" si="26"/>
        <v>1</v>
      </c>
      <c r="AB50" s="70">
        <f t="shared" si="27"/>
        <v>0</v>
      </c>
      <c r="AC50" s="71">
        <f t="shared" si="28"/>
        <v>1</v>
      </c>
      <c r="AD50" s="72" t="str">
        <f t="shared" si="29"/>
        <v>MAR</v>
      </c>
      <c r="AE50" s="73">
        <f>IF(A50="","",COUNT($N$2:N50))</f>
        <v>49</v>
      </c>
      <c r="AF50" s="74">
        <f t="shared" si="30"/>
        <v>1</v>
      </c>
      <c r="AG50" s="74">
        <f t="shared" si="31"/>
        <v>0</v>
      </c>
      <c r="AH50" s="74">
        <f t="shared" si="32"/>
        <v>0</v>
      </c>
      <c r="AI50" s="74" t="str">
        <f t="shared" si="33"/>
        <v>1,71-2,0</v>
      </c>
      <c r="AJ50" s="74" t="str">
        <f t="shared" si="34"/>
        <v>4,01-5,5</v>
      </c>
      <c r="AK50" s="74">
        <f>IF(A50="","",1/Tabela1[[#This Row],[ODDC]])</f>
        <v>0.55865921787709494</v>
      </c>
      <c r="AL50" s="74">
        <f>IF(A50="","",1/Tabela1[[#This Row],[ODDE]])</f>
        <v>0.29411764705882354</v>
      </c>
      <c r="AM50" s="74">
        <f>IF(A50="","",1/Tabela1[[#This Row],[ODDV]])</f>
        <v>0.21052631578947367</v>
      </c>
      <c r="AN50" s="74">
        <f>IF(A50="","",1-(Tabela1[[#This Row],[p(H)]]+Tabela1[[#This Row],[p(D)]]+Tabela1[[#This Row],[p(A)]]))</f>
        <v>-6.3303180725392094E-2</v>
      </c>
      <c r="AO50" s="74">
        <f>IF(A50="","",IFERROR(Tabela1[[#This Row],[p(H)]]/Tabela1[[#This Row],[FTHG]],1))</f>
        <v>0.18621973929236499</v>
      </c>
      <c r="AP50" s="74">
        <f>IF(A50="","",IFERROR(Tabela1[[#This Row],[p(A)]]/Tabela1[[#This Row],[FTAG]],1))</f>
        <v>0.10526315789473684</v>
      </c>
      <c r="AQ50" s="107"/>
      <c r="AR50" s="107"/>
      <c r="AS50" s="107"/>
      <c r="AT50" s="107"/>
      <c r="AU50" s="107"/>
      <c r="AV50" s="107"/>
      <c r="AW50" s="107"/>
      <c r="AX50" s="107"/>
      <c r="AY50" s="107"/>
      <c r="AZ50" s="75"/>
      <c r="BA50" s="75"/>
      <c r="BB50" s="97"/>
      <c r="BC50" s="113"/>
      <c r="BD50" s="97"/>
      <c r="BE50" s="104"/>
      <c r="BF50" s="97"/>
      <c r="BG50" s="114"/>
      <c r="BH50" s="114"/>
      <c r="BI50" s="115"/>
      <c r="BJ50" s="104"/>
      <c r="BK50" s="104"/>
      <c r="BL50" s="104"/>
      <c r="BM50" s="104"/>
      <c r="BN50" s="104"/>
      <c r="BO50" s="104"/>
      <c r="BP50" s="104"/>
      <c r="BQ50" s="104"/>
      <c r="BR50" s="107"/>
      <c r="BS50" s="107"/>
      <c r="BT50" s="107"/>
      <c r="BU50" s="107"/>
      <c r="BV50" s="107"/>
      <c r="BW50" s="107"/>
      <c r="BX50" s="75"/>
      <c r="BY50" s="75"/>
      <c r="BZ50" s="75"/>
      <c r="CA50" s="75"/>
      <c r="CB50" s="75"/>
      <c r="CC50" s="75"/>
      <c r="CD50" s="75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</row>
    <row r="51" spans="1:120" ht="15.75" x14ac:dyDescent="0.25">
      <c r="A51" s="4">
        <v>46096</v>
      </c>
      <c r="B51" t="s">
        <v>354</v>
      </c>
      <c r="C51" t="s">
        <v>356</v>
      </c>
      <c r="D51">
        <v>0</v>
      </c>
      <c r="E51">
        <v>1</v>
      </c>
      <c r="F51" t="s">
        <v>346</v>
      </c>
      <c r="G51">
        <v>1.76</v>
      </c>
      <c r="H51">
        <v>3.75</v>
      </c>
      <c r="I51">
        <v>4.33</v>
      </c>
      <c r="J51" s="68">
        <f t="shared" si="14"/>
        <v>0</v>
      </c>
      <c r="K51" s="68">
        <f t="shared" si="15"/>
        <v>3</v>
      </c>
      <c r="L51" s="69">
        <f t="shared" si="16"/>
        <v>0</v>
      </c>
      <c r="M51" s="69">
        <f t="shared" si="17"/>
        <v>0.56818181818181823</v>
      </c>
      <c r="N51" s="69">
        <f>IF(A51="","",Tabela1[[#This Row],[PTC]]*Tabela1[[#This Row],[ODDC]])</f>
        <v>0</v>
      </c>
      <c r="O51" s="69">
        <f>IF(A51="","",Tabela1[[#This Row],[PTV]]*Tabela1[[#This Row],[ODDV]])</f>
        <v>12.99</v>
      </c>
      <c r="P51" s="68">
        <f t="shared" si="18"/>
        <v>-1</v>
      </c>
      <c r="Q51" s="68">
        <f t="shared" si="19"/>
        <v>1</v>
      </c>
      <c r="R51" s="68">
        <f t="shared" si="20"/>
        <v>-1</v>
      </c>
      <c r="S51" s="68">
        <f t="shared" si="21"/>
        <v>3.33</v>
      </c>
      <c r="T51" s="68">
        <f>IF(A51="","",IF(F51="D",Tabela1[[#This Row],[ODDE]]-1,-1))</f>
        <v>-1</v>
      </c>
      <c r="U51" s="70">
        <f>IF(A51="","",IF(AND(Tabela1[[#This Row],[FTHG]]&gt;3,F51="H"),1,0))</f>
        <v>0</v>
      </c>
      <c r="V51" s="70">
        <f>IF(A51="","",IF(AND(Tabela1[[#This Row],[FTAG]]&gt;3,F51="A"),1,0))</f>
        <v>0</v>
      </c>
      <c r="W51" s="70">
        <f t="shared" si="22"/>
        <v>1</v>
      </c>
      <c r="X51" s="70">
        <f t="shared" si="23"/>
        <v>0</v>
      </c>
      <c r="Y51" s="71">
        <f t="shared" si="24"/>
        <v>0</v>
      </c>
      <c r="Z51" s="70">
        <f t="shared" si="25"/>
        <v>0</v>
      </c>
      <c r="AA51" s="70">
        <f t="shared" si="26"/>
        <v>0</v>
      </c>
      <c r="AB51" s="70">
        <f t="shared" si="27"/>
        <v>0</v>
      </c>
      <c r="AC51" s="71">
        <f t="shared" si="28"/>
        <v>0</v>
      </c>
      <c r="AD51" s="72" t="str">
        <f t="shared" si="29"/>
        <v>MAR</v>
      </c>
      <c r="AE51" s="73">
        <f>IF(A51="","",COUNT($N$2:N51))</f>
        <v>50</v>
      </c>
      <c r="AF51" s="74">
        <f t="shared" si="30"/>
        <v>0</v>
      </c>
      <c r="AG51" s="74">
        <f t="shared" si="31"/>
        <v>0</v>
      </c>
      <c r="AH51" s="74">
        <f t="shared" si="32"/>
        <v>1</v>
      </c>
      <c r="AI51" s="74" t="str">
        <f t="shared" si="33"/>
        <v>1,71-2,0</v>
      </c>
      <c r="AJ51" s="74" t="str">
        <f t="shared" si="34"/>
        <v>4,01-5,5</v>
      </c>
      <c r="AK51" s="74">
        <f>IF(A51="","",1/Tabela1[[#This Row],[ODDC]])</f>
        <v>0.56818181818181823</v>
      </c>
      <c r="AL51" s="74">
        <f>IF(A51="","",1/Tabela1[[#This Row],[ODDE]])</f>
        <v>0.26666666666666666</v>
      </c>
      <c r="AM51" s="74">
        <f>IF(A51="","",1/Tabela1[[#This Row],[ODDV]])</f>
        <v>0.23094688221709006</v>
      </c>
      <c r="AN51" s="74">
        <f>IF(A51="","",1-(Tabela1[[#This Row],[p(H)]]+Tabela1[[#This Row],[p(D)]]+Tabela1[[#This Row],[p(A)]]))</f>
        <v>-6.5795367065575094E-2</v>
      </c>
      <c r="AO51" s="74">
        <f>IF(A51="","",IFERROR(Tabela1[[#This Row],[p(H)]]/Tabela1[[#This Row],[FTHG]],1))</f>
        <v>1</v>
      </c>
      <c r="AP51" s="74">
        <f>IF(A51="","",IFERROR(Tabela1[[#This Row],[p(A)]]/Tabela1[[#This Row],[FTAG]],1))</f>
        <v>0.23094688221709006</v>
      </c>
      <c r="AQ51" s="107"/>
      <c r="AR51" s="107"/>
      <c r="AS51" s="107"/>
      <c r="AT51" s="107"/>
      <c r="AU51" s="107"/>
      <c r="AV51" s="107"/>
      <c r="AW51" s="107"/>
      <c r="AX51" s="107"/>
      <c r="AY51" s="107"/>
      <c r="AZ51" s="75"/>
      <c r="BA51" s="75"/>
      <c r="BB51" s="97"/>
      <c r="BC51" s="113"/>
      <c r="BD51" s="97"/>
      <c r="BE51" s="104"/>
      <c r="BF51" s="97"/>
      <c r="BG51" s="114"/>
      <c r="BH51" s="114"/>
      <c r="BI51" s="115"/>
      <c r="BJ51" s="104"/>
      <c r="BK51" s="97"/>
      <c r="BL51" s="97"/>
      <c r="BM51" s="97"/>
      <c r="BN51" s="97"/>
      <c r="BO51" s="97"/>
      <c r="BP51" s="97"/>
      <c r="BQ51" s="97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</row>
    <row r="52" spans="1:120" ht="15.75" x14ac:dyDescent="0.25">
      <c r="A52" s="4">
        <v>46096</v>
      </c>
      <c r="B52" t="s">
        <v>362</v>
      </c>
      <c r="C52" t="s">
        <v>357</v>
      </c>
      <c r="D52">
        <v>1</v>
      </c>
      <c r="E52">
        <v>1</v>
      </c>
      <c r="F52" t="s">
        <v>348</v>
      </c>
      <c r="G52">
        <v>2.57</v>
      </c>
      <c r="H52">
        <v>3</v>
      </c>
      <c r="I52">
        <v>3</v>
      </c>
      <c r="J52" s="68">
        <f t="shared" si="14"/>
        <v>1</v>
      </c>
      <c r="K52" s="68">
        <f t="shared" si="15"/>
        <v>1</v>
      </c>
      <c r="L52" s="69">
        <f t="shared" si="16"/>
        <v>0.33333333333333331</v>
      </c>
      <c r="M52" s="69">
        <f t="shared" si="17"/>
        <v>0.38910505836575876</v>
      </c>
      <c r="N52" s="69">
        <f>IF(A52="","",Tabela1[[#This Row],[PTC]]*Tabela1[[#This Row],[ODDC]])</f>
        <v>2.57</v>
      </c>
      <c r="O52" s="69">
        <f>IF(A52="","",Tabela1[[#This Row],[PTV]]*Tabela1[[#This Row],[ODDV]])</f>
        <v>3</v>
      </c>
      <c r="P52" s="68">
        <f t="shared" si="18"/>
        <v>0</v>
      </c>
      <c r="Q52" s="68">
        <f t="shared" si="19"/>
        <v>0</v>
      </c>
      <c r="R52" s="68">
        <f t="shared" si="20"/>
        <v>-1</v>
      </c>
      <c r="S52" s="68">
        <f t="shared" si="21"/>
        <v>-1</v>
      </c>
      <c r="T52" s="68">
        <f>IF(A52="","",IF(F52="D",Tabela1[[#This Row],[ODDE]]-1,-1))</f>
        <v>2</v>
      </c>
      <c r="U52" s="70">
        <f>IF(A52="","",IF(AND(Tabela1[[#This Row],[FTHG]]&gt;3,F52="H"),1,0))</f>
        <v>0</v>
      </c>
      <c r="V52" s="70">
        <f>IF(A52="","",IF(AND(Tabela1[[#This Row],[FTAG]]&gt;3,F52="A"),1,0))</f>
        <v>0</v>
      </c>
      <c r="W52" s="70">
        <f t="shared" si="22"/>
        <v>1</v>
      </c>
      <c r="X52" s="70">
        <f t="shared" si="23"/>
        <v>1</v>
      </c>
      <c r="Y52" s="71">
        <f t="shared" si="24"/>
        <v>0</v>
      </c>
      <c r="Z52" s="70">
        <f t="shared" si="25"/>
        <v>0</v>
      </c>
      <c r="AA52" s="70">
        <f t="shared" si="26"/>
        <v>0</v>
      </c>
      <c r="AB52" s="70">
        <f t="shared" si="27"/>
        <v>0</v>
      </c>
      <c r="AC52" s="71">
        <f t="shared" si="28"/>
        <v>1</v>
      </c>
      <c r="AD52" s="72" t="str">
        <f t="shared" si="29"/>
        <v>MAR</v>
      </c>
      <c r="AE52" s="73">
        <f>IF(A52="","",COUNT($N$2:N52))</f>
        <v>51</v>
      </c>
      <c r="AF52" s="74">
        <f t="shared" si="30"/>
        <v>0</v>
      </c>
      <c r="AG52" s="74">
        <f t="shared" si="31"/>
        <v>1</v>
      </c>
      <c r="AH52" s="74">
        <f t="shared" si="32"/>
        <v>0</v>
      </c>
      <c r="AI52" s="74" t="str">
        <f t="shared" si="33"/>
        <v>2,41-3,0</v>
      </c>
      <c r="AJ52" s="74" t="str">
        <f t="shared" si="34"/>
        <v>2,41-3,0</v>
      </c>
      <c r="AK52" s="74">
        <f>IF(A52="","",1/Tabela1[[#This Row],[ODDC]])</f>
        <v>0.38910505836575876</v>
      </c>
      <c r="AL52" s="74">
        <f>IF(A52="","",1/Tabela1[[#This Row],[ODDE]])</f>
        <v>0.33333333333333331</v>
      </c>
      <c r="AM52" s="74">
        <f>IF(A52="","",1/Tabela1[[#This Row],[ODDV]])</f>
        <v>0.33333333333333331</v>
      </c>
      <c r="AN52" s="74">
        <f>IF(A52="","",1-(Tabela1[[#This Row],[p(H)]]+Tabela1[[#This Row],[p(D)]]+Tabela1[[#This Row],[p(A)]]))</f>
        <v>-5.5771725032425445E-2</v>
      </c>
      <c r="AO52" s="74">
        <f>IF(A52="","",IFERROR(Tabela1[[#This Row],[p(H)]]/Tabela1[[#This Row],[FTHG]],1))</f>
        <v>0.38910505836575876</v>
      </c>
      <c r="AP52" s="74">
        <f>IF(A52="","",IFERROR(Tabela1[[#This Row],[p(A)]]/Tabela1[[#This Row],[FTAG]],1))</f>
        <v>0.33333333333333331</v>
      </c>
      <c r="AQ52" s="107"/>
      <c r="AR52" s="107"/>
      <c r="AS52" s="107"/>
      <c r="AT52" s="107"/>
      <c r="AU52" s="107"/>
      <c r="AV52" s="107"/>
      <c r="AW52" s="107"/>
      <c r="AX52" s="107"/>
      <c r="AY52" s="107"/>
      <c r="AZ52" s="75"/>
      <c r="BA52" s="75"/>
      <c r="BB52" s="97"/>
      <c r="BC52" s="113"/>
      <c r="BD52" s="97"/>
      <c r="BE52" s="104"/>
      <c r="BF52" s="97"/>
      <c r="BG52" s="114"/>
      <c r="BH52" s="114"/>
      <c r="BI52" s="115"/>
      <c r="BJ52" s="104"/>
      <c r="BK52" s="97"/>
      <c r="BL52" s="97"/>
      <c r="BM52" s="97"/>
      <c r="BN52" s="97"/>
      <c r="BO52" s="97"/>
      <c r="BP52" s="97"/>
      <c r="BQ52" s="97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</row>
    <row r="53" spans="1:120" ht="15.75" x14ac:dyDescent="0.25">
      <c r="A53" s="4">
        <v>46096</v>
      </c>
      <c r="B53" t="s">
        <v>387</v>
      </c>
      <c r="C53" t="s">
        <v>389</v>
      </c>
      <c r="D53">
        <v>1</v>
      </c>
      <c r="E53">
        <v>0</v>
      </c>
      <c r="F53" t="s">
        <v>347</v>
      </c>
      <c r="G53">
        <v>1.66</v>
      </c>
      <c r="H53">
        <v>3.5</v>
      </c>
      <c r="I53">
        <v>5</v>
      </c>
      <c r="J53" s="68">
        <f t="shared" si="14"/>
        <v>3</v>
      </c>
      <c r="K53" s="68">
        <f t="shared" si="15"/>
        <v>0</v>
      </c>
      <c r="L53" s="69">
        <f t="shared" si="16"/>
        <v>0.2</v>
      </c>
      <c r="M53" s="69">
        <f t="shared" si="17"/>
        <v>0</v>
      </c>
      <c r="N53" s="69">
        <f>IF(A53="","",Tabela1[[#This Row],[PTC]]*Tabela1[[#This Row],[ODDC]])</f>
        <v>4.9799999999999995</v>
      </c>
      <c r="O53" s="69">
        <f>IF(A53="","",Tabela1[[#This Row],[PTV]]*Tabela1[[#This Row],[ODDV]])</f>
        <v>0</v>
      </c>
      <c r="P53" s="68">
        <f t="shared" si="18"/>
        <v>1</v>
      </c>
      <c r="Q53" s="68">
        <f t="shared" si="19"/>
        <v>-1</v>
      </c>
      <c r="R53" s="68">
        <f t="shared" si="20"/>
        <v>0.65999999999999992</v>
      </c>
      <c r="S53" s="68">
        <f t="shared" si="21"/>
        <v>-1</v>
      </c>
      <c r="T53" s="68">
        <f>IF(A53="","",IF(F53="D",Tabela1[[#This Row],[ODDE]]-1,-1))</f>
        <v>-1</v>
      </c>
      <c r="U53" s="70">
        <f>IF(A53="","",IF(AND(Tabela1[[#This Row],[FTHG]]&gt;3,F53="H"),1,0))</f>
        <v>0</v>
      </c>
      <c r="V53" s="70">
        <f>IF(A53="","",IF(AND(Tabela1[[#This Row],[FTAG]]&gt;3,F53="A"),1,0))</f>
        <v>0</v>
      </c>
      <c r="W53" s="70">
        <f t="shared" si="22"/>
        <v>1</v>
      </c>
      <c r="X53" s="70">
        <f t="shared" si="23"/>
        <v>0</v>
      </c>
      <c r="Y53" s="71">
        <f t="shared" si="24"/>
        <v>0</v>
      </c>
      <c r="Z53" s="70">
        <f t="shared" si="25"/>
        <v>0</v>
      </c>
      <c r="AA53" s="70">
        <f t="shared" si="26"/>
        <v>0</v>
      </c>
      <c r="AB53" s="70">
        <f t="shared" si="27"/>
        <v>0</v>
      </c>
      <c r="AC53" s="71">
        <f t="shared" si="28"/>
        <v>0</v>
      </c>
      <c r="AD53" s="72" t="str">
        <f t="shared" si="29"/>
        <v>MAR</v>
      </c>
      <c r="AE53" s="73">
        <f>IF(A53="","",COUNT($N$2:N53))</f>
        <v>52</v>
      </c>
      <c r="AF53" s="74">
        <f t="shared" si="30"/>
        <v>1</v>
      </c>
      <c r="AG53" s="74">
        <f t="shared" si="31"/>
        <v>0</v>
      </c>
      <c r="AH53" s="74">
        <f t="shared" si="32"/>
        <v>0</v>
      </c>
      <c r="AI53" s="74" t="str">
        <f t="shared" si="33"/>
        <v>1,41-1,7</v>
      </c>
      <c r="AJ53" s="74" t="str">
        <f t="shared" si="34"/>
        <v>4,01-5,5</v>
      </c>
      <c r="AK53" s="74">
        <f>IF(A53="","",1/Tabela1[[#This Row],[ODDC]])</f>
        <v>0.60240963855421692</v>
      </c>
      <c r="AL53" s="74">
        <f>IF(A53="","",1/Tabela1[[#This Row],[ODDE]])</f>
        <v>0.2857142857142857</v>
      </c>
      <c r="AM53" s="74">
        <f>IF(A53="","",1/Tabela1[[#This Row],[ODDV]])</f>
        <v>0.2</v>
      </c>
      <c r="AN53" s="74">
        <f>IF(A53="","",1-(Tabela1[[#This Row],[p(H)]]+Tabela1[[#This Row],[p(D)]]+Tabela1[[#This Row],[p(A)]]))</f>
        <v>-8.8123924268502574E-2</v>
      </c>
      <c r="AO53" s="74">
        <f>IF(A53="","",IFERROR(Tabela1[[#This Row],[p(H)]]/Tabela1[[#This Row],[FTHG]],1))</f>
        <v>0.60240963855421692</v>
      </c>
      <c r="AP53" s="74">
        <f>IF(A53="","",IFERROR(Tabela1[[#This Row],[p(A)]]/Tabela1[[#This Row],[FTAG]],1))</f>
        <v>1</v>
      </c>
      <c r="AQ53" s="107"/>
      <c r="AR53" s="107"/>
      <c r="AS53" s="107"/>
      <c r="AT53" s="107"/>
      <c r="AU53" s="107"/>
      <c r="AV53" s="107"/>
      <c r="AW53" s="107"/>
      <c r="AX53" s="107"/>
      <c r="AY53" s="107"/>
      <c r="AZ53" s="75"/>
      <c r="BA53" s="75"/>
      <c r="BB53" s="97"/>
      <c r="BC53" s="113"/>
      <c r="BD53" s="97"/>
      <c r="BE53" s="104"/>
      <c r="BF53" s="97"/>
      <c r="BG53" s="114"/>
      <c r="BH53" s="114"/>
      <c r="BI53" s="115"/>
      <c r="BJ53" s="104"/>
      <c r="BK53" s="104"/>
      <c r="BL53" s="104"/>
      <c r="BM53" s="104"/>
      <c r="BN53" s="104"/>
      <c r="BO53" s="104"/>
      <c r="BP53" s="104"/>
      <c r="BQ53" s="104"/>
      <c r="BR53" s="107"/>
      <c r="BS53" s="107"/>
      <c r="BT53" s="107"/>
      <c r="BU53" s="107"/>
      <c r="BV53" s="107"/>
      <c r="BW53" s="107"/>
      <c r="BX53" s="75"/>
      <c r="BY53" s="75"/>
      <c r="BZ53" s="75"/>
      <c r="CA53" s="75"/>
      <c r="CB53" s="75"/>
      <c r="CC53" s="75"/>
      <c r="CD53" s="75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</row>
    <row r="54" spans="1:120" ht="15.75" x14ac:dyDescent="0.25">
      <c r="A54" s="4">
        <v>46096</v>
      </c>
      <c r="B54" t="s">
        <v>353</v>
      </c>
      <c r="C54" t="s">
        <v>382</v>
      </c>
      <c r="D54">
        <v>1</v>
      </c>
      <c r="E54">
        <v>0</v>
      </c>
      <c r="F54" t="s">
        <v>347</v>
      </c>
      <c r="G54">
        <v>1.61</v>
      </c>
      <c r="H54">
        <v>3.75</v>
      </c>
      <c r="I54">
        <v>5.5</v>
      </c>
      <c r="J54" s="68">
        <f t="shared" si="14"/>
        <v>3</v>
      </c>
      <c r="K54" s="68">
        <f t="shared" si="15"/>
        <v>0</v>
      </c>
      <c r="L54" s="69">
        <f t="shared" si="16"/>
        <v>0.18181818181818182</v>
      </c>
      <c r="M54" s="69">
        <f t="shared" si="17"/>
        <v>0</v>
      </c>
      <c r="N54" s="69">
        <f>IF(A54="","",Tabela1[[#This Row],[PTC]]*Tabela1[[#This Row],[ODDC]])</f>
        <v>4.83</v>
      </c>
      <c r="O54" s="69">
        <f>IF(A54="","",Tabela1[[#This Row],[PTV]]*Tabela1[[#This Row],[ODDV]])</f>
        <v>0</v>
      </c>
      <c r="P54" s="68">
        <f t="shared" si="18"/>
        <v>1</v>
      </c>
      <c r="Q54" s="68">
        <f t="shared" si="19"/>
        <v>-1</v>
      </c>
      <c r="R54" s="68">
        <f t="shared" si="20"/>
        <v>0.6100000000000001</v>
      </c>
      <c r="S54" s="68">
        <f t="shared" si="21"/>
        <v>-1</v>
      </c>
      <c r="T54" s="68">
        <f>IF(A54="","",IF(F54="D",Tabela1[[#This Row],[ODDE]]-1,-1))</f>
        <v>-1</v>
      </c>
      <c r="U54" s="70">
        <f>IF(A54="","",IF(AND(Tabela1[[#This Row],[FTHG]]&gt;3,F54="H"),1,0))</f>
        <v>0</v>
      </c>
      <c r="V54" s="70">
        <f>IF(A54="","",IF(AND(Tabela1[[#This Row],[FTAG]]&gt;3,F54="A"),1,0))</f>
        <v>0</v>
      </c>
      <c r="W54" s="70">
        <f t="shared" si="22"/>
        <v>1</v>
      </c>
      <c r="X54" s="70">
        <f t="shared" si="23"/>
        <v>0</v>
      </c>
      <c r="Y54" s="71">
        <f t="shared" si="24"/>
        <v>0</v>
      </c>
      <c r="Z54" s="70">
        <f t="shared" si="25"/>
        <v>0</v>
      </c>
      <c r="AA54" s="70">
        <f t="shared" si="26"/>
        <v>0</v>
      </c>
      <c r="AB54" s="70">
        <f t="shared" si="27"/>
        <v>0</v>
      </c>
      <c r="AC54" s="71">
        <f t="shared" si="28"/>
        <v>0</v>
      </c>
      <c r="AD54" s="72" t="str">
        <f t="shared" si="29"/>
        <v>MAR</v>
      </c>
      <c r="AE54" s="73">
        <f>IF(A54="","",COUNT($N$2:N54))</f>
        <v>53</v>
      </c>
      <c r="AF54" s="74">
        <f t="shared" si="30"/>
        <v>1</v>
      </c>
      <c r="AG54" s="74">
        <f t="shared" si="31"/>
        <v>0</v>
      </c>
      <c r="AH54" s="74">
        <f t="shared" si="32"/>
        <v>0</v>
      </c>
      <c r="AI54" s="74" t="str">
        <f t="shared" si="33"/>
        <v>1,41-1,7</v>
      </c>
      <c r="AJ54" s="74" t="str">
        <f t="shared" si="34"/>
        <v>4,01-5,5</v>
      </c>
      <c r="AK54" s="74">
        <f>IF(A54="","",1/Tabela1[[#This Row],[ODDC]])</f>
        <v>0.6211180124223602</v>
      </c>
      <c r="AL54" s="74">
        <f>IF(A54="","",1/Tabela1[[#This Row],[ODDE]])</f>
        <v>0.26666666666666666</v>
      </c>
      <c r="AM54" s="74">
        <f>IF(A54="","",1/Tabela1[[#This Row],[ODDV]])</f>
        <v>0.18181818181818182</v>
      </c>
      <c r="AN54" s="74">
        <f>IF(A54="","",1-(Tabela1[[#This Row],[p(H)]]+Tabela1[[#This Row],[p(D)]]+Tabela1[[#This Row],[p(A)]]))</f>
        <v>-6.9602860907208797E-2</v>
      </c>
      <c r="AO54" s="74">
        <f>IF(A54="","",IFERROR(Tabela1[[#This Row],[p(H)]]/Tabela1[[#This Row],[FTHG]],1))</f>
        <v>0.6211180124223602</v>
      </c>
      <c r="AP54" s="74">
        <f>IF(A54="","",IFERROR(Tabela1[[#This Row],[p(A)]]/Tabela1[[#This Row],[FTAG]],1))</f>
        <v>1</v>
      </c>
      <c r="AQ54" s="107"/>
      <c r="AR54" s="107"/>
      <c r="AS54" s="107"/>
      <c r="AT54" s="107"/>
      <c r="AU54" s="107"/>
      <c r="AV54" s="107"/>
      <c r="AW54" s="107"/>
      <c r="AX54" s="107"/>
      <c r="AY54" s="107"/>
      <c r="AZ54" s="75"/>
      <c r="BA54" s="75"/>
      <c r="BB54" s="97"/>
      <c r="BC54" s="113"/>
      <c r="BD54" s="97"/>
      <c r="BE54" s="104"/>
      <c r="BF54" s="97"/>
      <c r="BG54" s="114"/>
      <c r="BH54" s="114"/>
      <c r="BI54" s="115"/>
      <c r="BJ54" s="104"/>
      <c r="BK54" s="104"/>
      <c r="BL54" s="104"/>
      <c r="BM54" s="104"/>
      <c r="BN54" s="104"/>
      <c r="BO54" s="104"/>
      <c r="BP54" s="104"/>
      <c r="BQ54" s="104"/>
      <c r="BR54" s="107"/>
      <c r="BS54" s="107"/>
      <c r="BT54" s="107"/>
      <c r="BU54" s="107"/>
      <c r="BV54" s="107"/>
      <c r="BW54" s="107"/>
      <c r="BX54" s="75"/>
      <c r="BY54" s="75"/>
      <c r="BZ54" s="75"/>
      <c r="CA54" s="75"/>
      <c r="CB54" s="75"/>
      <c r="CC54" s="75"/>
      <c r="CD54" s="75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</row>
    <row r="55" spans="1:120" ht="15.75" x14ac:dyDescent="0.25">
      <c r="A55" s="4">
        <v>46096</v>
      </c>
      <c r="B55" t="s">
        <v>355</v>
      </c>
      <c r="C55" t="s">
        <v>351</v>
      </c>
      <c r="D55">
        <v>1</v>
      </c>
      <c r="E55">
        <v>2</v>
      </c>
      <c r="F55" t="s">
        <v>346</v>
      </c>
      <c r="G55">
        <v>2.35</v>
      </c>
      <c r="H55">
        <v>3.1</v>
      </c>
      <c r="I55">
        <v>3.2</v>
      </c>
      <c r="J55" s="68">
        <f t="shared" si="14"/>
        <v>0</v>
      </c>
      <c r="K55" s="68">
        <f t="shared" si="15"/>
        <v>3</v>
      </c>
      <c r="L55" s="69">
        <f t="shared" si="16"/>
        <v>0.3125</v>
      </c>
      <c r="M55" s="69">
        <f t="shared" si="17"/>
        <v>0.85106382978723405</v>
      </c>
      <c r="N55" s="69">
        <f>IF(A55="","",Tabela1[[#This Row],[PTC]]*Tabela1[[#This Row],[ODDC]])</f>
        <v>0</v>
      </c>
      <c r="O55" s="69">
        <f>IF(A55="","",Tabela1[[#This Row],[PTV]]*Tabela1[[#This Row],[ODDV]])</f>
        <v>9.6000000000000014</v>
      </c>
      <c r="P55" s="68">
        <f t="shared" si="18"/>
        <v>-1</v>
      </c>
      <c r="Q55" s="68">
        <f t="shared" si="19"/>
        <v>1</v>
      </c>
      <c r="R55" s="68">
        <f t="shared" si="20"/>
        <v>-1</v>
      </c>
      <c r="S55" s="68">
        <f t="shared" si="21"/>
        <v>2.2000000000000002</v>
      </c>
      <c r="T55" s="68">
        <f>IF(A55="","",IF(F55="D",Tabela1[[#This Row],[ODDE]]-1,-1))</f>
        <v>-1</v>
      </c>
      <c r="U55" s="70">
        <f>IF(A55="","",IF(AND(Tabela1[[#This Row],[FTHG]]&gt;3,F55="H"),1,0))</f>
        <v>0</v>
      </c>
      <c r="V55" s="70">
        <f>IF(A55="","",IF(AND(Tabela1[[#This Row],[FTAG]]&gt;3,F55="A"),1,0))</f>
        <v>0</v>
      </c>
      <c r="W55" s="70">
        <f t="shared" si="22"/>
        <v>1</v>
      </c>
      <c r="X55" s="70">
        <f t="shared" si="23"/>
        <v>1</v>
      </c>
      <c r="Y55" s="71">
        <f t="shared" si="24"/>
        <v>1</v>
      </c>
      <c r="Z55" s="70">
        <f t="shared" si="25"/>
        <v>0</v>
      </c>
      <c r="AA55" s="70">
        <f t="shared" si="26"/>
        <v>0</v>
      </c>
      <c r="AB55" s="70">
        <f t="shared" si="27"/>
        <v>0</v>
      </c>
      <c r="AC55" s="71">
        <f t="shared" si="28"/>
        <v>1</v>
      </c>
      <c r="AD55" s="72" t="str">
        <f t="shared" si="29"/>
        <v>MAR</v>
      </c>
      <c r="AE55" s="73">
        <f>IF(A55="","",COUNT($N$2:N55))</f>
        <v>54</v>
      </c>
      <c r="AF55" s="74">
        <f t="shared" si="30"/>
        <v>0</v>
      </c>
      <c r="AG55" s="74">
        <f t="shared" si="31"/>
        <v>0</v>
      </c>
      <c r="AH55" s="74">
        <f t="shared" si="32"/>
        <v>1</v>
      </c>
      <c r="AI55" s="74" t="str">
        <f t="shared" si="33"/>
        <v>2,01-2,4</v>
      </c>
      <c r="AJ55" s="74" t="str">
        <f t="shared" si="34"/>
        <v>3,01-4.0</v>
      </c>
      <c r="AK55" s="74">
        <f>IF(A55="","",1/Tabela1[[#This Row],[ODDC]])</f>
        <v>0.42553191489361702</v>
      </c>
      <c r="AL55" s="74">
        <f>IF(A55="","",1/Tabela1[[#This Row],[ODDE]])</f>
        <v>0.32258064516129031</v>
      </c>
      <c r="AM55" s="74">
        <f>IF(A55="","",1/Tabela1[[#This Row],[ODDV]])</f>
        <v>0.3125</v>
      </c>
      <c r="AN55" s="74">
        <f>IF(A55="","",1-(Tabela1[[#This Row],[p(H)]]+Tabela1[[#This Row],[p(D)]]+Tabela1[[#This Row],[p(A)]]))</f>
        <v>-6.0612560054907227E-2</v>
      </c>
      <c r="AO55" s="74">
        <f>IF(A55="","",IFERROR(Tabela1[[#This Row],[p(H)]]/Tabela1[[#This Row],[FTHG]],1))</f>
        <v>0.42553191489361702</v>
      </c>
      <c r="AP55" s="74">
        <f>IF(A55="","",IFERROR(Tabela1[[#This Row],[p(A)]]/Tabela1[[#This Row],[FTAG]],1))</f>
        <v>0.15625</v>
      </c>
      <c r="AQ55" s="107"/>
      <c r="AR55" s="107"/>
      <c r="AS55" s="107"/>
      <c r="AT55" s="107"/>
      <c r="AU55" s="107"/>
      <c r="AV55" s="107"/>
      <c r="AW55" s="107"/>
      <c r="AX55" s="107"/>
      <c r="AY55" s="107"/>
      <c r="AZ55" s="75"/>
      <c r="BA55" s="75"/>
      <c r="BB55" s="97"/>
      <c r="BC55" s="113"/>
      <c r="BD55" s="97"/>
      <c r="BE55" s="104"/>
      <c r="BF55" s="97"/>
      <c r="BG55" s="114"/>
      <c r="BH55" s="114"/>
      <c r="BI55" s="115"/>
      <c r="BJ55" s="104"/>
      <c r="BK55" s="104"/>
      <c r="BL55" s="104"/>
      <c r="BM55" s="104"/>
      <c r="BN55" s="104"/>
      <c r="BO55" s="104"/>
      <c r="BP55" s="104"/>
      <c r="BQ55" s="104"/>
      <c r="BR55" s="107"/>
      <c r="BS55" s="107"/>
      <c r="BT55" s="107"/>
      <c r="BU55" s="107"/>
      <c r="BV55" s="107"/>
      <c r="BW55" s="107"/>
      <c r="BX55" s="75"/>
      <c r="BY55" s="75"/>
      <c r="BZ55" s="75"/>
      <c r="CA55" s="75"/>
      <c r="CB55" s="75"/>
      <c r="CC55" s="75"/>
      <c r="CD55" s="75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</row>
    <row r="56" spans="1:120" ht="15.75" x14ac:dyDescent="0.25">
      <c r="A56" s="4">
        <v>46096</v>
      </c>
      <c r="B56" t="s">
        <v>358</v>
      </c>
      <c r="C56" t="s">
        <v>360</v>
      </c>
      <c r="D56">
        <v>3</v>
      </c>
      <c r="E56">
        <v>3</v>
      </c>
      <c r="F56" t="s">
        <v>348</v>
      </c>
      <c r="G56">
        <v>1.91</v>
      </c>
      <c r="H56">
        <v>3.4</v>
      </c>
      <c r="I56">
        <v>4.2</v>
      </c>
      <c r="J56" s="68">
        <f t="shared" si="14"/>
        <v>1</v>
      </c>
      <c r="K56" s="68">
        <f t="shared" si="15"/>
        <v>1</v>
      </c>
      <c r="L56" s="69">
        <f t="shared" si="16"/>
        <v>0.7142857142857143</v>
      </c>
      <c r="M56" s="69">
        <f t="shared" si="17"/>
        <v>1.5706806282722514</v>
      </c>
      <c r="N56" s="69">
        <f>IF(A56="","",Tabela1[[#This Row],[PTC]]*Tabela1[[#This Row],[ODDC]])</f>
        <v>1.91</v>
      </c>
      <c r="O56" s="69">
        <f>IF(A56="","",Tabela1[[#This Row],[PTV]]*Tabela1[[#This Row],[ODDV]])</f>
        <v>4.2</v>
      </c>
      <c r="P56" s="68">
        <f t="shared" si="18"/>
        <v>0</v>
      </c>
      <c r="Q56" s="68">
        <f t="shared" si="19"/>
        <v>0</v>
      </c>
      <c r="R56" s="68">
        <f t="shared" si="20"/>
        <v>-1</v>
      </c>
      <c r="S56" s="68">
        <f t="shared" si="21"/>
        <v>-1</v>
      </c>
      <c r="T56" s="68">
        <f>IF(A56="","",IF(F56="D",Tabela1[[#This Row],[ODDE]]-1,-1))</f>
        <v>2.4</v>
      </c>
      <c r="U56" s="70">
        <f>IF(A56="","",IF(AND(Tabela1[[#This Row],[FTHG]]&gt;3,F56="H"),1,0))</f>
        <v>0</v>
      </c>
      <c r="V56" s="70">
        <f>IF(A56="","",IF(AND(Tabela1[[#This Row],[FTAG]]&gt;3,F56="A"),1,0))</f>
        <v>0</v>
      </c>
      <c r="W56" s="70">
        <f t="shared" si="22"/>
        <v>1</v>
      </c>
      <c r="X56" s="70">
        <f t="shared" si="23"/>
        <v>1</v>
      </c>
      <c r="Y56" s="71">
        <f t="shared" si="24"/>
        <v>1</v>
      </c>
      <c r="Z56" s="70">
        <f t="shared" si="25"/>
        <v>1</v>
      </c>
      <c r="AA56" s="70">
        <f t="shared" si="26"/>
        <v>1</v>
      </c>
      <c r="AB56" s="70">
        <f t="shared" si="27"/>
        <v>1</v>
      </c>
      <c r="AC56" s="71">
        <f t="shared" si="28"/>
        <v>1</v>
      </c>
      <c r="AD56" s="72" t="str">
        <f t="shared" si="29"/>
        <v>MAR</v>
      </c>
      <c r="AE56" s="73">
        <f>IF(A56="","",COUNT($N$2:N56))</f>
        <v>55</v>
      </c>
      <c r="AF56" s="74">
        <f t="shared" si="30"/>
        <v>0</v>
      </c>
      <c r="AG56" s="74">
        <f t="shared" si="31"/>
        <v>1</v>
      </c>
      <c r="AH56" s="74">
        <f t="shared" si="32"/>
        <v>0</v>
      </c>
      <c r="AI56" s="74" t="str">
        <f t="shared" si="33"/>
        <v>1,71-2,0</v>
      </c>
      <c r="AJ56" s="74" t="str">
        <f t="shared" si="34"/>
        <v>4,01-5,5</v>
      </c>
      <c r="AK56" s="74">
        <f>IF(A56="","",1/Tabela1[[#This Row],[ODDC]])</f>
        <v>0.52356020942408377</v>
      </c>
      <c r="AL56" s="74">
        <f>IF(A56="","",1/Tabela1[[#This Row],[ODDE]])</f>
        <v>0.29411764705882354</v>
      </c>
      <c r="AM56" s="74">
        <f>IF(A56="","",1/Tabela1[[#This Row],[ODDV]])</f>
        <v>0.23809523809523808</v>
      </c>
      <c r="AN56" s="74">
        <f>IF(A56="","",1-(Tabela1[[#This Row],[p(H)]]+Tabela1[[#This Row],[p(D)]]+Tabela1[[#This Row],[p(A)]]))</f>
        <v>-5.5773094578145388E-2</v>
      </c>
      <c r="AO56" s="74">
        <f>IF(A56="","",IFERROR(Tabela1[[#This Row],[p(H)]]/Tabela1[[#This Row],[FTHG]],1))</f>
        <v>0.17452006980802792</v>
      </c>
      <c r="AP56" s="74">
        <f>IF(A56="","",IFERROR(Tabela1[[#This Row],[p(A)]]/Tabela1[[#This Row],[FTAG]],1))</f>
        <v>7.9365079365079361E-2</v>
      </c>
      <c r="AQ56" s="107"/>
      <c r="AR56" s="107"/>
      <c r="AS56" s="107"/>
      <c r="AT56" s="107"/>
      <c r="AU56" s="107"/>
      <c r="AV56" s="107"/>
      <c r="AW56" s="107"/>
      <c r="AX56" s="107"/>
      <c r="AY56" s="107"/>
      <c r="AZ56" s="75"/>
      <c r="BA56" s="75"/>
      <c r="BB56" s="97"/>
      <c r="BC56" s="113"/>
      <c r="BD56" s="97"/>
      <c r="BE56" s="104"/>
      <c r="BF56" s="97"/>
      <c r="BG56" s="114"/>
      <c r="BH56" s="114"/>
      <c r="BI56" s="115"/>
      <c r="BJ56" s="104"/>
      <c r="BK56" s="104"/>
      <c r="BL56" s="104"/>
      <c r="BM56" s="104"/>
      <c r="BN56" s="104"/>
      <c r="BO56" s="104"/>
      <c r="BP56" s="104"/>
      <c r="BQ56" s="104"/>
      <c r="BR56" s="107"/>
      <c r="BS56" s="107"/>
      <c r="BT56" s="107"/>
      <c r="BU56" s="107"/>
      <c r="BV56" s="107"/>
      <c r="BW56" s="107"/>
      <c r="BX56" s="75"/>
      <c r="BY56" s="75"/>
      <c r="BZ56" s="75"/>
      <c r="CA56" s="75"/>
      <c r="CB56" s="75"/>
      <c r="CC56" s="75"/>
      <c r="CD56" s="75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</row>
    <row r="57" spans="1:120" ht="15.75" x14ac:dyDescent="0.25">
      <c r="A57" s="4">
        <v>46097</v>
      </c>
      <c r="B57" t="s">
        <v>390</v>
      </c>
      <c r="C57" t="s">
        <v>361</v>
      </c>
      <c r="D57">
        <v>1</v>
      </c>
      <c r="E57">
        <v>1</v>
      </c>
      <c r="F57" t="s">
        <v>348</v>
      </c>
      <c r="G57">
        <v>2.85</v>
      </c>
      <c r="H57">
        <v>3.4</v>
      </c>
      <c r="I57">
        <v>2.2999999999999998</v>
      </c>
      <c r="J57" s="68">
        <f t="shared" si="14"/>
        <v>1</v>
      </c>
      <c r="K57" s="68">
        <f t="shared" si="15"/>
        <v>1</v>
      </c>
      <c r="L57" s="69">
        <f t="shared" si="16"/>
        <v>0.43478260869565222</v>
      </c>
      <c r="M57" s="69">
        <f t="shared" si="17"/>
        <v>0.35087719298245612</v>
      </c>
      <c r="N57" s="69">
        <f>IF(A57="","",Tabela1[[#This Row],[PTC]]*Tabela1[[#This Row],[ODDC]])</f>
        <v>2.85</v>
      </c>
      <c r="O57" s="69">
        <f>IF(A57="","",Tabela1[[#This Row],[PTV]]*Tabela1[[#This Row],[ODDV]])</f>
        <v>2.2999999999999998</v>
      </c>
      <c r="P57" s="68">
        <f t="shared" si="18"/>
        <v>0</v>
      </c>
      <c r="Q57" s="68">
        <f t="shared" si="19"/>
        <v>0</v>
      </c>
      <c r="R57" s="68">
        <f t="shared" si="20"/>
        <v>-1</v>
      </c>
      <c r="S57" s="68">
        <f t="shared" si="21"/>
        <v>-1</v>
      </c>
      <c r="T57" s="68">
        <f>IF(A57="","",IF(F57="D",Tabela1[[#This Row],[ODDE]]-1,-1))</f>
        <v>2.4</v>
      </c>
      <c r="U57" s="70">
        <f>IF(A57="","",IF(AND(Tabela1[[#This Row],[FTHG]]&gt;3,F57="H"),1,0))</f>
        <v>0</v>
      </c>
      <c r="V57" s="70">
        <f>IF(A57="","",IF(AND(Tabela1[[#This Row],[FTAG]]&gt;3,F57="A"),1,0))</f>
        <v>0</v>
      </c>
      <c r="W57" s="70">
        <f t="shared" si="22"/>
        <v>1</v>
      </c>
      <c r="X57" s="70">
        <f t="shared" si="23"/>
        <v>1</v>
      </c>
      <c r="Y57" s="71">
        <f t="shared" si="24"/>
        <v>0</v>
      </c>
      <c r="Z57" s="70">
        <f t="shared" si="25"/>
        <v>0</v>
      </c>
      <c r="AA57" s="70">
        <f t="shared" si="26"/>
        <v>0</v>
      </c>
      <c r="AB57" s="70">
        <f t="shared" si="27"/>
        <v>0</v>
      </c>
      <c r="AC57" s="71">
        <f t="shared" si="28"/>
        <v>1</v>
      </c>
      <c r="AD57" s="72" t="str">
        <f t="shared" si="29"/>
        <v>MAR</v>
      </c>
      <c r="AE57" s="73">
        <f>IF(A57="","",COUNT($N$2:N57))</f>
        <v>56</v>
      </c>
      <c r="AF57" s="74">
        <f t="shared" si="30"/>
        <v>0</v>
      </c>
      <c r="AG57" s="74">
        <f t="shared" si="31"/>
        <v>1</v>
      </c>
      <c r="AH57" s="74">
        <f t="shared" si="32"/>
        <v>0</v>
      </c>
      <c r="AI57" s="74" t="str">
        <f t="shared" si="33"/>
        <v>2,41-3,0</v>
      </c>
      <c r="AJ57" s="74" t="str">
        <f t="shared" si="34"/>
        <v>2,01-2,4</v>
      </c>
      <c r="AK57" s="74">
        <f>IF(A57="","",1/Tabela1[[#This Row],[ODDC]])</f>
        <v>0.35087719298245612</v>
      </c>
      <c r="AL57" s="74">
        <f>IF(A57="","",1/Tabela1[[#This Row],[ODDE]])</f>
        <v>0.29411764705882354</v>
      </c>
      <c r="AM57" s="74">
        <f>IF(A57="","",1/Tabela1[[#This Row],[ODDV]])</f>
        <v>0.43478260869565222</v>
      </c>
      <c r="AN57" s="74">
        <f>IF(A57="","",1-(Tabela1[[#This Row],[p(H)]]+Tabela1[[#This Row],[p(D)]]+Tabela1[[#This Row],[p(A)]]))</f>
        <v>-7.9777448736932044E-2</v>
      </c>
      <c r="AO57" s="74">
        <f>IF(A57="","",IFERROR(Tabela1[[#This Row],[p(H)]]/Tabela1[[#This Row],[FTHG]],1))</f>
        <v>0.35087719298245612</v>
      </c>
      <c r="AP57" s="74">
        <f>IF(A57="","",IFERROR(Tabela1[[#This Row],[p(A)]]/Tabela1[[#This Row],[FTAG]],1))</f>
        <v>0.43478260869565222</v>
      </c>
      <c r="AQ57" s="107"/>
      <c r="AR57" s="107"/>
      <c r="AS57" s="107"/>
      <c r="AT57" s="107"/>
      <c r="AU57" s="107"/>
      <c r="AV57" s="107"/>
      <c r="AW57" s="107"/>
      <c r="AX57" s="107"/>
      <c r="AY57" s="107"/>
      <c r="AZ57" s="75"/>
      <c r="BA57" s="75"/>
      <c r="BB57" s="97"/>
      <c r="BC57" s="113"/>
      <c r="BD57" s="97"/>
      <c r="BE57" s="104"/>
      <c r="BF57" s="97"/>
      <c r="BG57" s="114"/>
      <c r="BH57" s="114"/>
      <c r="BI57" s="115"/>
      <c r="BJ57" s="104"/>
      <c r="BK57" s="104"/>
      <c r="BL57" s="104"/>
      <c r="BM57" s="104"/>
      <c r="BN57" s="104"/>
      <c r="BO57" s="104"/>
      <c r="BP57" s="104"/>
      <c r="BQ57" s="104"/>
      <c r="BR57" s="107"/>
      <c r="BS57" s="107"/>
      <c r="BT57" s="107"/>
      <c r="BU57" s="107"/>
      <c r="BV57" s="107"/>
      <c r="BW57" s="107"/>
      <c r="BX57" s="75"/>
      <c r="BY57" s="75"/>
      <c r="BZ57" s="75"/>
      <c r="CA57" s="75"/>
      <c r="CB57" s="75"/>
      <c r="CC57" s="75"/>
      <c r="CD57" s="75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</row>
    <row r="58" spans="1:120" ht="15.75" x14ac:dyDescent="0.25">
      <c r="A58" s="4">
        <v>46099</v>
      </c>
      <c r="B58" t="s">
        <v>356</v>
      </c>
      <c r="C58" t="s">
        <v>355</v>
      </c>
      <c r="D58">
        <v>2</v>
      </c>
      <c r="E58">
        <v>0</v>
      </c>
      <c r="F58" t="s">
        <v>347</v>
      </c>
      <c r="G58">
        <v>1.66</v>
      </c>
      <c r="H58">
        <v>3.7</v>
      </c>
      <c r="I58">
        <v>5.25</v>
      </c>
      <c r="J58" s="68">
        <f t="shared" si="14"/>
        <v>3</v>
      </c>
      <c r="K58" s="68">
        <f t="shared" si="15"/>
        <v>0</v>
      </c>
      <c r="L58" s="69">
        <f t="shared" si="16"/>
        <v>0.38095238095238093</v>
      </c>
      <c r="M58" s="69">
        <f t="shared" si="17"/>
        <v>0</v>
      </c>
      <c r="N58" s="69">
        <f>IF(A58="","",Tabela1[[#This Row],[PTC]]*Tabela1[[#This Row],[ODDC]])</f>
        <v>4.9799999999999995</v>
      </c>
      <c r="O58" s="69">
        <f>IF(A58="","",Tabela1[[#This Row],[PTV]]*Tabela1[[#This Row],[ODDV]])</f>
        <v>0</v>
      </c>
      <c r="P58" s="68">
        <f t="shared" si="18"/>
        <v>2</v>
      </c>
      <c r="Q58" s="68">
        <f t="shared" si="19"/>
        <v>-2</v>
      </c>
      <c r="R58" s="68">
        <f t="shared" si="20"/>
        <v>0.65999999999999992</v>
      </c>
      <c r="S58" s="68">
        <f t="shared" si="21"/>
        <v>-1</v>
      </c>
      <c r="T58" s="68">
        <f>IF(A58="","",IF(F58="D",Tabela1[[#This Row],[ODDE]]-1,-1))</f>
        <v>-1</v>
      </c>
      <c r="U58" s="70">
        <f>IF(A58="","",IF(AND(Tabela1[[#This Row],[FTHG]]&gt;3,F58="H"),1,0))</f>
        <v>0</v>
      </c>
      <c r="V58" s="70">
        <f>IF(A58="","",IF(AND(Tabela1[[#This Row],[FTAG]]&gt;3,F58="A"),1,0))</f>
        <v>0</v>
      </c>
      <c r="W58" s="70">
        <f t="shared" si="22"/>
        <v>1</v>
      </c>
      <c r="X58" s="70">
        <f t="shared" si="23"/>
        <v>1</v>
      </c>
      <c r="Y58" s="71">
        <f t="shared" si="24"/>
        <v>0</v>
      </c>
      <c r="Z58" s="70">
        <f t="shared" si="25"/>
        <v>0</v>
      </c>
      <c r="AA58" s="70">
        <f t="shared" si="26"/>
        <v>0</v>
      </c>
      <c r="AB58" s="70">
        <f t="shared" si="27"/>
        <v>0</v>
      </c>
      <c r="AC58" s="71">
        <f t="shared" si="28"/>
        <v>0</v>
      </c>
      <c r="AD58" s="72" t="str">
        <f t="shared" si="29"/>
        <v>MAR</v>
      </c>
      <c r="AE58" s="73">
        <f>IF(A58="","",COUNT($N$2:N58))</f>
        <v>57</v>
      </c>
      <c r="AF58" s="74">
        <f t="shared" si="30"/>
        <v>1</v>
      </c>
      <c r="AG58" s="74">
        <f t="shared" si="31"/>
        <v>0</v>
      </c>
      <c r="AH58" s="74">
        <f t="shared" si="32"/>
        <v>0</v>
      </c>
      <c r="AI58" s="74" t="str">
        <f t="shared" si="33"/>
        <v>1,41-1,7</v>
      </c>
      <c r="AJ58" s="74" t="str">
        <f t="shared" si="34"/>
        <v>4,01-5,5</v>
      </c>
      <c r="AK58" s="74">
        <f>IF(A58="","",1/Tabela1[[#This Row],[ODDC]])</f>
        <v>0.60240963855421692</v>
      </c>
      <c r="AL58" s="74">
        <f>IF(A58="","",1/Tabela1[[#This Row],[ODDE]])</f>
        <v>0.27027027027027023</v>
      </c>
      <c r="AM58" s="74">
        <f>IF(A58="","",1/Tabela1[[#This Row],[ODDV]])</f>
        <v>0.19047619047619047</v>
      </c>
      <c r="AN58" s="74">
        <f>IF(A58="","",1-(Tabela1[[#This Row],[p(H)]]+Tabela1[[#This Row],[p(D)]]+Tabela1[[#This Row],[p(A)]]))</f>
        <v>-6.3156099300677671E-2</v>
      </c>
      <c r="AO58" s="74">
        <f>IF(A58="","",IFERROR(Tabela1[[#This Row],[p(H)]]/Tabela1[[#This Row],[FTHG]],1))</f>
        <v>0.30120481927710846</v>
      </c>
      <c r="AP58" s="74">
        <f>IF(A58="","",IFERROR(Tabela1[[#This Row],[p(A)]]/Tabela1[[#This Row],[FTAG]],1))</f>
        <v>1</v>
      </c>
      <c r="AQ58" s="107"/>
      <c r="AR58" s="107"/>
      <c r="AS58" s="107"/>
      <c r="AT58" s="107"/>
      <c r="AU58" s="107"/>
      <c r="AV58" s="107"/>
      <c r="AW58" s="107"/>
      <c r="AX58" s="107"/>
      <c r="AY58" s="107"/>
      <c r="AZ58" s="75"/>
      <c r="BA58" s="75"/>
      <c r="BB58" s="97"/>
      <c r="BC58" s="113"/>
      <c r="BD58" s="97"/>
      <c r="BE58" s="104"/>
      <c r="BF58" s="97"/>
      <c r="BG58" s="114"/>
      <c r="BH58" s="114"/>
      <c r="BI58" s="115"/>
      <c r="BJ58" s="104"/>
      <c r="BK58" s="97"/>
      <c r="BL58" s="104"/>
      <c r="BM58" s="104"/>
      <c r="BN58" s="97"/>
      <c r="BO58" s="104"/>
      <c r="BP58" s="97"/>
      <c r="BQ58" s="97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</row>
    <row r="59" spans="1:120" x14ac:dyDescent="0.25">
      <c r="A59" s="4">
        <v>46099</v>
      </c>
      <c r="B59" t="s">
        <v>353</v>
      </c>
      <c r="C59" t="s">
        <v>350</v>
      </c>
      <c r="D59">
        <v>2</v>
      </c>
      <c r="E59">
        <v>1</v>
      </c>
      <c r="F59" t="s">
        <v>347</v>
      </c>
      <c r="G59">
        <v>1.51</v>
      </c>
      <c r="H59">
        <v>4</v>
      </c>
      <c r="I59">
        <v>6.25</v>
      </c>
      <c r="J59" s="68">
        <f t="shared" si="14"/>
        <v>3</v>
      </c>
      <c r="K59" s="68">
        <f t="shared" si="15"/>
        <v>0</v>
      </c>
      <c r="L59" s="69">
        <f t="shared" si="16"/>
        <v>0.32</v>
      </c>
      <c r="M59" s="69">
        <f t="shared" si="17"/>
        <v>0.66225165562913912</v>
      </c>
      <c r="N59" s="69">
        <f>IF(A59="","",Tabela1[[#This Row],[PTC]]*Tabela1[[#This Row],[ODDC]])</f>
        <v>4.53</v>
      </c>
      <c r="O59" s="69">
        <f>IF(A59="","",Tabela1[[#This Row],[PTV]]*Tabela1[[#This Row],[ODDV]])</f>
        <v>0</v>
      </c>
      <c r="P59" s="68">
        <f t="shared" si="18"/>
        <v>1</v>
      </c>
      <c r="Q59" s="68">
        <f t="shared" si="19"/>
        <v>-1</v>
      </c>
      <c r="R59" s="68">
        <f t="shared" si="20"/>
        <v>0.51</v>
      </c>
      <c r="S59" s="68">
        <f t="shared" si="21"/>
        <v>-1</v>
      </c>
      <c r="T59" s="68">
        <f>IF(A59="","",IF(F59="D",Tabela1[[#This Row],[ODDE]]-1,-1))</f>
        <v>-1</v>
      </c>
      <c r="U59" s="70">
        <f>IF(A59="","",IF(AND(Tabela1[[#This Row],[FTHG]]&gt;3,F59="H"),1,0))</f>
        <v>0</v>
      </c>
      <c r="V59" s="70">
        <f>IF(A59="","",IF(AND(Tabela1[[#This Row],[FTAG]]&gt;3,F59="A"),1,0))</f>
        <v>0</v>
      </c>
      <c r="W59" s="70">
        <f t="shared" si="22"/>
        <v>1</v>
      </c>
      <c r="X59" s="70">
        <f t="shared" si="23"/>
        <v>1</v>
      </c>
      <c r="Y59" s="71">
        <f t="shared" si="24"/>
        <v>1</v>
      </c>
      <c r="Z59" s="70">
        <f t="shared" si="25"/>
        <v>0</v>
      </c>
      <c r="AA59" s="70">
        <f t="shared" si="26"/>
        <v>0</v>
      </c>
      <c r="AB59" s="70">
        <f t="shared" si="27"/>
        <v>0</v>
      </c>
      <c r="AC59" s="71">
        <f t="shared" si="28"/>
        <v>1</v>
      </c>
      <c r="AD59" s="72" t="str">
        <f t="shared" si="29"/>
        <v>MAR</v>
      </c>
      <c r="AE59" s="73">
        <f>IF(A59="","",COUNT($N$2:N59))</f>
        <v>58</v>
      </c>
      <c r="AF59" s="74">
        <f t="shared" si="30"/>
        <v>1</v>
      </c>
      <c r="AG59" s="74">
        <f t="shared" si="31"/>
        <v>0</v>
      </c>
      <c r="AH59" s="74">
        <f t="shared" si="32"/>
        <v>0</v>
      </c>
      <c r="AI59" s="74" t="str">
        <f t="shared" si="33"/>
        <v>1,41-1,7</v>
      </c>
      <c r="AJ59" s="74" t="str">
        <f t="shared" si="34"/>
        <v>5,51-9,0</v>
      </c>
      <c r="AK59" s="74">
        <f>IF(A59="","",1/Tabela1[[#This Row],[ODDC]])</f>
        <v>0.66225165562913912</v>
      </c>
      <c r="AL59" s="74">
        <f>IF(A59="","",1/Tabela1[[#This Row],[ODDE]])</f>
        <v>0.25</v>
      </c>
      <c r="AM59" s="74">
        <f>IF(A59="","",1/Tabela1[[#This Row],[ODDV]])</f>
        <v>0.16</v>
      </c>
      <c r="AN59" s="74">
        <f>IF(A59="","",1-(Tabela1[[#This Row],[p(H)]]+Tabela1[[#This Row],[p(D)]]+Tabela1[[#This Row],[p(A)]]))</f>
        <v>-7.2251655629139044E-2</v>
      </c>
      <c r="AO59" s="74">
        <f>IF(A59="","",IFERROR(Tabela1[[#This Row],[p(H)]]/Tabela1[[#This Row],[FTHG]],1))</f>
        <v>0.33112582781456956</v>
      </c>
      <c r="AP59" s="74">
        <f>IF(A59="","",IFERROR(Tabela1[[#This Row],[p(A)]]/Tabela1[[#This Row],[FTAG]],1))</f>
        <v>0.16</v>
      </c>
      <c r="AQ59" s="107"/>
      <c r="AR59" s="107"/>
      <c r="AS59" s="107"/>
      <c r="AT59" s="107"/>
      <c r="AU59" s="107"/>
      <c r="AV59" s="107"/>
      <c r="AW59" s="107"/>
      <c r="AX59" s="107"/>
      <c r="AY59" s="107"/>
      <c r="AZ59" s="75"/>
      <c r="BA59" s="75"/>
      <c r="BB59" s="97"/>
      <c r="BC59" s="104"/>
      <c r="BD59" s="97"/>
      <c r="BE59" s="104"/>
      <c r="BF59" s="104"/>
      <c r="BG59" s="114"/>
      <c r="BH59" s="104"/>
      <c r="BI59" s="104"/>
      <c r="BJ59" s="104"/>
      <c r="BK59" s="97"/>
      <c r="BL59" s="104"/>
      <c r="BM59" s="104"/>
      <c r="BN59" s="97"/>
      <c r="BO59" s="104"/>
      <c r="BP59" s="97"/>
      <c r="BQ59" s="97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</row>
    <row r="60" spans="1:120" x14ac:dyDescent="0.25">
      <c r="A60" s="4">
        <v>46099</v>
      </c>
      <c r="B60" t="s">
        <v>388</v>
      </c>
      <c r="C60" t="s">
        <v>358</v>
      </c>
      <c r="D60">
        <v>2</v>
      </c>
      <c r="E60">
        <v>1</v>
      </c>
      <c r="F60" t="s">
        <v>347</v>
      </c>
      <c r="G60">
        <v>2.1</v>
      </c>
      <c r="H60">
        <v>3.2</v>
      </c>
      <c r="I60">
        <v>3.6</v>
      </c>
      <c r="J60" s="68">
        <f t="shared" si="14"/>
        <v>3</v>
      </c>
      <c r="K60" s="68">
        <f t="shared" si="15"/>
        <v>0</v>
      </c>
      <c r="L60" s="69">
        <f t="shared" si="16"/>
        <v>0.55555555555555558</v>
      </c>
      <c r="M60" s="69">
        <f t="shared" si="17"/>
        <v>0.47619047619047616</v>
      </c>
      <c r="N60" s="69">
        <f>IF(A60="","",Tabela1[[#This Row],[PTC]]*Tabela1[[#This Row],[ODDC]])</f>
        <v>6.3000000000000007</v>
      </c>
      <c r="O60" s="69">
        <f>IF(A60="","",Tabela1[[#This Row],[PTV]]*Tabela1[[#This Row],[ODDV]])</f>
        <v>0</v>
      </c>
      <c r="P60" s="68">
        <f t="shared" si="18"/>
        <v>1</v>
      </c>
      <c r="Q60" s="68">
        <f t="shared" si="19"/>
        <v>-1</v>
      </c>
      <c r="R60" s="68">
        <f t="shared" si="20"/>
        <v>1.1000000000000001</v>
      </c>
      <c r="S60" s="68">
        <f t="shared" si="21"/>
        <v>-1</v>
      </c>
      <c r="T60" s="68">
        <f>IF(A60="","",IF(F60="D",Tabela1[[#This Row],[ODDE]]-1,-1))</f>
        <v>-1</v>
      </c>
      <c r="U60" s="70">
        <f>IF(A60="","",IF(AND(Tabela1[[#This Row],[FTHG]]&gt;3,F60="H"),1,0))</f>
        <v>0</v>
      </c>
      <c r="V60" s="70">
        <f>IF(A60="","",IF(AND(Tabela1[[#This Row],[FTAG]]&gt;3,F60="A"),1,0))</f>
        <v>0</v>
      </c>
      <c r="W60" s="70">
        <f t="shared" si="22"/>
        <v>1</v>
      </c>
      <c r="X60" s="70">
        <f t="shared" si="23"/>
        <v>1</v>
      </c>
      <c r="Y60" s="71">
        <f t="shared" si="24"/>
        <v>1</v>
      </c>
      <c r="Z60" s="70">
        <f t="shared" si="25"/>
        <v>0</v>
      </c>
      <c r="AA60" s="70">
        <f t="shared" si="26"/>
        <v>0</v>
      </c>
      <c r="AB60" s="70">
        <f t="shared" si="27"/>
        <v>0</v>
      </c>
      <c r="AC60" s="71">
        <f t="shared" si="28"/>
        <v>1</v>
      </c>
      <c r="AD60" s="72" t="str">
        <f t="shared" si="29"/>
        <v>MAR</v>
      </c>
      <c r="AE60" s="73">
        <f>IF(A60="","",COUNT($N$2:N60))</f>
        <v>59</v>
      </c>
      <c r="AF60" s="74">
        <f t="shared" si="30"/>
        <v>1</v>
      </c>
      <c r="AG60" s="74">
        <f t="shared" si="31"/>
        <v>0</v>
      </c>
      <c r="AH60" s="74">
        <f t="shared" si="32"/>
        <v>0</v>
      </c>
      <c r="AI60" s="74" t="str">
        <f t="shared" si="33"/>
        <v>2,01-2,4</v>
      </c>
      <c r="AJ60" s="74" t="str">
        <f t="shared" si="34"/>
        <v>3,01-4.0</v>
      </c>
      <c r="AK60" s="74">
        <f>IF(A60="","",1/Tabela1[[#This Row],[ODDC]])</f>
        <v>0.47619047619047616</v>
      </c>
      <c r="AL60" s="74">
        <f>IF(A60="","",1/Tabela1[[#This Row],[ODDE]])</f>
        <v>0.3125</v>
      </c>
      <c r="AM60" s="74">
        <f>IF(A60="","",1/Tabela1[[#This Row],[ODDV]])</f>
        <v>0.27777777777777779</v>
      </c>
      <c r="AN60" s="74">
        <f>IF(A60="","",1-(Tabela1[[#This Row],[p(H)]]+Tabela1[[#This Row],[p(D)]]+Tabela1[[#This Row],[p(A)]]))</f>
        <v>-6.6468253968253954E-2</v>
      </c>
      <c r="AO60" s="74">
        <f>IF(A60="","",IFERROR(Tabela1[[#This Row],[p(H)]]/Tabela1[[#This Row],[FTHG]],1))</f>
        <v>0.23809523809523808</v>
      </c>
      <c r="AP60" s="74">
        <f>IF(A60="","",IFERROR(Tabela1[[#This Row],[p(A)]]/Tabela1[[#This Row],[FTAG]],1))</f>
        <v>0.27777777777777779</v>
      </c>
      <c r="AQ60" s="107"/>
      <c r="AR60" s="107"/>
      <c r="AS60" s="107"/>
      <c r="AT60" s="107"/>
      <c r="AU60" s="107"/>
      <c r="AV60" s="107"/>
      <c r="AW60" s="107"/>
      <c r="AX60" s="107"/>
      <c r="AY60" s="107"/>
      <c r="AZ60" s="75"/>
      <c r="BA60" s="75"/>
      <c r="BB60" s="97"/>
      <c r="BC60" s="104"/>
      <c r="BD60" s="104"/>
      <c r="BE60" s="104"/>
      <c r="BF60" s="104"/>
      <c r="BG60" s="11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7"/>
      <c r="BS60" s="107"/>
      <c r="BT60" s="107"/>
      <c r="BU60" s="107"/>
      <c r="BV60" s="107"/>
      <c r="BW60" s="107"/>
      <c r="BX60" s="75"/>
      <c r="BY60" s="75"/>
      <c r="BZ60" s="75"/>
      <c r="CA60" s="75"/>
      <c r="CB60" s="75"/>
      <c r="CC60" s="75"/>
      <c r="CD60" s="75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</row>
    <row r="61" spans="1:120" x14ac:dyDescent="0.25">
      <c r="A61" s="4">
        <v>46099</v>
      </c>
      <c r="B61" t="s">
        <v>359</v>
      </c>
      <c r="C61" t="s">
        <v>351</v>
      </c>
      <c r="D61">
        <v>1</v>
      </c>
      <c r="E61">
        <v>0</v>
      </c>
      <c r="F61" t="s">
        <v>347</v>
      </c>
      <c r="G61">
        <v>2.2999999999999998</v>
      </c>
      <c r="H61">
        <v>3</v>
      </c>
      <c r="I61">
        <v>3.4</v>
      </c>
      <c r="J61" s="68">
        <f t="shared" si="14"/>
        <v>3</v>
      </c>
      <c r="K61" s="68">
        <f t="shared" si="15"/>
        <v>0</v>
      </c>
      <c r="L61" s="69">
        <f t="shared" si="16"/>
        <v>0.29411764705882354</v>
      </c>
      <c r="M61" s="69">
        <f t="shared" si="17"/>
        <v>0</v>
      </c>
      <c r="N61" s="69">
        <f>IF(A61="","",Tabela1[[#This Row],[PTC]]*Tabela1[[#This Row],[ODDC]])</f>
        <v>6.8999999999999995</v>
      </c>
      <c r="O61" s="69">
        <f>IF(A61="","",Tabela1[[#This Row],[PTV]]*Tabela1[[#This Row],[ODDV]])</f>
        <v>0</v>
      </c>
      <c r="P61" s="68">
        <f t="shared" si="18"/>
        <v>1</v>
      </c>
      <c r="Q61" s="68">
        <f t="shared" si="19"/>
        <v>-1</v>
      </c>
      <c r="R61" s="68">
        <f t="shared" si="20"/>
        <v>1.2999999999999998</v>
      </c>
      <c r="S61" s="68">
        <f t="shared" si="21"/>
        <v>-1</v>
      </c>
      <c r="T61" s="68">
        <f>IF(A61="","",IF(F61="D",Tabela1[[#This Row],[ODDE]]-1,-1))</f>
        <v>-1</v>
      </c>
      <c r="U61" s="70">
        <f>IF(A61="","",IF(AND(Tabela1[[#This Row],[FTHG]]&gt;3,F61="H"),1,0))</f>
        <v>0</v>
      </c>
      <c r="V61" s="70">
        <f>IF(A61="","",IF(AND(Tabela1[[#This Row],[FTAG]]&gt;3,F61="A"),1,0))</f>
        <v>0</v>
      </c>
      <c r="W61" s="70">
        <f t="shared" si="22"/>
        <v>1</v>
      </c>
      <c r="X61" s="70">
        <f t="shared" si="23"/>
        <v>0</v>
      </c>
      <c r="Y61" s="71">
        <f t="shared" si="24"/>
        <v>0</v>
      </c>
      <c r="Z61" s="70">
        <f t="shared" si="25"/>
        <v>0</v>
      </c>
      <c r="AA61" s="70">
        <f t="shared" si="26"/>
        <v>0</v>
      </c>
      <c r="AB61" s="70">
        <f t="shared" si="27"/>
        <v>0</v>
      </c>
      <c r="AC61" s="71">
        <f t="shared" si="28"/>
        <v>0</v>
      </c>
      <c r="AD61" s="72" t="str">
        <f t="shared" si="29"/>
        <v>MAR</v>
      </c>
      <c r="AE61" s="73">
        <f>IF(A61="","",COUNT($N$2:N61))</f>
        <v>60</v>
      </c>
      <c r="AF61" s="74">
        <f t="shared" si="30"/>
        <v>1</v>
      </c>
      <c r="AG61" s="74">
        <f t="shared" si="31"/>
        <v>0</v>
      </c>
      <c r="AH61" s="74">
        <f t="shared" si="32"/>
        <v>0</v>
      </c>
      <c r="AI61" s="74" t="str">
        <f t="shared" si="33"/>
        <v>2,01-2,4</v>
      </c>
      <c r="AJ61" s="74" t="str">
        <f t="shared" si="34"/>
        <v>3,01-4.0</v>
      </c>
      <c r="AK61" s="74">
        <f>IF(A61="","",1/Tabela1[[#This Row],[ODDC]])</f>
        <v>0.43478260869565222</v>
      </c>
      <c r="AL61" s="74">
        <f>IF(A61="","",1/Tabela1[[#This Row],[ODDE]])</f>
        <v>0.33333333333333331</v>
      </c>
      <c r="AM61" s="74">
        <f>IF(A61="","",1/Tabela1[[#This Row],[ODDV]])</f>
        <v>0.29411764705882354</v>
      </c>
      <c r="AN61" s="74">
        <f>IF(A61="","",1-(Tabela1[[#This Row],[p(H)]]+Tabela1[[#This Row],[p(D)]]+Tabela1[[#This Row],[p(A)]]))</f>
        <v>-6.2233589087809182E-2</v>
      </c>
      <c r="AO61" s="74">
        <f>IF(A61="","",IFERROR(Tabela1[[#This Row],[p(H)]]/Tabela1[[#This Row],[FTHG]],1))</f>
        <v>0.43478260869565222</v>
      </c>
      <c r="AP61" s="74">
        <f>IF(A61="","",IFERROR(Tabela1[[#This Row],[p(A)]]/Tabela1[[#This Row],[FTAG]],1))</f>
        <v>1</v>
      </c>
      <c r="AQ61" s="107"/>
      <c r="AR61" s="107"/>
      <c r="AS61" s="107"/>
      <c r="AT61" s="107"/>
      <c r="AU61" s="107"/>
      <c r="AV61" s="107"/>
      <c r="AW61" s="107"/>
      <c r="AX61" s="107"/>
      <c r="AY61" s="107"/>
      <c r="AZ61" s="75"/>
      <c r="BA61" s="75"/>
      <c r="BB61" s="97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7"/>
      <c r="BS61" s="107"/>
      <c r="BT61" s="107"/>
      <c r="BU61" s="107"/>
      <c r="BV61" s="107"/>
      <c r="BW61" s="107"/>
      <c r="BX61" s="75"/>
      <c r="BY61" s="75"/>
      <c r="BZ61" s="75"/>
      <c r="CA61" s="75"/>
      <c r="CB61" s="75"/>
      <c r="CC61" s="75"/>
      <c r="CD61" s="75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</row>
    <row r="62" spans="1:120" x14ac:dyDescent="0.25">
      <c r="A62" s="4">
        <v>46099</v>
      </c>
      <c r="B62" t="s">
        <v>382</v>
      </c>
      <c r="C62" t="s">
        <v>387</v>
      </c>
      <c r="D62">
        <v>0</v>
      </c>
      <c r="E62">
        <v>1</v>
      </c>
      <c r="F62" t="s">
        <v>346</v>
      </c>
      <c r="G62">
        <v>1.57</v>
      </c>
      <c r="H62">
        <v>3.6</v>
      </c>
      <c r="I62">
        <v>6.25</v>
      </c>
      <c r="J62" s="68">
        <f t="shared" si="14"/>
        <v>0</v>
      </c>
      <c r="K62" s="68">
        <f t="shared" si="15"/>
        <v>3</v>
      </c>
      <c r="L62" s="69">
        <f t="shared" si="16"/>
        <v>0</v>
      </c>
      <c r="M62" s="69">
        <f t="shared" si="17"/>
        <v>0.63694267515923564</v>
      </c>
      <c r="N62" s="69">
        <f>IF(A62="","",Tabela1[[#This Row],[PTC]]*Tabela1[[#This Row],[ODDC]])</f>
        <v>0</v>
      </c>
      <c r="O62" s="69">
        <f>IF(A62="","",Tabela1[[#This Row],[PTV]]*Tabela1[[#This Row],[ODDV]])</f>
        <v>18.75</v>
      </c>
      <c r="P62" s="68">
        <f t="shared" si="18"/>
        <v>-1</v>
      </c>
      <c r="Q62" s="68">
        <f t="shared" si="19"/>
        <v>1</v>
      </c>
      <c r="R62" s="68">
        <f t="shared" si="20"/>
        <v>-1</v>
      </c>
      <c r="S62" s="68">
        <f t="shared" si="21"/>
        <v>5.25</v>
      </c>
      <c r="T62" s="68">
        <f>IF(A62="","",IF(F62="D",Tabela1[[#This Row],[ODDE]]-1,-1))</f>
        <v>-1</v>
      </c>
      <c r="U62" s="70">
        <f>IF(A62="","",IF(AND(Tabela1[[#This Row],[FTHG]]&gt;3,F62="H"),1,0))</f>
        <v>0</v>
      </c>
      <c r="V62" s="70">
        <f>IF(A62="","",IF(AND(Tabela1[[#This Row],[FTAG]]&gt;3,F62="A"),1,0))</f>
        <v>0</v>
      </c>
      <c r="W62" s="70">
        <f t="shared" si="22"/>
        <v>1</v>
      </c>
      <c r="X62" s="70">
        <f t="shared" si="23"/>
        <v>0</v>
      </c>
      <c r="Y62" s="71">
        <f t="shared" si="24"/>
        <v>0</v>
      </c>
      <c r="Z62" s="70">
        <f t="shared" si="25"/>
        <v>0</v>
      </c>
      <c r="AA62" s="70">
        <f t="shared" si="26"/>
        <v>0</v>
      </c>
      <c r="AB62" s="70">
        <f t="shared" si="27"/>
        <v>0</v>
      </c>
      <c r="AC62" s="71">
        <f t="shared" si="28"/>
        <v>0</v>
      </c>
      <c r="AD62" s="72" t="str">
        <f t="shared" si="29"/>
        <v>MAR</v>
      </c>
      <c r="AE62" s="73">
        <f>IF(A62="","",COUNT($N$2:N62))</f>
        <v>61</v>
      </c>
      <c r="AF62" s="74">
        <f t="shared" si="30"/>
        <v>0</v>
      </c>
      <c r="AG62" s="74">
        <f t="shared" si="31"/>
        <v>0</v>
      </c>
      <c r="AH62" s="74">
        <f t="shared" si="32"/>
        <v>1</v>
      </c>
      <c r="AI62" s="74" t="str">
        <f t="shared" si="33"/>
        <v>1,41-1,7</v>
      </c>
      <c r="AJ62" s="74" t="str">
        <f t="shared" si="34"/>
        <v>5,51-9,0</v>
      </c>
      <c r="AK62" s="74">
        <f>IF(A62="","",1/Tabela1[[#This Row],[ODDC]])</f>
        <v>0.63694267515923564</v>
      </c>
      <c r="AL62" s="74">
        <f>IF(A62="","",1/Tabela1[[#This Row],[ODDE]])</f>
        <v>0.27777777777777779</v>
      </c>
      <c r="AM62" s="74">
        <f>IF(A62="","",1/Tabela1[[#This Row],[ODDV]])</f>
        <v>0.16</v>
      </c>
      <c r="AN62" s="74">
        <f>IF(A62="","",1-(Tabela1[[#This Row],[p(H)]]+Tabela1[[#This Row],[p(D)]]+Tabela1[[#This Row],[p(A)]]))</f>
        <v>-7.4720452937013349E-2</v>
      </c>
      <c r="AO62" s="74">
        <f>IF(A62="","",IFERROR(Tabela1[[#This Row],[p(H)]]/Tabela1[[#This Row],[FTHG]],1))</f>
        <v>1</v>
      </c>
      <c r="AP62" s="74">
        <f>IF(A62="","",IFERROR(Tabela1[[#This Row],[p(A)]]/Tabela1[[#This Row],[FTAG]],1))</f>
        <v>0.16</v>
      </c>
      <c r="AQ62" s="107"/>
      <c r="AR62" s="107"/>
      <c r="AS62" s="107"/>
      <c r="AT62" s="107"/>
      <c r="AU62" s="107"/>
      <c r="AV62" s="107"/>
      <c r="AW62" s="107"/>
      <c r="AX62" s="107"/>
      <c r="AY62" s="107"/>
      <c r="AZ62" s="75"/>
      <c r="BA62" s="75"/>
      <c r="BB62" s="97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7"/>
      <c r="BS62" s="107"/>
      <c r="BT62" s="107"/>
      <c r="BU62" s="107"/>
      <c r="BV62" s="107"/>
      <c r="BW62" s="107"/>
      <c r="BX62" s="75"/>
      <c r="BY62" s="75"/>
      <c r="BZ62" s="75"/>
      <c r="CA62" s="75"/>
      <c r="CB62" s="75"/>
      <c r="CC62" s="75"/>
      <c r="CD62" s="75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</row>
    <row r="63" spans="1:120" x14ac:dyDescent="0.25">
      <c r="A63" s="4">
        <v>46100</v>
      </c>
      <c r="B63" t="s">
        <v>362</v>
      </c>
      <c r="C63" t="s">
        <v>354</v>
      </c>
      <c r="D63">
        <v>1</v>
      </c>
      <c r="E63">
        <v>2</v>
      </c>
      <c r="F63" t="s">
        <v>346</v>
      </c>
      <c r="G63">
        <v>2.0499999999999998</v>
      </c>
      <c r="H63">
        <v>3.3</v>
      </c>
      <c r="I63">
        <v>3.7</v>
      </c>
      <c r="J63" s="68">
        <f t="shared" si="14"/>
        <v>0</v>
      </c>
      <c r="K63" s="68">
        <f t="shared" si="15"/>
        <v>3</v>
      </c>
      <c r="L63" s="69">
        <f t="shared" si="16"/>
        <v>0.27027027027027023</v>
      </c>
      <c r="M63" s="69">
        <f t="shared" si="17"/>
        <v>0.97560975609756106</v>
      </c>
      <c r="N63" s="69">
        <f>IF(A63="","",Tabela1[[#This Row],[PTC]]*Tabela1[[#This Row],[ODDC]])</f>
        <v>0</v>
      </c>
      <c r="O63" s="69">
        <f>IF(A63="","",Tabela1[[#This Row],[PTV]]*Tabela1[[#This Row],[ODDV]])</f>
        <v>11.100000000000001</v>
      </c>
      <c r="P63" s="68">
        <f t="shared" si="18"/>
        <v>-1</v>
      </c>
      <c r="Q63" s="68">
        <f t="shared" si="19"/>
        <v>1</v>
      </c>
      <c r="R63" s="68">
        <f t="shared" si="20"/>
        <v>-1</v>
      </c>
      <c r="S63" s="68">
        <f t="shared" si="21"/>
        <v>2.7</v>
      </c>
      <c r="T63" s="68">
        <f>IF(A63="","",IF(F63="D",Tabela1[[#This Row],[ODDE]]-1,-1))</f>
        <v>-1</v>
      </c>
      <c r="U63" s="70">
        <f>IF(A63="","",IF(AND(Tabela1[[#This Row],[FTHG]]&gt;3,F63="H"),1,0))</f>
        <v>0</v>
      </c>
      <c r="V63" s="70">
        <f>IF(A63="","",IF(AND(Tabela1[[#This Row],[FTAG]]&gt;3,F63="A"),1,0))</f>
        <v>0</v>
      </c>
      <c r="W63" s="70">
        <f t="shared" si="22"/>
        <v>1</v>
      </c>
      <c r="X63" s="70">
        <f t="shared" si="23"/>
        <v>1</v>
      </c>
      <c r="Y63" s="71">
        <f t="shared" si="24"/>
        <v>1</v>
      </c>
      <c r="Z63" s="70">
        <f t="shared" si="25"/>
        <v>0</v>
      </c>
      <c r="AA63" s="70">
        <f t="shared" si="26"/>
        <v>0</v>
      </c>
      <c r="AB63" s="70">
        <f t="shared" si="27"/>
        <v>0</v>
      </c>
      <c r="AC63" s="71">
        <f t="shared" si="28"/>
        <v>1</v>
      </c>
      <c r="AD63" s="72" t="str">
        <f t="shared" si="29"/>
        <v>MAR</v>
      </c>
      <c r="AE63" s="73">
        <f>IF(A63="","",COUNT($N$2:N63))</f>
        <v>62</v>
      </c>
      <c r="AF63" s="74">
        <f t="shared" si="30"/>
        <v>0</v>
      </c>
      <c r="AG63" s="74">
        <f t="shared" si="31"/>
        <v>0</v>
      </c>
      <c r="AH63" s="74">
        <f t="shared" si="32"/>
        <v>1</v>
      </c>
      <c r="AI63" s="74" t="str">
        <f t="shared" si="33"/>
        <v>2,01-2,4</v>
      </c>
      <c r="AJ63" s="74" t="str">
        <f t="shared" si="34"/>
        <v>3,01-4.0</v>
      </c>
      <c r="AK63" s="74">
        <f>IF(A63="","",1/Tabela1[[#This Row],[ODDC]])</f>
        <v>0.48780487804878053</v>
      </c>
      <c r="AL63" s="74">
        <f>IF(A63="","",1/Tabela1[[#This Row],[ODDE]])</f>
        <v>0.30303030303030304</v>
      </c>
      <c r="AM63" s="74">
        <f>IF(A63="","",1/Tabela1[[#This Row],[ODDV]])</f>
        <v>0.27027027027027023</v>
      </c>
      <c r="AN63" s="74">
        <f>IF(A63="","",1-(Tabela1[[#This Row],[p(H)]]+Tabela1[[#This Row],[p(D)]]+Tabela1[[#This Row],[p(A)]]))</f>
        <v>-6.1105451349353856E-2</v>
      </c>
      <c r="AO63" s="74">
        <f>IF(A63="","",IFERROR(Tabela1[[#This Row],[p(H)]]/Tabela1[[#This Row],[FTHG]],1))</f>
        <v>0.48780487804878053</v>
      </c>
      <c r="AP63" s="74">
        <f>IF(A63="","",IFERROR(Tabela1[[#This Row],[p(A)]]/Tabela1[[#This Row],[FTAG]],1))</f>
        <v>0.13513513513513511</v>
      </c>
      <c r="AQ63" s="107"/>
      <c r="AR63" s="107"/>
      <c r="AS63" s="107"/>
      <c r="AT63" s="107"/>
      <c r="AU63" s="107"/>
      <c r="AV63" s="107"/>
      <c r="AW63" s="107"/>
      <c r="AX63" s="107"/>
      <c r="AY63" s="107"/>
      <c r="AZ63" s="75"/>
      <c r="BA63" s="75"/>
      <c r="BB63" s="97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7"/>
      <c r="BS63" s="107"/>
      <c r="BT63" s="107"/>
      <c r="BU63" s="107"/>
      <c r="BV63" s="107"/>
      <c r="BW63" s="107"/>
      <c r="BX63" s="75"/>
      <c r="BY63" s="75"/>
      <c r="BZ63" s="75"/>
      <c r="CA63" s="75"/>
      <c r="CB63" s="75"/>
      <c r="CC63" s="75"/>
      <c r="CD63" s="75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</row>
    <row r="64" spans="1:120" x14ac:dyDescent="0.25">
      <c r="A64" s="4">
        <v>46100</v>
      </c>
      <c r="B64" t="s">
        <v>360</v>
      </c>
      <c r="C64" t="s">
        <v>352</v>
      </c>
      <c r="D64">
        <v>3</v>
      </c>
      <c r="E64">
        <v>2</v>
      </c>
      <c r="F64" t="s">
        <v>347</v>
      </c>
      <c r="G64">
        <v>3.7</v>
      </c>
      <c r="H64">
        <v>3.1</v>
      </c>
      <c r="I64">
        <v>2.1</v>
      </c>
      <c r="J64" s="68">
        <f t="shared" si="14"/>
        <v>3</v>
      </c>
      <c r="K64" s="68">
        <f t="shared" si="15"/>
        <v>0</v>
      </c>
      <c r="L64" s="69">
        <f t="shared" si="16"/>
        <v>1.4285714285714286</v>
      </c>
      <c r="M64" s="69">
        <f t="shared" si="17"/>
        <v>0.54054054054054046</v>
      </c>
      <c r="N64" s="69">
        <f>IF(A64="","",Tabela1[[#This Row],[PTC]]*Tabela1[[#This Row],[ODDC]])</f>
        <v>11.100000000000001</v>
      </c>
      <c r="O64" s="69">
        <f>IF(A64="","",Tabela1[[#This Row],[PTV]]*Tabela1[[#This Row],[ODDV]])</f>
        <v>0</v>
      </c>
      <c r="P64" s="68">
        <f t="shared" si="18"/>
        <v>1</v>
      </c>
      <c r="Q64" s="68">
        <f t="shared" si="19"/>
        <v>-1</v>
      </c>
      <c r="R64" s="68">
        <f t="shared" si="20"/>
        <v>2.7</v>
      </c>
      <c r="S64" s="68">
        <f t="shared" si="21"/>
        <v>-1</v>
      </c>
      <c r="T64" s="68">
        <f>IF(A64="","",IF(F64="D",Tabela1[[#This Row],[ODDE]]-1,-1))</f>
        <v>-1</v>
      </c>
      <c r="U64" s="70">
        <f>IF(A64="","",IF(AND(Tabela1[[#This Row],[FTHG]]&gt;3,F64="H"),1,0))</f>
        <v>0</v>
      </c>
      <c r="V64" s="70">
        <f>IF(A64="","",IF(AND(Tabela1[[#This Row],[FTAG]]&gt;3,F64="A"),1,0))</f>
        <v>0</v>
      </c>
      <c r="W64" s="70">
        <f t="shared" si="22"/>
        <v>1</v>
      </c>
      <c r="X64" s="70">
        <f t="shared" si="23"/>
        <v>1</v>
      </c>
      <c r="Y64" s="71">
        <f t="shared" si="24"/>
        <v>1</v>
      </c>
      <c r="Z64" s="70">
        <f t="shared" si="25"/>
        <v>1</v>
      </c>
      <c r="AA64" s="70">
        <f t="shared" si="26"/>
        <v>1</v>
      </c>
      <c r="AB64" s="70">
        <f t="shared" si="27"/>
        <v>0</v>
      </c>
      <c r="AC64" s="71">
        <f t="shared" si="28"/>
        <v>1</v>
      </c>
      <c r="AD64" s="72" t="str">
        <f t="shared" si="29"/>
        <v>MAR</v>
      </c>
      <c r="AE64" s="73">
        <f>IF(A64="","",COUNT($N$2:N64))</f>
        <v>63</v>
      </c>
      <c r="AF64" s="74">
        <f t="shared" si="30"/>
        <v>1</v>
      </c>
      <c r="AG64" s="74">
        <f t="shared" si="31"/>
        <v>0</v>
      </c>
      <c r="AH64" s="74">
        <f t="shared" si="32"/>
        <v>0</v>
      </c>
      <c r="AI64" s="74" t="str">
        <f t="shared" si="33"/>
        <v>3,01-4.0</v>
      </c>
      <c r="AJ64" s="74" t="str">
        <f t="shared" si="34"/>
        <v>2,01-2,4</v>
      </c>
      <c r="AK64" s="74">
        <f>IF(A64="","",1/Tabela1[[#This Row],[ODDC]])</f>
        <v>0.27027027027027023</v>
      </c>
      <c r="AL64" s="74">
        <f>IF(A64="","",1/Tabela1[[#This Row],[ODDE]])</f>
        <v>0.32258064516129031</v>
      </c>
      <c r="AM64" s="74">
        <f>IF(A64="","",1/Tabela1[[#This Row],[ODDV]])</f>
        <v>0.47619047619047616</v>
      </c>
      <c r="AN64" s="74">
        <f>IF(A64="","",1-(Tabela1[[#This Row],[p(H)]]+Tabela1[[#This Row],[p(D)]]+Tabela1[[#This Row],[p(A)]]))</f>
        <v>-6.9041391622036707E-2</v>
      </c>
      <c r="AO64" s="74">
        <f>IF(A64="","",IFERROR(Tabela1[[#This Row],[p(H)]]/Tabela1[[#This Row],[FTHG]],1))</f>
        <v>9.0090090090090072E-2</v>
      </c>
      <c r="AP64" s="74">
        <f>IF(A64="","",IFERROR(Tabela1[[#This Row],[p(A)]]/Tabela1[[#This Row],[FTAG]],1))</f>
        <v>0.23809523809523808</v>
      </c>
      <c r="AQ64" s="107"/>
      <c r="AR64" s="107"/>
      <c r="AS64" s="107"/>
      <c r="AT64" s="107"/>
      <c r="AU64" s="107"/>
      <c r="AV64" s="107"/>
      <c r="AW64" s="107"/>
      <c r="AX64" s="107"/>
      <c r="AY64" s="107"/>
      <c r="AZ64" s="75"/>
      <c r="BA64" s="75"/>
      <c r="BB64" s="97"/>
      <c r="BC64" s="117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7"/>
      <c r="BS64" s="107"/>
      <c r="BT64" s="107"/>
      <c r="BU64" s="107"/>
      <c r="BV64" s="107"/>
      <c r="BW64" s="107"/>
      <c r="BX64" s="75"/>
      <c r="BY64" s="75"/>
      <c r="BZ64" s="75"/>
      <c r="CA64" s="75"/>
      <c r="CB64" s="75"/>
      <c r="CC64" s="75"/>
      <c r="CD64" s="75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</row>
    <row r="65" spans="1:120" x14ac:dyDescent="0.25">
      <c r="A65" s="4">
        <v>46100</v>
      </c>
      <c r="B65" t="s">
        <v>361</v>
      </c>
      <c r="C65" t="s">
        <v>381</v>
      </c>
      <c r="D65">
        <v>2</v>
      </c>
      <c r="E65">
        <v>0</v>
      </c>
      <c r="F65" t="s">
        <v>347</v>
      </c>
      <c r="G65">
        <v>1.76</v>
      </c>
      <c r="H65">
        <v>3.4</v>
      </c>
      <c r="I65">
        <v>4.75</v>
      </c>
      <c r="J65" s="68">
        <f t="shared" si="14"/>
        <v>3</v>
      </c>
      <c r="K65" s="68">
        <f t="shared" si="15"/>
        <v>0</v>
      </c>
      <c r="L65" s="69">
        <f t="shared" si="16"/>
        <v>0.42105263157894735</v>
      </c>
      <c r="M65" s="69">
        <f t="shared" si="17"/>
        <v>0</v>
      </c>
      <c r="N65" s="69">
        <f>IF(A65="","",Tabela1[[#This Row],[PTC]]*Tabela1[[#This Row],[ODDC]])</f>
        <v>5.28</v>
      </c>
      <c r="O65" s="69">
        <f>IF(A65="","",Tabela1[[#This Row],[PTV]]*Tabela1[[#This Row],[ODDV]])</f>
        <v>0</v>
      </c>
      <c r="P65" s="68">
        <f t="shared" si="18"/>
        <v>2</v>
      </c>
      <c r="Q65" s="68">
        <f t="shared" si="19"/>
        <v>-2</v>
      </c>
      <c r="R65" s="68">
        <f t="shared" si="20"/>
        <v>0.76</v>
      </c>
      <c r="S65" s="68">
        <f t="shared" si="21"/>
        <v>-1</v>
      </c>
      <c r="T65" s="68">
        <f>IF(A65="","",IF(F65="D",Tabela1[[#This Row],[ODDE]]-1,-1))</f>
        <v>-1</v>
      </c>
      <c r="U65" s="70">
        <f>IF(A65="","",IF(AND(Tabela1[[#This Row],[FTHG]]&gt;3,F65="H"),1,0))</f>
        <v>0</v>
      </c>
      <c r="V65" s="70">
        <f>IF(A65="","",IF(AND(Tabela1[[#This Row],[FTAG]]&gt;3,F65="A"),1,0))</f>
        <v>0</v>
      </c>
      <c r="W65" s="70">
        <f t="shared" si="22"/>
        <v>1</v>
      </c>
      <c r="X65" s="70">
        <f t="shared" si="23"/>
        <v>1</v>
      </c>
      <c r="Y65" s="71">
        <f t="shared" si="24"/>
        <v>0</v>
      </c>
      <c r="Z65" s="70">
        <f t="shared" si="25"/>
        <v>0</v>
      </c>
      <c r="AA65" s="70">
        <f t="shared" si="26"/>
        <v>0</v>
      </c>
      <c r="AB65" s="70">
        <f t="shared" si="27"/>
        <v>0</v>
      </c>
      <c r="AC65" s="71">
        <f t="shared" si="28"/>
        <v>0</v>
      </c>
      <c r="AD65" s="72" t="str">
        <f t="shared" si="29"/>
        <v>MAR</v>
      </c>
      <c r="AE65" s="73">
        <f>IF(A65="","",COUNT($N$2:N65))</f>
        <v>64</v>
      </c>
      <c r="AF65" s="74">
        <f t="shared" si="30"/>
        <v>1</v>
      </c>
      <c r="AG65" s="74">
        <f t="shared" si="31"/>
        <v>0</v>
      </c>
      <c r="AH65" s="74">
        <f t="shared" si="32"/>
        <v>0</v>
      </c>
      <c r="AI65" s="74" t="str">
        <f t="shared" si="33"/>
        <v>1,71-2,0</v>
      </c>
      <c r="AJ65" s="74" t="str">
        <f t="shared" si="34"/>
        <v>4,01-5,5</v>
      </c>
      <c r="AK65" s="74">
        <f>IF(A65="","",1/Tabela1[[#This Row],[ODDC]])</f>
        <v>0.56818181818181823</v>
      </c>
      <c r="AL65" s="74">
        <f>IF(A65="","",1/Tabela1[[#This Row],[ODDE]])</f>
        <v>0.29411764705882354</v>
      </c>
      <c r="AM65" s="74">
        <f>IF(A65="","",1/Tabela1[[#This Row],[ODDV]])</f>
        <v>0.21052631578947367</v>
      </c>
      <c r="AN65" s="74">
        <f>IF(A65="","",1-(Tabela1[[#This Row],[p(H)]]+Tabela1[[#This Row],[p(D)]]+Tabela1[[#This Row],[p(A)]]))</f>
        <v>-7.2825781030115389E-2</v>
      </c>
      <c r="AO65" s="74">
        <f>IF(A65="","",IFERROR(Tabela1[[#This Row],[p(H)]]/Tabela1[[#This Row],[FTHG]],1))</f>
        <v>0.28409090909090912</v>
      </c>
      <c r="AP65" s="74">
        <f>IF(A65="","",IFERROR(Tabela1[[#This Row],[p(A)]]/Tabela1[[#This Row],[FTAG]],1))</f>
        <v>1</v>
      </c>
      <c r="AQ65" s="107"/>
      <c r="AR65" s="107"/>
      <c r="AS65" s="107"/>
      <c r="AT65" s="107"/>
      <c r="AU65" s="107"/>
      <c r="AV65" s="107"/>
      <c r="AW65" s="107"/>
      <c r="AX65" s="107"/>
      <c r="AY65" s="107"/>
      <c r="AZ65" s="75"/>
      <c r="BA65" s="75"/>
      <c r="BB65" s="97"/>
      <c r="BC65" s="117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7"/>
      <c r="BS65" s="107"/>
      <c r="BT65" s="107"/>
      <c r="BU65" s="107"/>
      <c r="BV65" s="107"/>
      <c r="BW65" s="107"/>
      <c r="BX65" s="75"/>
      <c r="BY65" s="75"/>
      <c r="BZ65" s="75"/>
      <c r="CA65" s="75"/>
      <c r="CB65" s="75"/>
      <c r="CC65" s="75"/>
      <c r="CD65" s="75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</row>
    <row r="66" spans="1:120" x14ac:dyDescent="0.25">
      <c r="A66" s="4">
        <v>46100</v>
      </c>
      <c r="B66" t="s">
        <v>363</v>
      </c>
      <c r="C66" t="s">
        <v>389</v>
      </c>
      <c r="D66">
        <v>3</v>
      </c>
      <c r="E66">
        <v>0</v>
      </c>
      <c r="F66" t="s">
        <v>347</v>
      </c>
      <c r="G66">
        <v>1.1299999999999999</v>
      </c>
      <c r="H66">
        <v>7.5</v>
      </c>
      <c r="I66">
        <v>17</v>
      </c>
      <c r="J66" s="68">
        <f t="shared" si="14"/>
        <v>3</v>
      </c>
      <c r="K66" s="68">
        <f t="shared" si="15"/>
        <v>0</v>
      </c>
      <c r="L66" s="69">
        <f t="shared" si="16"/>
        <v>0.17647058823529413</v>
      </c>
      <c r="M66" s="69">
        <f t="shared" si="17"/>
        <v>0</v>
      </c>
      <c r="N66" s="69">
        <f>IF(A66="","",Tabela1[[#This Row],[PTC]]*Tabela1[[#This Row],[ODDC]])</f>
        <v>3.3899999999999997</v>
      </c>
      <c r="O66" s="69">
        <f>IF(A66="","",Tabela1[[#This Row],[PTV]]*Tabela1[[#This Row],[ODDV]])</f>
        <v>0</v>
      </c>
      <c r="P66" s="68">
        <f t="shared" si="18"/>
        <v>3</v>
      </c>
      <c r="Q66" s="68">
        <f t="shared" si="19"/>
        <v>-3</v>
      </c>
      <c r="R66" s="68">
        <f t="shared" si="20"/>
        <v>0.12999999999999989</v>
      </c>
      <c r="S66" s="68">
        <f t="shared" si="21"/>
        <v>-1</v>
      </c>
      <c r="T66" s="68">
        <f>IF(A66="","",IF(F66="D",Tabela1[[#This Row],[ODDE]]-1,-1))</f>
        <v>-1</v>
      </c>
      <c r="U66" s="70">
        <f>IF(A66="","",IF(AND(Tabela1[[#This Row],[FTHG]]&gt;3,F66="H"),1,0))</f>
        <v>0</v>
      </c>
      <c r="V66" s="70">
        <f>IF(A66="","",IF(AND(Tabela1[[#This Row],[FTAG]]&gt;3,F66="A"),1,0))</f>
        <v>0</v>
      </c>
      <c r="W66" s="70">
        <f t="shared" si="22"/>
        <v>1</v>
      </c>
      <c r="X66" s="70">
        <f t="shared" si="23"/>
        <v>1</v>
      </c>
      <c r="Y66" s="71">
        <f t="shared" si="24"/>
        <v>1</v>
      </c>
      <c r="Z66" s="70">
        <f t="shared" si="25"/>
        <v>0</v>
      </c>
      <c r="AA66" s="70">
        <f t="shared" si="26"/>
        <v>0</v>
      </c>
      <c r="AB66" s="70">
        <f t="shared" si="27"/>
        <v>0</v>
      </c>
      <c r="AC66" s="71">
        <f t="shared" si="28"/>
        <v>0</v>
      </c>
      <c r="AD66" s="72" t="str">
        <f t="shared" si="29"/>
        <v>MAR</v>
      </c>
      <c r="AE66" s="73">
        <f>IF(A66="","",COUNT($N$2:N66))</f>
        <v>65</v>
      </c>
      <c r="AF66" s="74">
        <f t="shared" si="30"/>
        <v>1</v>
      </c>
      <c r="AG66" s="74">
        <f t="shared" si="31"/>
        <v>0</v>
      </c>
      <c r="AH66" s="74">
        <f t="shared" si="32"/>
        <v>0</v>
      </c>
      <c r="AI66" s="74" t="str">
        <f t="shared" si="33"/>
        <v>1,01-1,2</v>
      </c>
      <c r="AJ66" s="74" t="str">
        <f t="shared" si="34"/>
        <v>Z16-99</v>
      </c>
      <c r="AK66" s="74">
        <f>IF(A66="","",1/Tabela1[[#This Row],[ODDC]])</f>
        <v>0.88495575221238942</v>
      </c>
      <c r="AL66" s="74">
        <f>IF(A66="","",1/Tabela1[[#This Row],[ODDE]])</f>
        <v>0.13333333333333333</v>
      </c>
      <c r="AM66" s="74">
        <f>IF(A66="","",1/Tabela1[[#This Row],[ODDV]])</f>
        <v>5.8823529411764705E-2</v>
      </c>
      <c r="AN66" s="74">
        <f>IF(A66="","",1-(Tabela1[[#This Row],[p(H)]]+Tabela1[[#This Row],[p(D)]]+Tabela1[[#This Row],[p(A)]]))</f>
        <v>-7.7112614957487446E-2</v>
      </c>
      <c r="AO66" s="74">
        <f>IF(A66="","",IFERROR(Tabela1[[#This Row],[p(H)]]/Tabela1[[#This Row],[FTHG]],1))</f>
        <v>0.29498525073746312</v>
      </c>
      <c r="AP66" s="74">
        <f>IF(A66="","",IFERROR(Tabela1[[#This Row],[p(A)]]/Tabela1[[#This Row],[FTAG]],1))</f>
        <v>1</v>
      </c>
      <c r="AQ66" s="107"/>
      <c r="AR66" s="107"/>
      <c r="AS66" s="107"/>
      <c r="AT66" s="107"/>
      <c r="AU66" s="107"/>
      <c r="AV66" s="107"/>
      <c r="AW66" s="107"/>
      <c r="AX66" s="107"/>
      <c r="AY66" s="107"/>
      <c r="AZ66" s="75"/>
      <c r="BA66" s="75"/>
      <c r="BB66" s="97"/>
      <c r="BC66" s="117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7"/>
      <c r="BS66" s="107"/>
      <c r="BT66" s="107"/>
      <c r="BU66" s="107"/>
      <c r="BV66" s="107"/>
      <c r="BW66" s="107"/>
      <c r="BX66" s="75"/>
      <c r="BY66" s="75"/>
      <c r="BZ66" s="75"/>
      <c r="CA66" s="75"/>
      <c r="CB66" s="75"/>
      <c r="CC66" s="75"/>
      <c r="CD66" s="75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</row>
    <row r="67" spans="1:120" x14ac:dyDescent="0.25">
      <c r="A67" s="4">
        <v>46101</v>
      </c>
      <c r="B67" t="s">
        <v>390</v>
      </c>
      <c r="C67" t="s">
        <v>357</v>
      </c>
      <c r="D67">
        <v>0</v>
      </c>
      <c r="E67">
        <v>0</v>
      </c>
      <c r="F67" t="s">
        <v>348</v>
      </c>
      <c r="G67">
        <v>3.4</v>
      </c>
      <c r="H67">
        <v>3.1</v>
      </c>
      <c r="I67">
        <v>2.25</v>
      </c>
      <c r="J67" s="68">
        <f t="shared" ref="J67:J130" si="42">IF(A67="","",IF(F67="H",3,IF(F67="D",1,0)))</f>
        <v>1</v>
      </c>
      <c r="K67" s="68">
        <f t="shared" ref="K67:K130" si="43">IF(A67="","",IF(F67="H",0,IF(F67="D",1,3)))</f>
        <v>1</v>
      </c>
      <c r="L67" s="69">
        <f t="shared" ref="L67:L130" si="44">IF(A67="","",D67/I67)</f>
        <v>0</v>
      </c>
      <c r="M67" s="69">
        <f t="shared" ref="M67:M130" si="45">IF(A67="","",E67/G67)</f>
        <v>0</v>
      </c>
      <c r="N67" s="69">
        <f>IF(A67="","",Tabela1[[#This Row],[PTC]]*Tabela1[[#This Row],[ODDC]])</f>
        <v>3.4</v>
      </c>
      <c r="O67" s="69">
        <f>IF(A67="","",Tabela1[[#This Row],[PTV]]*Tabela1[[#This Row],[ODDV]])</f>
        <v>2.25</v>
      </c>
      <c r="P67" s="68">
        <f t="shared" ref="P67:P130" si="46">IF(A67="","",D67-E67)</f>
        <v>0</v>
      </c>
      <c r="Q67" s="68">
        <f t="shared" ref="Q67:Q130" si="47">IF(A67="","",E67-D67)</f>
        <v>0</v>
      </c>
      <c r="R67" s="68">
        <f t="shared" ref="R67:R130" si="48">IF(A67="","",IF(F67="H",G67-1,-1))</f>
        <v>-1</v>
      </c>
      <c r="S67" s="68">
        <f t="shared" ref="S67:S130" si="49">IF(A67="","",IF(F67="A",I67-1,-1))</f>
        <v>-1</v>
      </c>
      <c r="T67" s="68">
        <f>IF(A67="","",IF(F67="D",Tabela1[[#This Row],[ODDE]]-1,-1))</f>
        <v>2.1</v>
      </c>
      <c r="U67" s="70">
        <f>IF(A67="","",IF(AND(Tabela1[[#This Row],[FTHG]]&gt;3,F67="H"),1,0))</f>
        <v>0</v>
      </c>
      <c r="V67" s="70">
        <f>IF(A67="","",IF(AND(Tabela1[[#This Row],[FTAG]]&gt;3,F67="A"),1,0))</f>
        <v>0</v>
      </c>
      <c r="W67" s="70">
        <f t="shared" ref="W67:W130" si="50">IF(A67="","",IF(D67+E67&gt;0,1,0))</f>
        <v>0</v>
      </c>
      <c r="X67" s="70">
        <f t="shared" ref="X67:X130" si="51">IF(A67="","",IF(D67+E67&gt;1,1,0))</f>
        <v>0</v>
      </c>
      <c r="Y67" s="71">
        <f t="shared" ref="Y67:Y130" si="52">IF(A67="","",IF(D67+E67&gt;2,1,0))</f>
        <v>0</v>
      </c>
      <c r="Z67" s="70">
        <f t="shared" ref="Z67:Z130" si="53">IF(A67="","",IF(D67+E67&gt;3,1,0))</f>
        <v>0</v>
      </c>
      <c r="AA67" s="70">
        <f t="shared" ref="AA67:AA130" si="54">IF(A67="","",IF(D67+E67&gt;4,1,0))</f>
        <v>0</v>
      </c>
      <c r="AB67" s="70">
        <f t="shared" ref="AB67:AB130" si="55">IF(A67="","",IF(D67+E67&gt;5,1,0))</f>
        <v>0</v>
      </c>
      <c r="AC67" s="71">
        <f t="shared" ref="AC67:AC130" si="56">IF(A67="","",IFERROR(IF(AND(D67&gt;0,E67&gt;0),1,0),0))</f>
        <v>0</v>
      </c>
      <c r="AD67" s="72" t="str">
        <f t="shared" ref="AD67:AD130" si="57">IF(A67="","",UPPER(TEXT(A67,"MMM")))</f>
        <v>MAR</v>
      </c>
      <c r="AE67" s="73">
        <f>IF(A67="","",COUNT($N$2:N67))</f>
        <v>66</v>
      </c>
      <c r="AF67" s="74">
        <f t="shared" ref="AF67:AF130" si="58">IF(A67="","",IF(F67="H",1,0))</f>
        <v>0</v>
      </c>
      <c r="AG67" s="74">
        <f t="shared" ref="AG67:AG130" si="59">IF(A67="","",IF(F67="D",1,0))</f>
        <v>1</v>
      </c>
      <c r="AH67" s="74">
        <f t="shared" ref="AH67:AH130" si="60">IF(A67="","",IF(F67="A",1,0))</f>
        <v>0</v>
      </c>
      <c r="AI67" s="74" t="str">
        <f t="shared" ref="AI67:AI130" si="61">IF(A67="","",IF(G67&lt;1.21,"1,01-1,2",IF(G67&lt;1.41,"1,21-1,4",IF(G67&lt;1.71,"1,41-1,7",IF(G67&lt;2.01,"1,71-2,0",IF(G67&lt;2.41,"2,01-2,4",IF(G67&lt;3.01,"2,41-3,0",IF(G67&lt;4.01,"3,01-4.0",IF(G67&lt;5.51,"4,01-5,5",IF(G67&lt;9.01,"5,51-9,0",IF(G67&lt;16.01,"9,01-16","Z16-99")))))))))))</f>
        <v>3,01-4.0</v>
      </c>
      <c r="AJ67" s="74" t="str">
        <f t="shared" ref="AJ67:AJ130" si="62">IF(A67="","",IF(I67&lt;1.21,"1,01-1,2",IF(I67&lt;1.41,"1,21-1,4",IF(I67&lt;1.71,"1,41-1,7",IF(I67&lt;2.01,"1,71-2,0",IF(I67&lt;2.41,"2,01-2,4",IF(I67&lt;3.01,"2,41-3,0",IF(I67&lt;4.01,"3,01-4.0",IF(I67&lt;5.51,"4,01-5,5",IF(I67&lt;9.01,"5,51-9,0",IF(I67&lt;16.01,"9,01-16","Z16-99")))))))))))</f>
        <v>2,01-2,4</v>
      </c>
      <c r="AK67" s="74">
        <f>IF(A67="","",1/Tabela1[[#This Row],[ODDC]])</f>
        <v>0.29411764705882354</v>
      </c>
      <c r="AL67" s="74">
        <f>IF(A67="","",1/Tabela1[[#This Row],[ODDE]])</f>
        <v>0.32258064516129031</v>
      </c>
      <c r="AM67" s="74">
        <f>IF(A67="","",1/Tabela1[[#This Row],[ODDV]])</f>
        <v>0.44444444444444442</v>
      </c>
      <c r="AN67" s="74">
        <f>IF(A67="","",1-(Tabela1[[#This Row],[p(H)]]+Tabela1[[#This Row],[p(D)]]+Tabela1[[#This Row],[p(A)]]))</f>
        <v>-6.1142736664558273E-2</v>
      </c>
      <c r="AO67" s="74">
        <f>IF(A67="","",IFERROR(Tabela1[[#This Row],[p(H)]]/Tabela1[[#This Row],[FTHG]],1))</f>
        <v>1</v>
      </c>
      <c r="AP67" s="74">
        <f>IF(A67="","",IFERROR(Tabela1[[#This Row],[p(A)]]/Tabela1[[#This Row],[FTAG]],1))</f>
        <v>1</v>
      </c>
      <c r="AQ67" s="107"/>
      <c r="AR67" s="107"/>
      <c r="AS67" s="107"/>
      <c r="AT67" s="107"/>
      <c r="AU67" s="107"/>
      <c r="AV67" s="107"/>
      <c r="AW67" s="107"/>
      <c r="AX67" s="107"/>
      <c r="AY67" s="107"/>
      <c r="AZ67" s="75"/>
      <c r="BA67" s="75"/>
      <c r="BB67" s="97"/>
      <c r="BC67" s="117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7"/>
      <c r="BS67" s="107"/>
      <c r="BT67" s="107"/>
      <c r="BU67" s="107"/>
      <c r="BV67" s="107"/>
      <c r="BW67" s="107"/>
      <c r="BX67" s="75"/>
      <c r="BY67" s="75"/>
      <c r="BZ67" s="75"/>
      <c r="CA67" s="75"/>
      <c r="CB67" s="75"/>
      <c r="CC67" s="75"/>
      <c r="CD67" s="75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</row>
    <row r="68" spans="1:120" x14ac:dyDescent="0.25">
      <c r="A68" s="4">
        <v>46102</v>
      </c>
      <c r="B68" t="s">
        <v>355</v>
      </c>
      <c r="C68" t="s">
        <v>350</v>
      </c>
      <c r="D68">
        <v>1</v>
      </c>
      <c r="E68">
        <v>2</v>
      </c>
      <c r="F68" t="s">
        <v>346</v>
      </c>
      <c r="G68">
        <v>1.86</v>
      </c>
      <c r="H68">
        <v>3.4</v>
      </c>
      <c r="I68">
        <v>4.2</v>
      </c>
      <c r="J68" s="68">
        <f t="shared" si="42"/>
        <v>0</v>
      </c>
      <c r="K68" s="68">
        <f t="shared" si="43"/>
        <v>3</v>
      </c>
      <c r="L68" s="69">
        <f t="shared" si="44"/>
        <v>0.23809523809523808</v>
      </c>
      <c r="M68" s="69">
        <f t="shared" si="45"/>
        <v>1.075268817204301</v>
      </c>
      <c r="N68" s="69">
        <f>IF(A68="","",Tabela1[[#This Row],[PTC]]*Tabela1[[#This Row],[ODDC]])</f>
        <v>0</v>
      </c>
      <c r="O68" s="69">
        <f>IF(A68="","",Tabela1[[#This Row],[PTV]]*Tabela1[[#This Row],[ODDV]])</f>
        <v>12.600000000000001</v>
      </c>
      <c r="P68" s="68">
        <f t="shared" si="46"/>
        <v>-1</v>
      </c>
      <c r="Q68" s="68">
        <f t="shared" si="47"/>
        <v>1</v>
      </c>
      <c r="R68" s="68">
        <f t="shared" si="48"/>
        <v>-1</v>
      </c>
      <c r="S68" s="68">
        <f t="shared" si="49"/>
        <v>3.2</v>
      </c>
      <c r="T68" s="68">
        <f>IF(A68="","",IF(F68="D",Tabela1[[#This Row],[ODDE]]-1,-1))</f>
        <v>-1</v>
      </c>
      <c r="U68" s="70">
        <f>IF(A68="","",IF(AND(Tabela1[[#This Row],[FTHG]]&gt;3,F68="H"),1,0))</f>
        <v>0</v>
      </c>
      <c r="V68" s="70">
        <f>IF(A68="","",IF(AND(Tabela1[[#This Row],[FTAG]]&gt;3,F68="A"),1,0))</f>
        <v>0</v>
      </c>
      <c r="W68" s="70">
        <f t="shared" si="50"/>
        <v>1</v>
      </c>
      <c r="X68" s="70">
        <f t="shared" si="51"/>
        <v>1</v>
      </c>
      <c r="Y68" s="71">
        <f t="shared" si="52"/>
        <v>1</v>
      </c>
      <c r="Z68" s="70">
        <f t="shared" si="53"/>
        <v>0</v>
      </c>
      <c r="AA68" s="70">
        <f t="shared" si="54"/>
        <v>0</v>
      </c>
      <c r="AB68" s="70">
        <f t="shared" si="55"/>
        <v>0</v>
      </c>
      <c r="AC68" s="71">
        <f t="shared" si="56"/>
        <v>1</v>
      </c>
      <c r="AD68" s="72" t="str">
        <f t="shared" si="57"/>
        <v>MAR</v>
      </c>
      <c r="AE68" s="73">
        <f>IF(A68="","",COUNT($N$2:N68))</f>
        <v>67</v>
      </c>
      <c r="AF68" s="74">
        <f t="shared" si="58"/>
        <v>0</v>
      </c>
      <c r="AG68" s="74">
        <f t="shared" si="59"/>
        <v>0</v>
      </c>
      <c r="AH68" s="74">
        <f t="shared" si="60"/>
        <v>1</v>
      </c>
      <c r="AI68" s="74" t="str">
        <f t="shared" si="61"/>
        <v>1,71-2,0</v>
      </c>
      <c r="AJ68" s="74" t="str">
        <f t="shared" si="62"/>
        <v>4,01-5,5</v>
      </c>
      <c r="AK68" s="74">
        <f>IF(A68="","",1/Tabela1[[#This Row],[ODDC]])</f>
        <v>0.5376344086021505</v>
      </c>
      <c r="AL68" s="74">
        <f>IF(A68="","",1/Tabela1[[#This Row],[ODDE]])</f>
        <v>0.29411764705882354</v>
      </c>
      <c r="AM68" s="74">
        <f>IF(A68="","",1/Tabela1[[#This Row],[ODDV]])</f>
        <v>0.23809523809523808</v>
      </c>
      <c r="AN68" s="74">
        <f>IF(A68="","",1-(Tabela1[[#This Row],[p(H)]]+Tabela1[[#This Row],[p(D)]]+Tabela1[[#This Row],[p(A)]]))</f>
        <v>-6.9847293756212236E-2</v>
      </c>
      <c r="AO68" s="74">
        <f>IF(A68="","",IFERROR(Tabela1[[#This Row],[p(H)]]/Tabela1[[#This Row],[FTHG]],1))</f>
        <v>0.5376344086021505</v>
      </c>
      <c r="AP68" s="74">
        <f>IF(A68="","",IFERROR(Tabela1[[#This Row],[p(A)]]/Tabela1[[#This Row],[FTAG]],1))</f>
        <v>0.11904761904761904</v>
      </c>
      <c r="AQ68" s="107"/>
      <c r="AR68" s="107"/>
      <c r="AS68" s="107"/>
      <c r="AT68" s="107"/>
      <c r="AU68" s="107"/>
      <c r="AV68" s="107"/>
      <c r="AW68" s="107"/>
      <c r="AX68" s="107"/>
      <c r="AY68" s="107"/>
      <c r="AZ68" s="75"/>
      <c r="BA68" s="75"/>
      <c r="BB68" s="97"/>
      <c r="BC68" s="117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7"/>
      <c r="BS68" s="107"/>
      <c r="BT68" s="107"/>
      <c r="BU68" s="107"/>
      <c r="BV68" s="107"/>
      <c r="BW68" s="107"/>
      <c r="BX68" s="75"/>
      <c r="BY68" s="75"/>
      <c r="BZ68" s="75"/>
      <c r="CA68" s="75"/>
      <c r="CB68" s="75"/>
      <c r="CC68" s="75"/>
      <c r="CD68" s="75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</row>
    <row r="69" spans="1:120" x14ac:dyDescent="0.25">
      <c r="A69" s="4">
        <v>46102</v>
      </c>
      <c r="B69" t="s">
        <v>352</v>
      </c>
      <c r="C69" t="s">
        <v>359</v>
      </c>
      <c r="D69">
        <v>1</v>
      </c>
      <c r="E69">
        <v>0</v>
      </c>
      <c r="F69" t="s">
        <v>347</v>
      </c>
      <c r="G69">
        <v>1.61</v>
      </c>
      <c r="H69">
        <v>3.6</v>
      </c>
      <c r="I69">
        <v>6</v>
      </c>
      <c r="J69" s="68">
        <f t="shared" si="42"/>
        <v>3</v>
      </c>
      <c r="K69" s="68">
        <f t="shared" si="43"/>
        <v>0</v>
      </c>
      <c r="L69" s="69">
        <f t="shared" si="44"/>
        <v>0.16666666666666666</v>
      </c>
      <c r="M69" s="69">
        <f t="shared" si="45"/>
        <v>0</v>
      </c>
      <c r="N69" s="69">
        <f>IF(A69="","",Tabela1[[#This Row],[PTC]]*Tabela1[[#This Row],[ODDC]])</f>
        <v>4.83</v>
      </c>
      <c r="O69" s="69">
        <f>IF(A69="","",Tabela1[[#This Row],[PTV]]*Tabela1[[#This Row],[ODDV]])</f>
        <v>0</v>
      </c>
      <c r="P69" s="68">
        <f t="shared" si="46"/>
        <v>1</v>
      </c>
      <c r="Q69" s="68">
        <f t="shared" si="47"/>
        <v>-1</v>
      </c>
      <c r="R69" s="68">
        <f t="shared" si="48"/>
        <v>0.6100000000000001</v>
      </c>
      <c r="S69" s="68">
        <f t="shared" si="49"/>
        <v>-1</v>
      </c>
      <c r="T69" s="68">
        <f>IF(A69="","",IF(F69="D",Tabela1[[#This Row],[ODDE]]-1,-1))</f>
        <v>-1</v>
      </c>
      <c r="U69" s="70">
        <f>IF(A69="","",IF(AND(Tabela1[[#This Row],[FTHG]]&gt;3,F69="H"),1,0))</f>
        <v>0</v>
      </c>
      <c r="V69" s="70">
        <f>IF(A69="","",IF(AND(Tabela1[[#This Row],[FTAG]]&gt;3,F69="A"),1,0))</f>
        <v>0</v>
      </c>
      <c r="W69" s="70">
        <f t="shared" si="50"/>
        <v>1</v>
      </c>
      <c r="X69" s="70">
        <f t="shared" si="51"/>
        <v>0</v>
      </c>
      <c r="Y69" s="71">
        <f t="shared" si="52"/>
        <v>0</v>
      </c>
      <c r="Z69" s="70">
        <f t="shared" si="53"/>
        <v>0</v>
      </c>
      <c r="AA69" s="70">
        <f t="shared" si="54"/>
        <v>0</v>
      </c>
      <c r="AB69" s="70">
        <f t="shared" si="55"/>
        <v>0</v>
      </c>
      <c r="AC69" s="71">
        <f t="shared" si="56"/>
        <v>0</v>
      </c>
      <c r="AD69" s="72" t="str">
        <f t="shared" si="57"/>
        <v>MAR</v>
      </c>
      <c r="AE69" s="73">
        <f>IF(A69="","",COUNT($N$2:N69))</f>
        <v>68</v>
      </c>
      <c r="AF69" s="74">
        <f t="shared" si="58"/>
        <v>1</v>
      </c>
      <c r="AG69" s="74">
        <f t="shared" si="59"/>
        <v>0</v>
      </c>
      <c r="AH69" s="74">
        <f t="shared" si="60"/>
        <v>0</v>
      </c>
      <c r="AI69" s="74" t="str">
        <f t="shared" si="61"/>
        <v>1,41-1,7</v>
      </c>
      <c r="AJ69" s="74" t="str">
        <f t="shared" si="62"/>
        <v>5,51-9,0</v>
      </c>
      <c r="AK69" s="74">
        <f>IF(A69="","",1/Tabela1[[#This Row],[ODDC]])</f>
        <v>0.6211180124223602</v>
      </c>
      <c r="AL69" s="74">
        <f>IF(A69="","",1/Tabela1[[#This Row],[ODDE]])</f>
        <v>0.27777777777777779</v>
      </c>
      <c r="AM69" s="74">
        <f>IF(A69="","",1/Tabela1[[#This Row],[ODDV]])</f>
        <v>0.16666666666666666</v>
      </c>
      <c r="AN69" s="74">
        <f>IF(A69="","",1-(Tabela1[[#This Row],[p(H)]]+Tabela1[[#This Row],[p(D)]]+Tabela1[[#This Row],[p(A)]]))</f>
        <v>-6.556245686680473E-2</v>
      </c>
      <c r="AO69" s="74">
        <f>IF(A69="","",IFERROR(Tabela1[[#This Row],[p(H)]]/Tabela1[[#This Row],[FTHG]],1))</f>
        <v>0.6211180124223602</v>
      </c>
      <c r="AP69" s="74">
        <f>IF(A69="","",IFERROR(Tabela1[[#This Row],[p(A)]]/Tabela1[[#This Row],[FTAG]],1))</f>
        <v>1</v>
      </c>
      <c r="AQ69" s="107"/>
      <c r="AR69" s="107"/>
      <c r="AS69" s="107"/>
      <c r="AT69" s="107"/>
      <c r="AU69" s="107"/>
      <c r="AV69" s="107"/>
      <c r="AW69" s="107"/>
      <c r="AX69" s="107"/>
      <c r="AY69" s="107"/>
      <c r="AZ69" s="75"/>
      <c r="BA69" s="75"/>
      <c r="BB69" s="97"/>
      <c r="BC69" s="104"/>
      <c r="BD69" s="118"/>
      <c r="BE69" s="118"/>
      <c r="BF69" s="118"/>
      <c r="BG69" s="118"/>
      <c r="BH69" s="118"/>
      <c r="BI69" s="118"/>
      <c r="BJ69" s="108"/>
      <c r="BK69" s="119"/>
      <c r="BL69" s="119"/>
      <c r="BM69" s="119"/>
      <c r="BN69" s="119"/>
      <c r="BO69" s="119"/>
      <c r="BP69" s="104"/>
      <c r="BQ69" s="104"/>
      <c r="BR69" s="107"/>
      <c r="BS69" s="107"/>
      <c r="BT69" s="107"/>
      <c r="BU69" s="107"/>
      <c r="BV69" s="107"/>
      <c r="BW69" s="107"/>
      <c r="BX69" s="75"/>
      <c r="BY69" s="75"/>
      <c r="BZ69" s="75"/>
      <c r="CA69" s="75"/>
      <c r="CB69" s="75"/>
      <c r="CC69" s="75"/>
      <c r="CD69" s="75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</row>
    <row r="70" spans="1:120" x14ac:dyDescent="0.25">
      <c r="A70" s="4">
        <v>46103</v>
      </c>
      <c r="B70" t="s">
        <v>351</v>
      </c>
      <c r="C70" t="s">
        <v>353</v>
      </c>
      <c r="D70">
        <v>0</v>
      </c>
      <c r="E70">
        <v>1</v>
      </c>
      <c r="F70" t="s">
        <v>346</v>
      </c>
      <c r="G70">
        <v>2.57</v>
      </c>
      <c r="H70">
        <v>3</v>
      </c>
      <c r="I70">
        <v>2.85</v>
      </c>
      <c r="J70" s="68">
        <f t="shared" si="42"/>
        <v>0</v>
      </c>
      <c r="K70" s="68">
        <f t="shared" si="43"/>
        <v>3</v>
      </c>
      <c r="L70" s="69">
        <f t="shared" si="44"/>
        <v>0</v>
      </c>
      <c r="M70" s="69">
        <f t="shared" si="45"/>
        <v>0.38910505836575876</v>
      </c>
      <c r="N70" s="69">
        <f>IF(A70="","",Tabela1[[#This Row],[PTC]]*Tabela1[[#This Row],[ODDC]])</f>
        <v>0</v>
      </c>
      <c r="O70" s="69">
        <f>IF(A70="","",Tabela1[[#This Row],[PTV]]*Tabela1[[#This Row],[ODDV]])</f>
        <v>8.5500000000000007</v>
      </c>
      <c r="P70" s="68">
        <f t="shared" si="46"/>
        <v>-1</v>
      </c>
      <c r="Q70" s="68">
        <f t="shared" si="47"/>
        <v>1</v>
      </c>
      <c r="R70" s="68">
        <f t="shared" si="48"/>
        <v>-1</v>
      </c>
      <c r="S70" s="68">
        <f t="shared" si="49"/>
        <v>1.85</v>
      </c>
      <c r="T70" s="68">
        <f>IF(A70="","",IF(F70="D",Tabela1[[#This Row],[ODDE]]-1,-1))</f>
        <v>-1</v>
      </c>
      <c r="U70" s="70">
        <f>IF(A70="","",IF(AND(Tabela1[[#This Row],[FTHG]]&gt;3,F70="H"),1,0))</f>
        <v>0</v>
      </c>
      <c r="V70" s="70">
        <f>IF(A70="","",IF(AND(Tabela1[[#This Row],[FTAG]]&gt;3,F70="A"),1,0))</f>
        <v>0</v>
      </c>
      <c r="W70" s="70">
        <f t="shared" si="50"/>
        <v>1</v>
      </c>
      <c r="X70" s="70">
        <f t="shared" si="51"/>
        <v>0</v>
      </c>
      <c r="Y70" s="71">
        <f t="shared" si="52"/>
        <v>0</v>
      </c>
      <c r="Z70" s="70">
        <f t="shared" si="53"/>
        <v>0</v>
      </c>
      <c r="AA70" s="70">
        <f t="shared" si="54"/>
        <v>0</v>
      </c>
      <c r="AB70" s="70">
        <f t="shared" si="55"/>
        <v>0</v>
      </c>
      <c r="AC70" s="71">
        <f t="shared" si="56"/>
        <v>0</v>
      </c>
      <c r="AD70" s="72" t="str">
        <f t="shared" si="57"/>
        <v>MAR</v>
      </c>
      <c r="AE70" s="73">
        <f>IF(A70="","",COUNT($N$2:N70))</f>
        <v>69</v>
      </c>
      <c r="AF70" s="74">
        <f t="shared" si="58"/>
        <v>0</v>
      </c>
      <c r="AG70" s="74">
        <f t="shared" si="59"/>
        <v>0</v>
      </c>
      <c r="AH70" s="74">
        <f t="shared" si="60"/>
        <v>1</v>
      </c>
      <c r="AI70" s="74" t="str">
        <f t="shared" si="61"/>
        <v>2,41-3,0</v>
      </c>
      <c r="AJ70" s="74" t="str">
        <f t="shared" si="62"/>
        <v>2,41-3,0</v>
      </c>
      <c r="AK70" s="74">
        <f>IF(A70="","",1/Tabela1[[#This Row],[ODDC]])</f>
        <v>0.38910505836575876</v>
      </c>
      <c r="AL70" s="74">
        <f>IF(A70="","",1/Tabela1[[#This Row],[ODDE]])</f>
        <v>0.33333333333333331</v>
      </c>
      <c r="AM70" s="74">
        <f>IF(A70="","",1/Tabela1[[#This Row],[ODDV]])</f>
        <v>0.35087719298245612</v>
      </c>
      <c r="AN70" s="74">
        <f>IF(A70="","",1-(Tabela1[[#This Row],[p(H)]]+Tabela1[[#This Row],[p(D)]]+Tabela1[[#This Row],[p(A)]]))</f>
        <v>-7.3315584681548085E-2</v>
      </c>
      <c r="AO70" s="74">
        <f>IF(A70="","",IFERROR(Tabela1[[#This Row],[p(H)]]/Tabela1[[#This Row],[FTHG]],1))</f>
        <v>1</v>
      </c>
      <c r="AP70" s="74">
        <f>IF(A70="","",IFERROR(Tabela1[[#This Row],[p(A)]]/Tabela1[[#This Row],[FTAG]],1))</f>
        <v>0.35087719298245612</v>
      </c>
      <c r="AQ70" s="107"/>
      <c r="AR70" s="107"/>
      <c r="AS70" s="107"/>
      <c r="AT70" s="107"/>
      <c r="AU70" s="107"/>
      <c r="AV70" s="107"/>
      <c r="AW70" s="107"/>
      <c r="AX70" s="107"/>
      <c r="AY70" s="107"/>
      <c r="AZ70" s="75"/>
      <c r="BA70" s="75"/>
      <c r="BB70" s="97"/>
      <c r="BC70" s="100"/>
      <c r="BD70" s="97"/>
      <c r="BE70" s="108"/>
      <c r="BF70" s="108"/>
      <c r="BG70" s="108"/>
      <c r="BH70" s="108"/>
      <c r="BI70" s="108"/>
      <c r="BJ70" s="100"/>
      <c r="BK70" s="108"/>
      <c r="BL70" s="108"/>
      <c r="BM70" s="108"/>
      <c r="BN70" s="108"/>
      <c r="BO70" s="108"/>
      <c r="BP70" s="104"/>
      <c r="BQ70" s="104"/>
      <c r="BR70" s="107"/>
      <c r="BS70" s="107"/>
      <c r="BT70" s="107"/>
      <c r="BU70" s="107"/>
      <c r="BV70" s="107"/>
      <c r="BW70" s="107"/>
      <c r="BX70" s="75"/>
      <c r="BY70" s="75"/>
      <c r="BZ70" s="75"/>
      <c r="CA70" s="75"/>
      <c r="CB70" s="75"/>
      <c r="CC70" s="75"/>
      <c r="CD70" s="75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</row>
    <row r="71" spans="1:120" x14ac:dyDescent="0.25">
      <c r="A71" s="4">
        <v>46103</v>
      </c>
      <c r="B71" t="s">
        <v>388</v>
      </c>
      <c r="C71" t="s">
        <v>387</v>
      </c>
      <c r="D71">
        <v>2</v>
      </c>
      <c r="E71">
        <v>0</v>
      </c>
      <c r="F71" t="s">
        <v>347</v>
      </c>
      <c r="G71">
        <v>1.91</v>
      </c>
      <c r="H71">
        <v>3.1</v>
      </c>
      <c r="I71">
        <v>4.75</v>
      </c>
      <c r="J71" s="68">
        <f t="shared" si="42"/>
        <v>3</v>
      </c>
      <c r="K71" s="68">
        <f t="shared" si="43"/>
        <v>0</v>
      </c>
      <c r="L71" s="69">
        <f t="shared" si="44"/>
        <v>0.42105263157894735</v>
      </c>
      <c r="M71" s="69">
        <f t="shared" si="45"/>
        <v>0</v>
      </c>
      <c r="N71" s="69">
        <f>IF(A71="","",Tabela1[[#This Row],[PTC]]*Tabela1[[#This Row],[ODDC]])</f>
        <v>5.7299999999999995</v>
      </c>
      <c r="O71" s="69">
        <f>IF(A71="","",Tabela1[[#This Row],[PTV]]*Tabela1[[#This Row],[ODDV]])</f>
        <v>0</v>
      </c>
      <c r="P71" s="68">
        <f t="shared" si="46"/>
        <v>2</v>
      </c>
      <c r="Q71" s="68">
        <f t="shared" si="47"/>
        <v>-2</v>
      </c>
      <c r="R71" s="68">
        <f t="shared" si="48"/>
        <v>0.90999999999999992</v>
      </c>
      <c r="S71" s="68">
        <f t="shared" si="49"/>
        <v>-1</v>
      </c>
      <c r="T71" s="68">
        <f>IF(A71="","",IF(F71="D",Tabela1[[#This Row],[ODDE]]-1,-1))</f>
        <v>-1</v>
      </c>
      <c r="U71" s="70">
        <f>IF(A71="","",IF(AND(Tabela1[[#This Row],[FTHG]]&gt;3,F71="H"),1,0))</f>
        <v>0</v>
      </c>
      <c r="V71" s="70">
        <f>IF(A71="","",IF(AND(Tabela1[[#This Row],[FTAG]]&gt;3,F71="A"),1,0))</f>
        <v>0</v>
      </c>
      <c r="W71" s="70">
        <f t="shared" si="50"/>
        <v>1</v>
      </c>
      <c r="X71" s="70">
        <f t="shared" si="51"/>
        <v>1</v>
      </c>
      <c r="Y71" s="71">
        <f t="shared" si="52"/>
        <v>0</v>
      </c>
      <c r="Z71" s="70">
        <f t="shared" si="53"/>
        <v>0</v>
      </c>
      <c r="AA71" s="70">
        <f t="shared" si="54"/>
        <v>0</v>
      </c>
      <c r="AB71" s="70">
        <f t="shared" si="55"/>
        <v>0</v>
      </c>
      <c r="AC71" s="71">
        <f t="shared" si="56"/>
        <v>0</v>
      </c>
      <c r="AD71" s="72" t="str">
        <f t="shared" si="57"/>
        <v>MAR</v>
      </c>
      <c r="AE71" s="73">
        <f>IF(A71="","",COUNT($N$2:N71))</f>
        <v>70</v>
      </c>
      <c r="AF71" s="74">
        <f t="shared" si="58"/>
        <v>1</v>
      </c>
      <c r="AG71" s="74">
        <f t="shared" si="59"/>
        <v>0</v>
      </c>
      <c r="AH71" s="74">
        <f t="shared" si="60"/>
        <v>0</v>
      </c>
      <c r="AI71" s="74" t="str">
        <f t="shared" si="61"/>
        <v>1,71-2,0</v>
      </c>
      <c r="AJ71" s="74" t="str">
        <f t="shared" si="62"/>
        <v>4,01-5,5</v>
      </c>
      <c r="AK71" s="74">
        <f>IF(A71="","",1/Tabela1[[#This Row],[ODDC]])</f>
        <v>0.52356020942408377</v>
      </c>
      <c r="AL71" s="74">
        <f>IF(A71="","",1/Tabela1[[#This Row],[ODDE]])</f>
        <v>0.32258064516129031</v>
      </c>
      <c r="AM71" s="74">
        <f>IF(A71="","",1/Tabela1[[#This Row],[ODDV]])</f>
        <v>0.21052631578947367</v>
      </c>
      <c r="AN71" s="74">
        <f>IF(A71="","",1-(Tabela1[[#This Row],[p(H)]]+Tabela1[[#This Row],[p(D)]]+Tabela1[[#This Row],[p(A)]]))</f>
        <v>-5.6667170374847808E-2</v>
      </c>
      <c r="AO71" s="74">
        <f>IF(A71="","",IFERROR(Tabela1[[#This Row],[p(H)]]/Tabela1[[#This Row],[FTHG]],1))</f>
        <v>0.26178010471204188</v>
      </c>
      <c r="AP71" s="74">
        <f>IF(A71="","",IFERROR(Tabela1[[#This Row],[p(A)]]/Tabela1[[#This Row],[FTAG]],1))</f>
        <v>1</v>
      </c>
      <c r="AQ71" s="107"/>
      <c r="AR71" s="107"/>
      <c r="AS71" s="107"/>
      <c r="AT71" s="107"/>
      <c r="AU71" s="107"/>
      <c r="AV71" s="107"/>
      <c r="AW71" s="107"/>
      <c r="AX71" s="107"/>
      <c r="AY71" s="107"/>
      <c r="AZ71" s="75"/>
      <c r="BA71" s="75"/>
      <c r="BB71" s="97"/>
      <c r="BC71" s="116"/>
      <c r="BD71" s="104"/>
      <c r="BE71" s="108"/>
      <c r="BF71" s="108"/>
      <c r="BG71" s="108"/>
      <c r="BH71" s="108"/>
      <c r="BI71" s="108"/>
      <c r="BJ71" s="116"/>
      <c r="BK71" s="108"/>
      <c r="BL71" s="108"/>
      <c r="BM71" s="108"/>
      <c r="BN71" s="108"/>
      <c r="BO71" s="108"/>
      <c r="BP71" s="104"/>
      <c r="BQ71" s="104"/>
      <c r="BR71" s="107"/>
      <c r="BS71" s="107"/>
      <c r="BT71" s="107"/>
      <c r="BU71" s="107"/>
      <c r="BV71" s="107"/>
      <c r="BW71" s="107"/>
      <c r="BX71" s="75"/>
      <c r="BY71" s="75"/>
      <c r="BZ71" s="75"/>
      <c r="CA71" s="75"/>
      <c r="CB71" s="75"/>
      <c r="CC71" s="75"/>
      <c r="CD71" s="75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</row>
    <row r="72" spans="1:120" ht="18.75" x14ac:dyDescent="0.3">
      <c r="A72" s="4">
        <v>46103</v>
      </c>
      <c r="B72" t="s">
        <v>358</v>
      </c>
      <c r="C72" t="s">
        <v>362</v>
      </c>
      <c r="D72">
        <v>0</v>
      </c>
      <c r="E72">
        <v>0</v>
      </c>
      <c r="F72" t="s">
        <v>348</v>
      </c>
      <c r="G72">
        <v>1.66</v>
      </c>
      <c r="H72">
        <v>3.6</v>
      </c>
      <c r="I72">
        <v>5.25</v>
      </c>
      <c r="J72" s="68">
        <f t="shared" si="42"/>
        <v>1</v>
      </c>
      <c r="K72" s="68">
        <f t="shared" si="43"/>
        <v>1</v>
      </c>
      <c r="L72" s="69">
        <f t="shared" si="44"/>
        <v>0</v>
      </c>
      <c r="M72" s="69">
        <f t="shared" si="45"/>
        <v>0</v>
      </c>
      <c r="N72" s="69">
        <f>IF(A72="","",Tabela1[[#This Row],[PTC]]*Tabela1[[#This Row],[ODDC]])</f>
        <v>1.66</v>
      </c>
      <c r="O72" s="69">
        <f>IF(A72="","",Tabela1[[#This Row],[PTV]]*Tabela1[[#This Row],[ODDV]])</f>
        <v>5.25</v>
      </c>
      <c r="P72" s="68">
        <f t="shared" si="46"/>
        <v>0</v>
      </c>
      <c r="Q72" s="68">
        <f t="shared" si="47"/>
        <v>0</v>
      </c>
      <c r="R72" s="68">
        <f t="shared" si="48"/>
        <v>-1</v>
      </c>
      <c r="S72" s="68">
        <f t="shared" si="49"/>
        <v>-1</v>
      </c>
      <c r="T72" s="68">
        <f>IF(A72="","",IF(F72="D",Tabela1[[#This Row],[ODDE]]-1,-1))</f>
        <v>2.6</v>
      </c>
      <c r="U72" s="70">
        <f>IF(A72="","",IF(AND(Tabela1[[#This Row],[FTHG]]&gt;3,F72="H"),1,0))</f>
        <v>0</v>
      </c>
      <c r="V72" s="70">
        <f>IF(A72="","",IF(AND(Tabela1[[#This Row],[FTAG]]&gt;3,F72="A"),1,0))</f>
        <v>0</v>
      </c>
      <c r="W72" s="70">
        <f t="shared" si="50"/>
        <v>0</v>
      </c>
      <c r="X72" s="70">
        <f t="shared" si="51"/>
        <v>0</v>
      </c>
      <c r="Y72" s="71">
        <f t="shared" si="52"/>
        <v>0</v>
      </c>
      <c r="Z72" s="70">
        <f t="shared" si="53"/>
        <v>0</v>
      </c>
      <c r="AA72" s="70">
        <f t="shared" si="54"/>
        <v>0</v>
      </c>
      <c r="AB72" s="70">
        <f t="shared" si="55"/>
        <v>0</v>
      </c>
      <c r="AC72" s="71">
        <f t="shared" si="56"/>
        <v>0</v>
      </c>
      <c r="AD72" s="72" t="str">
        <f t="shared" si="57"/>
        <v>MAR</v>
      </c>
      <c r="AE72" s="73">
        <f>IF(A72="","",COUNT($N$2:N72))</f>
        <v>71</v>
      </c>
      <c r="AF72" s="74">
        <f t="shared" si="58"/>
        <v>0</v>
      </c>
      <c r="AG72" s="74">
        <f t="shared" si="59"/>
        <v>1</v>
      </c>
      <c r="AH72" s="74">
        <f t="shared" si="60"/>
        <v>0</v>
      </c>
      <c r="AI72" s="74" t="str">
        <f t="shared" si="61"/>
        <v>1,41-1,7</v>
      </c>
      <c r="AJ72" s="74" t="str">
        <f t="shared" si="62"/>
        <v>4,01-5,5</v>
      </c>
      <c r="AK72" s="74">
        <f>IF(A72="","",1/Tabela1[[#This Row],[ODDC]])</f>
        <v>0.60240963855421692</v>
      </c>
      <c r="AL72" s="74">
        <f>IF(A72="","",1/Tabela1[[#This Row],[ODDE]])</f>
        <v>0.27777777777777779</v>
      </c>
      <c r="AM72" s="74">
        <f>IF(A72="","",1/Tabela1[[#This Row],[ODDV]])</f>
        <v>0.19047619047619047</v>
      </c>
      <c r="AN72" s="74">
        <f>IF(A72="","",1-(Tabela1[[#This Row],[p(H)]]+Tabela1[[#This Row],[p(D)]]+Tabela1[[#This Row],[p(A)]]))</f>
        <v>-7.0663606808185175E-2</v>
      </c>
      <c r="AO72" s="74">
        <f>IF(A72="","",IFERROR(Tabela1[[#This Row],[p(H)]]/Tabela1[[#This Row],[FTHG]],1))</f>
        <v>1</v>
      </c>
      <c r="AP72" s="74">
        <f>IF(A72="","",IFERROR(Tabela1[[#This Row],[p(A)]]/Tabela1[[#This Row],[FTAG]],1))</f>
        <v>1</v>
      </c>
      <c r="AQ72" s="107"/>
      <c r="AR72" s="107"/>
      <c r="AS72" s="107"/>
      <c r="AT72" s="107"/>
      <c r="AU72" s="107"/>
      <c r="AV72" s="107"/>
      <c r="AW72" s="107"/>
      <c r="AX72" s="107"/>
      <c r="AY72" s="107"/>
      <c r="AZ72" s="75"/>
      <c r="BA72" s="75"/>
      <c r="BB72" s="97"/>
      <c r="BC72" s="110"/>
      <c r="BD72" s="111"/>
      <c r="BE72" s="110"/>
      <c r="BF72" s="111"/>
      <c r="BG72" s="110"/>
      <c r="BH72" s="111"/>
      <c r="BI72" s="110"/>
      <c r="BJ72" s="111"/>
      <c r="BK72" s="110"/>
      <c r="BL72" s="111"/>
      <c r="BM72" s="110"/>
      <c r="BN72" s="111"/>
      <c r="BO72" s="104"/>
      <c r="BP72" s="104"/>
      <c r="BQ72" s="104"/>
      <c r="BR72" s="107"/>
      <c r="BS72" s="107"/>
      <c r="BT72" s="107"/>
      <c r="BU72" s="107"/>
      <c r="BV72" s="107"/>
      <c r="BW72" s="107"/>
      <c r="BX72" s="75"/>
      <c r="BY72" s="75"/>
      <c r="BZ72" s="75"/>
      <c r="CA72" s="75"/>
      <c r="CB72" s="75"/>
      <c r="CC72" s="75"/>
      <c r="CD72" s="75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</row>
    <row r="73" spans="1:120" ht="18.75" x14ac:dyDescent="0.3">
      <c r="A73" s="4">
        <v>46103</v>
      </c>
      <c r="B73" t="s">
        <v>389</v>
      </c>
      <c r="C73" t="s">
        <v>356</v>
      </c>
      <c r="D73">
        <v>4</v>
      </c>
      <c r="E73">
        <v>1</v>
      </c>
      <c r="F73" t="s">
        <v>347</v>
      </c>
      <c r="G73">
        <v>3</v>
      </c>
      <c r="H73">
        <v>3.2</v>
      </c>
      <c r="I73">
        <v>2.35</v>
      </c>
      <c r="J73" s="68">
        <f t="shared" si="42"/>
        <v>3</v>
      </c>
      <c r="K73" s="68">
        <f t="shared" si="43"/>
        <v>0</v>
      </c>
      <c r="L73" s="69">
        <f t="shared" si="44"/>
        <v>1.7021276595744681</v>
      </c>
      <c r="M73" s="69">
        <f t="shared" si="45"/>
        <v>0.33333333333333331</v>
      </c>
      <c r="N73" s="69">
        <f>IF(A73="","",Tabela1[[#This Row],[PTC]]*Tabela1[[#This Row],[ODDC]])</f>
        <v>9</v>
      </c>
      <c r="O73" s="69">
        <f>IF(A73="","",Tabela1[[#This Row],[PTV]]*Tabela1[[#This Row],[ODDV]])</f>
        <v>0</v>
      </c>
      <c r="P73" s="68">
        <f t="shared" si="46"/>
        <v>3</v>
      </c>
      <c r="Q73" s="68">
        <f t="shared" si="47"/>
        <v>-3</v>
      </c>
      <c r="R73" s="68">
        <f t="shared" si="48"/>
        <v>2</v>
      </c>
      <c r="S73" s="68">
        <f t="shared" si="49"/>
        <v>-1</v>
      </c>
      <c r="T73" s="68">
        <f>IF(A73="","",IF(F73="D",Tabela1[[#This Row],[ODDE]]-1,-1))</f>
        <v>-1</v>
      </c>
      <c r="U73" s="70">
        <f>IF(A73="","",IF(AND(Tabela1[[#This Row],[FTHG]]&gt;3,F73="H"),1,0))</f>
        <v>1</v>
      </c>
      <c r="V73" s="70">
        <f>IF(A73="","",IF(AND(Tabela1[[#This Row],[FTAG]]&gt;3,F73="A"),1,0))</f>
        <v>0</v>
      </c>
      <c r="W73" s="70">
        <f t="shared" si="50"/>
        <v>1</v>
      </c>
      <c r="X73" s="70">
        <f t="shared" si="51"/>
        <v>1</v>
      </c>
      <c r="Y73" s="71">
        <f t="shared" si="52"/>
        <v>1</v>
      </c>
      <c r="Z73" s="70">
        <f t="shared" si="53"/>
        <v>1</v>
      </c>
      <c r="AA73" s="70">
        <f t="shared" si="54"/>
        <v>1</v>
      </c>
      <c r="AB73" s="70">
        <f t="shared" si="55"/>
        <v>0</v>
      </c>
      <c r="AC73" s="71">
        <f t="shared" si="56"/>
        <v>1</v>
      </c>
      <c r="AD73" s="72" t="str">
        <f t="shared" si="57"/>
        <v>MAR</v>
      </c>
      <c r="AE73" s="73">
        <f>IF(A73="","",COUNT($N$2:N73))</f>
        <v>72</v>
      </c>
      <c r="AF73" s="74">
        <f t="shared" si="58"/>
        <v>1</v>
      </c>
      <c r="AG73" s="74">
        <f t="shared" si="59"/>
        <v>0</v>
      </c>
      <c r="AH73" s="74">
        <f t="shared" si="60"/>
        <v>0</v>
      </c>
      <c r="AI73" s="74" t="str">
        <f t="shared" si="61"/>
        <v>2,41-3,0</v>
      </c>
      <c r="AJ73" s="74" t="str">
        <f t="shared" si="62"/>
        <v>2,01-2,4</v>
      </c>
      <c r="AK73" s="74">
        <f>IF(A73="","",1/Tabela1[[#This Row],[ODDC]])</f>
        <v>0.33333333333333331</v>
      </c>
      <c r="AL73" s="74">
        <f>IF(A73="","",1/Tabela1[[#This Row],[ODDE]])</f>
        <v>0.3125</v>
      </c>
      <c r="AM73" s="74">
        <f>IF(A73="","",1/Tabela1[[#This Row],[ODDV]])</f>
        <v>0.42553191489361702</v>
      </c>
      <c r="AN73" s="74">
        <f>IF(A73="","",1-(Tabela1[[#This Row],[p(H)]]+Tabela1[[#This Row],[p(D)]]+Tabela1[[#This Row],[p(A)]]))</f>
        <v>-7.1365248226950229E-2</v>
      </c>
      <c r="AO73" s="74">
        <f>IF(A73="","",IFERROR(Tabela1[[#This Row],[p(H)]]/Tabela1[[#This Row],[FTHG]],1))</f>
        <v>8.3333333333333329E-2</v>
      </c>
      <c r="AP73" s="74">
        <f>IF(A73="","",IFERROR(Tabela1[[#This Row],[p(A)]]/Tabela1[[#This Row],[FTAG]],1))</f>
        <v>0.42553191489361702</v>
      </c>
      <c r="AQ73" s="107"/>
      <c r="AR73" s="107"/>
      <c r="AS73" s="107"/>
      <c r="AT73" s="107"/>
      <c r="AU73" s="107"/>
      <c r="AV73" s="107"/>
      <c r="AW73" s="107"/>
      <c r="AX73" s="107"/>
      <c r="AY73" s="107"/>
      <c r="AZ73" s="75"/>
      <c r="BA73" s="75"/>
      <c r="BB73" s="97"/>
      <c r="BC73" s="110"/>
      <c r="BD73" s="111"/>
      <c r="BE73" s="110"/>
      <c r="BF73" s="111"/>
      <c r="BG73" s="110"/>
      <c r="BH73" s="111"/>
      <c r="BI73" s="110"/>
      <c r="BJ73" s="111"/>
      <c r="BK73" s="110"/>
      <c r="BL73" s="111"/>
      <c r="BM73" s="110"/>
      <c r="BN73" s="111"/>
      <c r="BO73" s="104"/>
      <c r="BP73" s="104"/>
      <c r="BQ73" s="104"/>
      <c r="BR73" s="107"/>
      <c r="BS73" s="107"/>
      <c r="BT73" s="107"/>
      <c r="BU73" s="107"/>
      <c r="BV73" s="107"/>
      <c r="BW73" s="107"/>
      <c r="BX73" s="75"/>
      <c r="BY73" s="75"/>
      <c r="BZ73" s="75"/>
      <c r="CA73" s="75"/>
      <c r="CB73" s="75"/>
      <c r="CC73" s="75"/>
      <c r="CD73" s="75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</row>
    <row r="74" spans="1:120" ht="18.75" x14ac:dyDescent="0.3">
      <c r="A74" s="4">
        <v>46103</v>
      </c>
      <c r="B74" t="s">
        <v>360</v>
      </c>
      <c r="C74" t="s">
        <v>361</v>
      </c>
      <c r="D74">
        <v>2</v>
      </c>
      <c r="E74">
        <v>1</v>
      </c>
      <c r="F74" t="s">
        <v>347</v>
      </c>
      <c r="G74">
        <v>1.81</v>
      </c>
      <c r="H74">
        <v>3.5</v>
      </c>
      <c r="I74">
        <v>4.33</v>
      </c>
      <c r="J74" s="68">
        <f t="shared" si="42"/>
        <v>3</v>
      </c>
      <c r="K74" s="68">
        <f t="shared" si="43"/>
        <v>0</v>
      </c>
      <c r="L74" s="69">
        <f t="shared" si="44"/>
        <v>0.46189376443418012</v>
      </c>
      <c r="M74" s="69">
        <f t="shared" si="45"/>
        <v>0.5524861878453039</v>
      </c>
      <c r="N74" s="69">
        <f>IF(A74="","",Tabela1[[#This Row],[PTC]]*Tabela1[[#This Row],[ODDC]])</f>
        <v>5.43</v>
      </c>
      <c r="O74" s="69">
        <f>IF(A74="","",Tabela1[[#This Row],[PTV]]*Tabela1[[#This Row],[ODDV]])</f>
        <v>0</v>
      </c>
      <c r="P74" s="68">
        <f t="shared" si="46"/>
        <v>1</v>
      </c>
      <c r="Q74" s="68">
        <f t="shared" si="47"/>
        <v>-1</v>
      </c>
      <c r="R74" s="68">
        <f t="shared" si="48"/>
        <v>0.81</v>
      </c>
      <c r="S74" s="68">
        <f t="shared" si="49"/>
        <v>-1</v>
      </c>
      <c r="T74" s="68">
        <f>IF(A74="","",IF(F74="D",Tabela1[[#This Row],[ODDE]]-1,-1))</f>
        <v>-1</v>
      </c>
      <c r="U74" s="70">
        <f>IF(A74="","",IF(AND(Tabela1[[#This Row],[FTHG]]&gt;3,F74="H"),1,0))</f>
        <v>0</v>
      </c>
      <c r="V74" s="70">
        <f>IF(A74="","",IF(AND(Tabela1[[#This Row],[FTAG]]&gt;3,F74="A"),1,0))</f>
        <v>0</v>
      </c>
      <c r="W74" s="70">
        <f t="shared" si="50"/>
        <v>1</v>
      </c>
      <c r="X74" s="70">
        <f t="shared" si="51"/>
        <v>1</v>
      </c>
      <c r="Y74" s="71">
        <f t="shared" si="52"/>
        <v>1</v>
      </c>
      <c r="Z74" s="70">
        <f t="shared" si="53"/>
        <v>0</v>
      </c>
      <c r="AA74" s="70">
        <f t="shared" si="54"/>
        <v>0</v>
      </c>
      <c r="AB74" s="70">
        <f t="shared" si="55"/>
        <v>0</v>
      </c>
      <c r="AC74" s="71">
        <f t="shared" si="56"/>
        <v>1</v>
      </c>
      <c r="AD74" s="72" t="str">
        <f t="shared" si="57"/>
        <v>MAR</v>
      </c>
      <c r="AE74" s="73">
        <f>IF(A74="","",COUNT($N$2:N74))</f>
        <v>73</v>
      </c>
      <c r="AF74" s="74">
        <f t="shared" si="58"/>
        <v>1</v>
      </c>
      <c r="AG74" s="74">
        <f t="shared" si="59"/>
        <v>0</v>
      </c>
      <c r="AH74" s="74">
        <f t="shared" si="60"/>
        <v>0</v>
      </c>
      <c r="AI74" s="74" t="str">
        <f t="shared" si="61"/>
        <v>1,71-2,0</v>
      </c>
      <c r="AJ74" s="74" t="str">
        <f t="shared" si="62"/>
        <v>4,01-5,5</v>
      </c>
      <c r="AK74" s="74">
        <f>IF(A74="","",1/Tabela1[[#This Row],[ODDC]])</f>
        <v>0.5524861878453039</v>
      </c>
      <c r="AL74" s="74">
        <f>IF(A74="","",1/Tabela1[[#This Row],[ODDE]])</f>
        <v>0.2857142857142857</v>
      </c>
      <c r="AM74" s="74">
        <f>IF(A74="","",1/Tabela1[[#This Row],[ODDV]])</f>
        <v>0.23094688221709006</v>
      </c>
      <c r="AN74" s="74">
        <f>IF(A74="","",1-(Tabela1[[#This Row],[p(H)]]+Tabela1[[#This Row],[p(D)]]+Tabela1[[#This Row],[p(A)]]))</f>
        <v>-6.9147355776679742E-2</v>
      </c>
      <c r="AO74" s="74">
        <f>IF(A74="","",IFERROR(Tabela1[[#This Row],[p(H)]]/Tabela1[[#This Row],[FTHG]],1))</f>
        <v>0.27624309392265195</v>
      </c>
      <c r="AP74" s="74">
        <f>IF(A74="","",IFERROR(Tabela1[[#This Row],[p(A)]]/Tabela1[[#This Row],[FTAG]],1))</f>
        <v>0.23094688221709006</v>
      </c>
      <c r="AQ74" s="107"/>
      <c r="AR74" s="107"/>
      <c r="AS74" s="107"/>
      <c r="AT74" s="107"/>
      <c r="AU74" s="107"/>
      <c r="AV74" s="107"/>
      <c r="AW74" s="107"/>
      <c r="AX74" s="107"/>
      <c r="AY74" s="107"/>
      <c r="AZ74" s="75"/>
      <c r="BA74" s="75"/>
      <c r="BB74" s="97"/>
      <c r="BC74" s="110"/>
      <c r="BD74" s="111"/>
      <c r="BE74" s="110"/>
      <c r="BF74" s="111"/>
      <c r="BG74" s="110"/>
      <c r="BH74" s="111"/>
      <c r="BI74" s="110"/>
      <c r="BJ74" s="111"/>
      <c r="BK74" s="110"/>
      <c r="BL74" s="111"/>
      <c r="BM74" s="104"/>
      <c r="BN74" s="111"/>
      <c r="BO74" s="104"/>
      <c r="BP74" s="104"/>
      <c r="BQ74" s="104"/>
      <c r="BR74" s="107"/>
      <c r="BS74" s="107"/>
      <c r="BT74" s="107"/>
      <c r="BU74" s="107"/>
      <c r="BV74" s="107"/>
      <c r="BW74" s="107"/>
      <c r="BX74" s="75"/>
      <c r="BY74" s="75"/>
      <c r="BZ74" s="75"/>
      <c r="CA74" s="75"/>
      <c r="CB74" s="75"/>
      <c r="CC74" s="75"/>
      <c r="CD74" s="75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</row>
    <row r="75" spans="1:120" x14ac:dyDescent="0.25">
      <c r="A75" s="4">
        <v>46103</v>
      </c>
      <c r="B75" t="s">
        <v>354</v>
      </c>
      <c r="C75" t="s">
        <v>390</v>
      </c>
      <c r="D75">
        <v>2</v>
      </c>
      <c r="E75">
        <v>0</v>
      </c>
      <c r="F75" t="s">
        <v>347</v>
      </c>
      <c r="G75">
        <v>1.37</v>
      </c>
      <c r="H75">
        <v>5</v>
      </c>
      <c r="I75">
        <v>7.5</v>
      </c>
      <c r="J75" s="68">
        <f t="shared" si="42"/>
        <v>3</v>
      </c>
      <c r="K75" s="68">
        <f t="shared" si="43"/>
        <v>0</v>
      </c>
      <c r="L75" s="69">
        <f t="shared" si="44"/>
        <v>0.26666666666666666</v>
      </c>
      <c r="M75" s="69">
        <f t="shared" si="45"/>
        <v>0</v>
      </c>
      <c r="N75" s="69">
        <f>IF(A75="","",Tabela1[[#This Row],[PTC]]*Tabela1[[#This Row],[ODDC]])</f>
        <v>4.1100000000000003</v>
      </c>
      <c r="O75" s="69">
        <f>IF(A75="","",Tabela1[[#This Row],[PTV]]*Tabela1[[#This Row],[ODDV]])</f>
        <v>0</v>
      </c>
      <c r="P75" s="68">
        <f t="shared" si="46"/>
        <v>2</v>
      </c>
      <c r="Q75" s="68">
        <f t="shared" si="47"/>
        <v>-2</v>
      </c>
      <c r="R75" s="68">
        <f t="shared" si="48"/>
        <v>0.37000000000000011</v>
      </c>
      <c r="S75" s="68">
        <f t="shared" si="49"/>
        <v>-1</v>
      </c>
      <c r="T75" s="68">
        <f>IF(A75="","",IF(F75="D",Tabela1[[#This Row],[ODDE]]-1,-1))</f>
        <v>-1</v>
      </c>
      <c r="U75" s="70">
        <f>IF(A75="","",IF(AND(Tabela1[[#This Row],[FTHG]]&gt;3,F75="H"),1,0))</f>
        <v>0</v>
      </c>
      <c r="V75" s="70">
        <f>IF(A75="","",IF(AND(Tabela1[[#This Row],[FTAG]]&gt;3,F75="A"),1,0))</f>
        <v>0</v>
      </c>
      <c r="W75" s="70">
        <f t="shared" si="50"/>
        <v>1</v>
      </c>
      <c r="X75" s="70">
        <f t="shared" si="51"/>
        <v>1</v>
      </c>
      <c r="Y75" s="71">
        <f t="shared" si="52"/>
        <v>0</v>
      </c>
      <c r="Z75" s="70">
        <f t="shared" si="53"/>
        <v>0</v>
      </c>
      <c r="AA75" s="70">
        <f t="shared" si="54"/>
        <v>0</v>
      </c>
      <c r="AB75" s="70">
        <f t="shared" si="55"/>
        <v>0</v>
      </c>
      <c r="AC75" s="71">
        <f t="shared" si="56"/>
        <v>0</v>
      </c>
      <c r="AD75" s="72" t="str">
        <f t="shared" si="57"/>
        <v>MAR</v>
      </c>
      <c r="AE75" s="73">
        <f>IF(A75="","",COUNT($N$2:N75))</f>
        <v>74</v>
      </c>
      <c r="AF75" s="74">
        <f t="shared" si="58"/>
        <v>1</v>
      </c>
      <c r="AG75" s="74">
        <f t="shared" si="59"/>
        <v>0</v>
      </c>
      <c r="AH75" s="74">
        <f t="shared" si="60"/>
        <v>0</v>
      </c>
      <c r="AI75" s="74" t="str">
        <f t="shared" si="61"/>
        <v>1,21-1,4</v>
      </c>
      <c r="AJ75" s="74" t="str">
        <f t="shared" si="62"/>
        <v>5,51-9,0</v>
      </c>
      <c r="AK75" s="74">
        <f>IF(A75="","",1/Tabela1[[#This Row],[ODDC]])</f>
        <v>0.72992700729927007</v>
      </c>
      <c r="AL75" s="74">
        <f>IF(A75="","",1/Tabela1[[#This Row],[ODDE]])</f>
        <v>0.2</v>
      </c>
      <c r="AM75" s="74">
        <f>IF(A75="","",1/Tabela1[[#This Row],[ODDV]])</f>
        <v>0.13333333333333333</v>
      </c>
      <c r="AN75" s="74">
        <f>IF(A75="","",1-(Tabela1[[#This Row],[p(H)]]+Tabela1[[#This Row],[p(D)]]+Tabela1[[#This Row],[p(A)]]))</f>
        <v>-6.3260340632603329E-2</v>
      </c>
      <c r="AO75" s="74">
        <f>IF(A75="","",IFERROR(Tabela1[[#This Row],[p(H)]]/Tabela1[[#This Row],[FTHG]],1))</f>
        <v>0.36496350364963503</v>
      </c>
      <c r="AP75" s="74">
        <f>IF(A75="","",IFERROR(Tabela1[[#This Row],[p(A)]]/Tabela1[[#This Row],[FTAG]],1))</f>
        <v>1</v>
      </c>
      <c r="AQ75" s="107"/>
      <c r="AR75" s="107"/>
      <c r="AS75" s="107"/>
      <c r="AT75" s="107"/>
      <c r="AU75" s="107"/>
      <c r="AV75" s="107"/>
      <c r="AW75" s="107"/>
      <c r="AX75" s="107"/>
      <c r="AY75" s="107"/>
      <c r="AZ75" s="75"/>
      <c r="BA75" s="75"/>
      <c r="BB75" s="97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7"/>
      <c r="BS75" s="107"/>
      <c r="BT75" s="107"/>
      <c r="BU75" s="107"/>
      <c r="BV75" s="107"/>
      <c r="BW75" s="107"/>
      <c r="BX75" s="75"/>
      <c r="BY75" s="75"/>
      <c r="BZ75" s="75"/>
      <c r="CA75" s="75"/>
      <c r="CB75" s="75"/>
      <c r="CC75" s="75"/>
      <c r="CD75" s="75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</row>
    <row r="76" spans="1:120" ht="18.75" x14ac:dyDescent="0.3">
      <c r="A76" s="4">
        <v>46103</v>
      </c>
      <c r="B76" t="s">
        <v>381</v>
      </c>
      <c r="C76" t="s">
        <v>382</v>
      </c>
      <c r="D76">
        <v>1</v>
      </c>
      <c r="E76">
        <v>0</v>
      </c>
      <c r="F76" t="s">
        <v>347</v>
      </c>
      <c r="G76">
        <v>2.57</v>
      </c>
      <c r="H76">
        <v>3</v>
      </c>
      <c r="I76">
        <v>2.85</v>
      </c>
      <c r="J76" s="68">
        <f t="shared" si="42"/>
        <v>3</v>
      </c>
      <c r="K76" s="68">
        <f t="shared" si="43"/>
        <v>0</v>
      </c>
      <c r="L76" s="69">
        <f t="shared" si="44"/>
        <v>0.35087719298245612</v>
      </c>
      <c r="M76" s="69">
        <f t="shared" si="45"/>
        <v>0</v>
      </c>
      <c r="N76" s="69">
        <f>IF(A76="","",Tabela1[[#This Row],[PTC]]*Tabela1[[#This Row],[ODDC]])</f>
        <v>7.7099999999999991</v>
      </c>
      <c r="O76" s="69">
        <f>IF(A76="","",Tabela1[[#This Row],[PTV]]*Tabela1[[#This Row],[ODDV]])</f>
        <v>0</v>
      </c>
      <c r="P76" s="68">
        <f t="shared" si="46"/>
        <v>1</v>
      </c>
      <c r="Q76" s="68">
        <f t="shared" si="47"/>
        <v>-1</v>
      </c>
      <c r="R76" s="68">
        <f t="shared" si="48"/>
        <v>1.5699999999999998</v>
      </c>
      <c r="S76" s="68">
        <f t="shared" si="49"/>
        <v>-1</v>
      </c>
      <c r="T76" s="68">
        <f>IF(A76="","",IF(F76="D",Tabela1[[#This Row],[ODDE]]-1,-1))</f>
        <v>-1</v>
      </c>
      <c r="U76" s="70">
        <f>IF(A76="","",IF(AND(Tabela1[[#This Row],[FTHG]]&gt;3,F76="H"),1,0))</f>
        <v>0</v>
      </c>
      <c r="V76" s="70">
        <f>IF(A76="","",IF(AND(Tabela1[[#This Row],[FTAG]]&gt;3,F76="A"),1,0))</f>
        <v>0</v>
      </c>
      <c r="W76" s="70">
        <f t="shared" si="50"/>
        <v>1</v>
      </c>
      <c r="X76" s="70">
        <f t="shared" si="51"/>
        <v>0</v>
      </c>
      <c r="Y76" s="71">
        <f t="shared" si="52"/>
        <v>0</v>
      </c>
      <c r="Z76" s="70">
        <f t="shared" si="53"/>
        <v>0</v>
      </c>
      <c r="AA76" s="70">
        <f t="shared" si="54"/>
        <v>0</v>
      </c>
      <c r="AB76" s="70">
        <f t="shared" si="55"/>
        <v>0</v>
      </c>
      <c r="AC76" s="71">
        <f t="shared" si="56"/>
        <v>0</v>
      </c>
      <c r="AD76" s="72" t="str">
        <f t="shared" si="57"/>
        <v>MAR</v>
      </c>
      <c r="AE76" s="73">
        <f>IF(A76="","",COUNT($N$2:N76))</f>
        <v>75</v>
      </c>
      <c r="AF76" s="74">
        <f t="shared" si="58"/>
        <v>1</v>
      </c>
      <c r="AG76" s="74">
        <f t="shared" si="59"/>
        <v>0</v>
      </c>
      <c r="AH76" s="74">
        <f t="shared" si="60"/>
        <v>0</v>
      </c>
      <c r="AI76" s="74" t="str">
        <f t="shared" si="61"/>
        <v>2,41-3,0</v>
      </c>
      <c r="AJ76" s="74" t="str">
        <f t="shared" si="62"/>
        <v>2,41-3,0</v>
      </c>
      <c r="AK76" s="74">
        <f>IF(A76="","",1/Tabela1[[#This Row],[ODDC]])</f>
        <v>0.38910505836575876</v>
      </c>
      <c r="AL76" s="74">
        <f>IF(A76="","",1/Tabela1[[#This Row],[ODDE]])</f>
        <v>0.33333333333333331</v>
      </c>
      <c r="AM76" s="74">
        <f>IF(A76="","",1/Tabela1[[#This Row],[ODDV]])</f>
        <v>0.35087719298245612</v>
      </c>
      <c r="AN76" s="74">
        <f>IF(A76="","",1-(Tabela1[[#This Row],[p(H)]]+Tabela1[[#This Row],[p(D)]]+Tabela1[[#This Row],[p(A)]]))</f>
        <v>-7.3315584681548085E-2</v>
      </c>
      <c r="AO76" s="74">
        <f>IF(A76="","",IFERROR(Tabela1[[#This Row],[p(H)]]/Tabela1[[#This Row],[FTHG]],1))</f>
        <v>0.38910505836575876</v>
      </c>
      <c r="AP76" s="74">
        <f>IF(A76="","",IFERROR(Tabela1[[#This Row],[p(A)]]/Tabela1[[#This Row],[FTAG]],1))</f>
        <v>1</v>
      </c>
      <c r="AQ76" s="107"/>
      <c r="AR76" s="107"/>
      <c r="AS76" s="107"/>
      <c r="AT76" s="107"/>
      <c r="AU76" s="107"/>
      <c r="AV76" s="107"/>
      <c r="AW76" s="107"/>
      <c r="AX76" s="107"/>
      <c r="AY76" s="107"/>
      <c r="AZ76" s="75"/>
      <c r="BA76" s="75"/>
      <c r="BB76" s="97"/>
      <c r="BC76" s="110"/>
      <c r="BD76" s="112"/>
      <c r="BE76" s="110"/>
      <c r="BF76" s="112"/>
      <c r="BG76" s="110"/>
      <c r="BH76" s="112"/>
      <c r="BI76" s="110"/>
      <c r="BJ76" s="112"/>
      <c r="BK76" s="110"/>
      <c r="BL76" s="112"/>
      <c r="BM76" s="110"/>
      <c r="BN76" s="112"/>
      <c r="BO76" s="104"/>
      <c r="BP76" s="104"/>
      <c r="BQ76" s="104"/>
      <c r="BR76" s="107"/>
      <c r="BS76" s="107"/>
      <c r="BT76" s="107"/>
      <c r="BU76" s="107"/>
      <c r="BV76" s="107"/>
      <c r="BW76" s="107"/>
      <c r="BX76" s="75"/>
      <c r="BY76" s="75"/>
      <c r="BZ76" s="75"/>
      <c r="CA76" s="75"/>
      <c r="CB76" s="75"/>
      <c r="CC76" s="75"/>
      <c r="CD76" s="75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</row>
    <row r="77" spans="1:120" ht="18.75" x14ac:dyDescent="0.3">
      <c r="A77" s="4">
        <v>46103</v>
      </c>
      <c r="B77" t="s">
        <v>357</v>
      </c>
      <c r="C77" t="s">
        <v>363</v>
      </c>
      <c r="D77">
        <v>1</v>
      </c>
      <c r="E77">
        <v>1</v>
      </c>
      <c r="F77" t="s">
        <v>348</v>
      </c>
      <c r="G77">
        <v>3.4</v>
      </c>
      <c r="H77">
        <v>3.1</v>
      </c>
      <c r="I77">
        <v>2.25</v>
      </c>
      <c r="J77" s="68">
        <f t="shared" si="42"/>
        <v>1</v>
      </c>
      <c r="K77" s="68">
        <f t="shared" si="43"/>
        <v>1</v>
      </c>
      <c r="L77" s="69">
        <f t="shared" si="44"/>
        <v>0.44444444444444442</v>
      </c>
      <c r="M77" s="69">
        <f t="shared" si="45"/>
        <v>0.29411764705882354</v>
      </c>
      <c r="N77" s="69">
        <f>IF(A77="","",Tabela1[[#This Row],[PTC]]*Tabela1[[#This Row],[ODDC]])</f>
        <v>3.4</v>
      </c>
      <c r="O77" s="69">
        <f>IF(A77="","",Tabela1[[#This Row],[PTV]]*Tabela1[[#This Row],[ODDV]])</f>
        <v>2.25</v>
      </c>
      <c r="P77" s="68">
        <f t="shared" si="46"/>
        <v>0</v>
      </c>
      <c r="Q77" s="68">
        <f t="shared" si="47"/>
        <v>0</v>
      </c>
      <c r="R77" s="68">
        <f t="shared" si="48"/>
        <v>-1</v>
      </c>
      <c r="S77" s="68">
        <f t="shared" si="49"/>
        <v>-1</v>
      </c>
      <c r="T77" s="68">
        <f>IF(A77="","",IF(F77="D",Tabela1[[#This Row],[ODDE]]-1,-1))</f>
        <v>2.1</v>
      </c>
      <c r="U77" s="70">
        <f>IF(A77="","",IF(AND(Tabela1[[#This Row],[FTHG]]&gt;3,F77="H"),1,0))</f>
        <v>0</v>
      </c>
      <c r="V77" s="70">
        <f>IF(A77="","",IF(AND(Tabela1[[#This Row],[FTAG]]&gt;3,F77="A"),1,0))</f>
        <v>0</v>
      </c>
      <c r="W77" s="70">
        <f t="shared" si="50"/>
        <v>1</v>
      </c>
      <c r="X77" s="70">
        <f t="shared" si="51"/>
        <v>1</v>
      </c>
      <c r="Y77" s="71">
        <f t="shared" si="52"/>
        <v>0</v>
      </c>
      <c r="Z77" s="70">
        <f t="shared" si="53"/>
        <v>0</v>
      </c>
      <c r="AA77" s="70">
        <f t="shared" si="54"/>
        <v>0</v>
      </c>
      <c r="AB77" s="70">
        <f t="shared" si="55"/>
        <v>0</v>
      </c>
      <c r="AC77" s="71">
        <f t="shared" si="56"/>
        <v>1</v>
      </c>
      <c r="AD77" s="72" t="str">
        <f t="shared" si="57"/>
        <v>MAR</v>
      </c>
      <c r="AE77" s="73">
        <f>IF(A77="","",COUNT($N$2:N77))</f>
        <v>76</v>
      </c>
      <c r="AF77" s="74">
        <f t="shared" si="58"/>
        <v>0</v>
      </c>
      <c r="AG77" s="74">
        <f t="shared" si="59"/>
        <v>1</v>
      </c>
      <c r="AH77" s="74">
        <f t="shared" si="60"/>
        <v>0</v>
      </c>
      <c r="AI77" s="74" t="str">
        <f t="shared" si="61"/>
        <v>3,01-4.0</v>
      </c>
      <c r="AJ77" s="74" t="str">
        <f t="shared" si="62"/>
        <v>2,01-2,4</v>
      </c>
      <c r="AK77" s="74">
        <f>IF(A77="","",1/Tabela1[[#This Row],[ODDC]])</f>
        <v>0.29411764705882354</v>
      </c>
      <c r="AL77" s="74">
        <f>IF(A77="","",1/Tabela1[[#This Row],[ODDE]])</f>
        <v>0.32258064516129031</v>
      </c>
      <c r="AM77" s="74">
        <f>IF(A77="","",1/Tabela1[[#This Row],[ODDV]])</f>
        <v>0.44444444444444442</v>
      </c>
      <c r="AN77" s="74">
        <f>IF(A77="","",1-(Tabela1[[#This Row],[p(H)]]+Tabela1[[#This Row],[p(D)]]+Tabela1[[#This Row],[p(A)]]))</f>
        <v>-6.1142736664558273E-2</v>
      </c>
      <c r="AO77" s="74">
        <f>IF(A77="","",IFERROR(Tabela1[[#This Row],[p(H)]]/Tabela1[[#This Row],[FTHG]],1))</f>
        <v>0.29411764705882354</v>
      </c>
      <c r="AP77" s="74">
        <f>IF(A77="","",IFERROR(Tabela1[[#This Row],[p(A)]]/Tabela1[[#This Row],[FTAG]],1))</f>
        <v>0.44444444444444442</v>
      </c>
      <c r="AQ77" s="107"/>
      <c r="AR77" s="107"/>
      <c r="AS77" s="107"/>
      <c r="AT77" s="107"/>
      <c r="AU77" s="107"/>
      <c r="AV77" s="107"/>
      <c r="AW77" s="107"/>
      <c r="AX77" s="107"/>
      <c r="AY77" s="107"/>
      <c r="AZ77" s="75"/>
      <c r="BA77" s="75"/>
      <c r="BB77" s="97"/>
      <c r="BC77" s="110"/>
      <c r="BD77" s="112"/>
      <c r="BE77" s="110"/>
      <c r="BF77" s="112"/>
      <c r="BG77" s="110"/>
      <c r="BH77" s="112"/>
      <c r="BI77" s="110"/>
      <c r="BJ77" s="112"/>
      <c r="BK77" s="110"/>
      <c r="BL77" s="112"/>
      <c r="BM77" s="110"/>
      <c r="BN77" s="112"/>
      <c r="BO77" s="104"/>
      <c r="BP77" s="104"/>
      <c r="BQ77" s="104"/>
      <c r="BR77" s="107"/>
      <c r="BS77" s="107"/>
      <c r="BT77" s="107"/>
      <c r="BU77" s="107"/>
      <c r="BV77" s="107"/>
      <c r="BW77" s="107"/>
      <c r="BX77" s="75"/>
      <c r="BY77" s="75"/>
      <c r="BZ77" s="75"/>
      <c r="CA77" s="75"/>
      <c r="CB77" s="75"/>
      <c r="CC77" s="75"/>
      <c r="CD77" s="75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</row>
    <row r="78" spans="1:120" ht="18.75" x14ac:dyDescent="0.3">
      <c r="A78" s="4">
        <v>46110</v>
      </c>
      <c r="B78" t="s">
        <v>388</v>
      </c>
      <c r="C78" t="s">
        <v>350</v>
      </c>
      <c r="D78">
        <v>4</v>
      </c>
      <c r="E78">
        <v>1</v>
      </c>
      <c r="F78" t="s">
        <v>347</v>
      </c>
      <c r="G78">
        <v>1.91</v>
      </c>
      <c r="H78">
        <v>3.3</v>
      </c>
      <c r="I78">
        <v>3.9</v>
      </c>
      <c r="J78" s="68">
        <f t="shared" si="42"/>
        <v>3</v>
      </c>
      <c r="K78" s="68">
        <f t="shared" si="43"/>
        <v>0</v>
      </c>
      <c r="L78" s="69">
        <f t="shared" si="44"/>
        <v>1.0256410256410258</v>
      </c>
      <c r="M78" s="69">
        <f t="shared" si="45"/>
        <v>0.52356020942408377</v>
      </c>
      <c r="N78" s="69">
        <f>IF(A78="","",Tabela1[[#This Row],[PTC]]*Tabela1[[#This Row],[ODDC]])</f>
        <v>5.7299999999999995</v>
      </c>
      <c r="O78" s="69">
        <f>IF(A78="","",Tabela1[[#This Row],[PTV]]*Tabela1[[#This Row],[ODDV]])</f>
        <v>0</v>
      </c>
      <c r="P78" s="68">
        <f t="shared" si="46"/>
        <v>3</v>
      </c>
      <c r="Q78" s="68">
        <f t="shared" si="47"/>
        <v>-3</v>
      </c>
      <c r="R78" s="68">
        <f t="shared" si="48"/>
        <v>0.90999999999999992</v>
      </c>
      <c r="S78" s="68">
        <f t="shared" si="49"/>
        <v>-1</v>
      </c>
      <c r="T78" s="68">
        <f>IF(A78="","",IF(F78="D",Tabela1[[#This Row],[ODDE]]-1,-1))</f>
        <v>-1</v>
      </c>
      <c r="U78" s="70">
        <f>IF(A78="","",IF(AND(Tabela1[[#This Row],[FTHG]]&gt;3,F78="H"),1,0))</f>
        <v>1</v>
      </c>
      <c r="V78" s="70">
        <f>IF(A78="","",IF(AND(Tabela1[[#This Row],[FTAG]]&gt;3,F78="A"),1,0))</f>
        <v>0</v>
      </c>
      <c r="W78" s="70">
        <f t="shared" si="50"/>
        <v>1</v>
      </c>
      <c r="X78" s="70">
        <f t="shared" si="51"/>
        <v>1</v>
      </c>
      <c r="Y78" s="71">
        <f t="shared" si="52"/>
        <v>1</v>
      </c>
      <c r="Z78" s="70">
        <f t="shared" si="53"/>
        <v>1</v>
      </c>
      <c r="AA78" s="70">
        <f t="shared" si="54"/>
        <v>1</v>
      </c>
      <c r="AB78" s="70">
        <f t="shared" si="55"/>
        <v>0</v>
      </c>
      <c r="AC78" s="71">
        <f t="shared" si="56"/>
        <v>1</v>
      </c>
      <c r="AD78" s="72" t="str">
        <f t="shared" si="57"/>
        <v>MAR</v>
      </c>
      <c r="AE78" s="73">
        <f>IF(A78="","",COUNT($N$2:N78))</f>
        <v>77</v>
      </c>
      <c r="AF78" s="74">
        <f t="shared" si="58"/>
        <v>1</v>
      </c>
      <c r="AG78" s="74">
        <f t="shared" si="59"/>
        <v>0</v>
      </c>
      <c r="AH78" s="74">
        <f t="shared" si="60"/>
        <v>0</v>
      </c>
      <c r="AI78" s="74" t="str">
        <f t="shared" si="61"/>
        <v>1,71-2,0</v>
      </c>
      <c r="AJ78" s="74" t="str">
        <f t="shared" si="62"/>
        <v>3,01-4.0</v>
      </c>
      <c r="AK78" s="74">
        <f>IF(A78="","",1/Tabela1[[#This Row],[ODDC]])</f>
        <v>0.52356020942408377</v>
      </c>
      <c r="AL78" s="74">
        <f>IF(A78="","",1/Tabela1[[#This Row],[ODDE]])</f>
        <v>0.30303030303030304</v>
      </c>
      <c r="AM78" s="74">
        <f>IF(A78="","",1/Tabela1[[#This Row],[ODDV]])</f>
        <v>0.25641025641025644</v>
      </c>
      <c r="AN78" s="74">
        <f>IF(A78="","",1-(Tabela1[[#This Row],[p(H)]]+Tabela1[[#This Row],[p(D)]]+Tabela1[[#This Row],[p(A)]]))</f>
        <v>-8.3000768864643248E-2</v>
      </c>
      <c r="AO78" s="74">
        <f>IF(A78="","",IFERROR(Tabela1[[#This Row],[p(H)]]/Tabela1[[#This Row],[FTHG]],1))</f>
        <v>0.13089005235602094</v>
      </c>
      <c r="AP78" s="74">
        <f>IF(A78="","",IFERROR(Tabela1[[#This Row],[p(A)]]/Tabela1[[#This Row],[FTAG]],1))</f>
        <v>0.25641025641025644</v>
      </c>
      <c r="AQ78" s="107"/>
      <c r="AR78" s="107"/>
      <c r="AS78" s="107"/>
      <c r="AT78" s="107"/>
      <c r="AU78" s="107"/>
      <c r="AV78" s="107"/>
      <c r="AW78" s="107"/>
      <c r="AX78" s="107"/>
      <c r="AY78" s="107"/>
      <c r="AZ78" s="75"/>
      <c r="BA78" s="75"/>
      <c r="BB78" s="97"/>
      <c r="BC78" s="110"/>
      <c r="BD78" s="112"/>
      <c r="BE78" s="110"/>
      <c r="BF78" s="112"/>
      <c r="BG78" s="110"/>
      <c r="BH78" s="112"/>
      <c r="BI78" s="110"/>
      <c r="BJ78" s="112"/>
      <c r="BK78" s="110"/>
      <c r="BL78" s="112"/>
      <c r="BM78" s="104"/>
      <c r="BN78" s="111"/>
      <c r="BO78" s="104"/>
      <c r="BP78" s="104"/>
      <c r="BQ78" s="104"/>
      <c r="BR78" s="107"/>
      <c r="BS78" s="107"/>
      <c r="BT78" s="107"/>
      <c r="BU78" s="107"/>
      <c r="BV78" s="107"/>
      <c r="BW78" s="107"/>
      <c r="BX78" s="75"/>
      <c r="BY78" s="75"/>
      <c r="BZ78" s="75"/>
      <c r="CA78" s="75"/>
      <c r="CB78" s="75"/>
      <c r="CC78" s="75"/>
      <c r="CD78" s="75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</row>
    <row r="79" spans="1:120" x14ac:dyDescent="0.25">
      <c r="A79" s="4">
        <v>46113</v>
      </c>
      <c r="B79" t="s">
        <v>350</v>
      </c>
      <c r="C79" t="s">
        <v>382</v>
      </c>
      <c r="D79">
        <v>3</v>
      </c>
      <c r="E79">
        <v>2</v>
      </c>
      <c r="F79" t="s">
        <v>347</v>
      </c>
      <c r="G79">
        <v>2.3199999999999998</v>
      </c>
      <c r="H79">
        <v>3.3</v>
      </c>
      <c r="I79">
        <v>3</v>
      </c>
      <c r="J79" s="68">
        <f t="shared" si="42"/>
        <v>3</v>
      </c>
      <c r="K79" s="68">
        <f t="shared" si="43"/>
        <v>0</v>
      </c>
      <c r="L79" s="69">
        <f t="shared" si="44"/>
        <v>1</v>
      </c>
      <c r="M79" s="69">
        <f t="shared" si="45"/>
        <v>0.86206896551724144</v>
      </c>
      <c r="N79" s="69">
        <f>IF(A79="","",Tabela1[[#This Row],[PTC]]*Tabela1[[#This Row],[ODDC]])</f>
        <v>6.9599999999999991</v>
      </c>
      <c r="O79" s="69">
        <f>IF(A79="","",Tabela1[[#This Row],[PTV]]*Tabela1[[#This Row],[ODDV]])</f>
        <v>0</v>
      </c>
      <c r="P79" s="68">
        <f t="shared" si="46"/>
        <v>1</v>
      </c>
      <c r="Q79" s="68">
        <f t="shared" si="47"/>
        <v>-1</v>
      </c>
      <c r="R79" s="68">
        <f t="shared" si="48"/>
        <v>1.3199999999999998</v>
      </c>
      <c r="S79" s="68">
        <f t="shared" si="49"/>
        <v>-1</v>
      </c>
      <c r="T79" s="68">
        <f>IF(A79="","",IF(F79="D",Tabela1[[#This Row],[ODDE]]-1,-1))</f>
        <v>-1</v>
      </c>
      <c r="U79" s="70">
        <f>IF(A79="","",IF(AND(Tabela1[[#This Row],[FTHG]]&gt;3,F79="H"),1,0))</f>
        <v>0</v>
      </c>
      <c r="V79" s="70">
        <f>IF(A79="","",IF(AND(Tabela1[[#This Row],[FTAG]]&gt;3,F79="A"),1,0))</f>
        <v>0</v>
      </c>
      <c r="W79" s="70">
        <f t="shared" si="50"/>
        <v>1</v>
      </c>
      <c r="X79" s="70">
        <f t="shared" si="51"/>
        <v>1</v>
      </c>
      <c r="Y79" s="71">
        <f t="shared" si="52"/>
        <v>1</v>
      </c>
      <c r="Z79" s="70">
        <f t="shared" si="53"/>
        <v>1</v>
      </c>
      <c r="AA79" s="70">
        <f t="shared" si="54"/>
        <v>1</v>
      </c>
      <c r="AB79" s="70">
        <f t="shared" si="55"/>
        <v>0</v>
      </c>
      <c r="AC79" s="71">
        <f t="shared" si="56"/>
        <v>1</v>
      </c>
      <c r="AD79" s="72" t="str">
        <f t="shared" si="57"/>
        <v>ABR</v>
      </c>
      <c r="AE79" s="73">
        <f>IF(A79="","",COUNT($N$2:N79))</f>
        <v>78</v>
      </c>
      <c r="AF79" s="74">
        <f t="shared" si="58"/>
        <v>1</v>
      </c>
      <c r="AG79" s="74">
        <f t="shared" si="59"/>
        <v>0</v>
      </c>
      <c r="AH79" s="74">
        <f t="shared" si="60"/>
        <v>0</v>
      </c>
      <c r="AI79" s="74" t="str">
        <f t="shared" si="61"/>
        <v>2,01-2,4</v>
      </c>
      <c r="AJ79" s="74" t="str">
        <f t="shared" si="62"/>
        <v>2,41-3,0</v>
      </c>
      <c r="AK79" s="74">
        <f>IF(A79="","",1/Tabela1[[#This Row],[ODDC]])</f>
        <v>0.43103448275862072</v>
      </c>
      <c r="AL79" s="74">
        <f>IF(A79="","",1/Tabela1[[#This Row],[ODDE]])</f>
        <v>0.30303030303030304</v>
      </c>
      <c r="AM79" s="74">
        <f>IF(A79="","",1/Tabela1[[#This Row],[ODDV]])</f>
        <v>0.33333333333333331</v>
      </c>
      <c r="AN79" s="74">
        <f>IF(A79="","",1-(Tabela1[[#This Row],[p(H)]]+Tabela1[[#This Row],[p(D)]]+Tabela1[[#This Row],[p(A)]]))</f>
        <v>-6.7398119122257016E-2</v>
      </c>
      <c r="AO79" s="74">
        <f>IF(A79="","",IFERROR(Tabela1[[#This Row],[p(H)]]/Tabela1[[#This Row],[FTHG]],1))</f>
        <v>0.14367816091954025</v>
      </c>
      <c r="AP79" s="74">
        <f>IF(A79="","",IFERROR(Tabela1[[#This Row],[p(A)]]/Tabela1[[#This Row],[FTAG]],1))</f>
        <v>0.16666666666666666</v>
      </c>
      <c r="AQ79" s="107"/>
      <c r="AR79" s="107"/>
      <c r="AS79" s="107"/>
      <c r="AT79" s="107"/>
      <c r="AU79" s="107"/>
      <c r="AV79" s="107"/>
      <c r="AW79" s="107"/>
      <c r="AX79" s="107"/>
      <c r="AY79" s="107"/>
      <c r="AZ79" s="75"/>
      <c r="BA79" s="75"/>
      <c r="BB79" s="97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7"/>
      <c r="BS79" s="107"/>
      <c r="BT79" s="107"/>
      <c r="BU79" s="107"/>
      <c r="BV79" s="107"/>
      <c r="BW79" s="107"/>
      <c r="BX79" s="75"/>
      <c r="BY79" s="75"/>
      <c r="BZ79" s="75"/>
      <c r="CA79" s="75"/>
      <c r="CB79" s="75"/>
      <c r="CC79" s="75"/>
      <c r="CD79" s="75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</row>
    <row r="80" spans="1:120" x14ac:dyDescent="0.25">
      <c r="A80" s="4">
        <v>46113</v>
      </c>
      <c r="B80" t="s">
        <v>354</v>
      </c>
      <c r="C80" t="s">
        <v>351</v>
      </c>
      <c r="D80">
        <v>1</v>
      </c>
      <c r="E80">
        <v>1</v>
      </c>
      <c r="F80" t="s">
        <v>348</v>
      </c>
      <c r="G80">
        <v>2.15</v>
      </c>
      <c r="H80">
        <v>3</v>
      </c>
      <c r="I80">
        <v>3.6</v>
      </c>
      <c r="J80" s="68">
        <f t="shared" si="42"/>
        <v>1</v>
      </c>
      <c r="K80" s="68">
        <f t="shared" si="43"/>
        <v>1</v>
      </c>
      <c r="L80" s="69">
        <f t="shared" si="44"/>
        <v>0.27777777777777779</v>
      </c>
      <c r="M80" s="69">
        <f t="shared" si="45"/>
        <v>0.46511627906976744</v>
      </c>
      <c r="N80" s="69">
        <f>IF(A80="","",Tabela1[[#This Row],[PTC]]*Tabela1[[#This Row],[ODDC]])</f>
        <v>2.15</v>
      </c>
      <c r="O80" s="69">
        <f>IF(A80="","",Tabela1[[#This Row],[PTV]]*Tabela1[[#This Row],[ODDV]])</f>
        <v>3.6</v>
      </c>
      <c r="P80" s="68">
        <f t="shared" si="46"/>
        <v>0</v>
      </c>
      <c r="Q80" s="68">
        <f t="shared" si="47"/>
        <v>0</v>
      </c>
      <c r="R80" s="68">
        <f t="shared" si="48"/>
        <v>-1</v>
      </c>
      <c r="S80" s="68">
        <f t="shared" si="49"/>
        <v>-1</v>
      </c>
      <c r="T80" s="68">
        <f>IF(A80="","",IF(F80="D",Tabela1[[#This Row],[ODDE]]-1,-1))</f>
        <v>2</v>
      </c>
      <c r="U80" s="70">
        <f>IF(A80="","",IF(AND(Tabela1[[#This Row],[FTHG]]&gt;3,F80="H"),1,0))</f>
        <v>0</v>
      </c>
      <c r="V80" s="70">
        <f>IF(A80="","",IF(AND(Tabela1[[#This Row],[FTAG]]&gt;3,F80="A"),1,0))</f>
        <v>0</v>
      </c>
      <c r="W80" s="70">
        <f t="shared" si="50"/>
        <v>1</v>
      </c>
      <c r="X80" s="70">
        <f t="shared" si="51"/>
        <v>1</v>
      </c>
      <c r="Y80" s="71">
        <f t="shared" si="52"/>
        <v>0</v>
      </c>
      <c r="Z80" s="70">
        <f t="shared" si="53"/>
        <v>0</v>
      </c>
      <c r="AA80" s="70">
        <f t="shared" si="54"/>
        <v>0</v>
      </c>
      <c r="AB80" s="70">
        <f t="shared" si="55"/>
        <v>0</v>
      </c>
      <c r="AC80" s="71">
        <f t="shared" si="56"/>
        <v>1</v>
      </c>
      <c r="AD80" s="72" t="str">
        <f t="shared" si="57"/>
        <v>ABR</v>
      </c>
      <c r="AE80" s="73">
        <f>IF(A80="","",COUNT($N$2:N80))</f>
        <v>79</v>
      </c>
      <c r="AF80" s="74">
        <f t="shared" si="58"/>
        <v>0</v>
      </c>
      <c r="AG80" s="74">
        <f t="shared" si="59"/>
        <v>1</v>
      </c>
      <c r="AH80" s="74">
        <f t="shared" si="60"/>
        <v>0</v>
      </c>
      <c r="AI80" s="74" t="str">
        <f t="shared" si="61"/>
        <v>2,01-2,4</v>
      </c>
      <c r="AJ80" s="74" t="str">
        <f t="shared" si="62"/>
        <v>3,01-4.0</v>
      </c>
      <c r="AK80" s="74">
        <f>IF(A80="","",1/Tabela1[[#This Row],[ODDC]])</f>
        <v>0.46511627906976744</v>
      </c>
      <c r="AL80" s="74">
        <f>IF(A80="","",1/Tabela1[[#This Row],[ODDE]])</f>
        <v>0.33333333333333331</v>
      </c>
      <c r="AM80" s="74">
        <f>IF(A80="","",1/Tabela1[[#This Row],[ODDV]])</f>
        <v>0.27777777777777779</v>
      </c>
      <c r="AN80" s="74">
        <f>IF(A80="","",1-(Tabela1[[#This Row],[p(H)]]+Tabela1[[#This Row],[p(D)]]+Tabela1[[#This Row],[p(A)]]))</f>
        <v>-7.622739018087854E-2</v>
      </c>
      <c r="AO80" s="74">
        <f>IF(A80="","",IFERROR(Tabela1[[#This Row],[p(H)]]/Tabela1[[#This Row],[FTHG]],1))</f>
        <v>0.46511627906976744</v>
      </c>
      <c r="AP80" s="74">
        <f>IF(A80="","",IFERROR(Tabela1[[#This Row],[p(A)]]/Tabela1[[#This Row],[FTAG]],1))</f>
        <v>0.27777777777777779</v>
      </c>
      <c r="AQ80" s="107"/>
      <c r="AR80" s="107"/>
      <c r="AS80" s="107"/>
      <c r="AT80" s="107"/>
      <c r="AU80" s="107"/>
      <c r="AV80" s="107"/>
      <c r="AW80" s="107"/>
      <c r="AX80" s="107"/>
      <c r="AY80" s="107"/>
      <c r="AZ80" s="75"/>
      <c r="BA80" s="75"/>
      <c r="BB80" s="97"/>
      <c r="BC80" s="104"/>
      <c r="BD80" s="104"/>
      <c r="BE80" s="104"/>
      <c r="BF80" s="111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7"/>
      <c r="BS80" s="107"/>
      <c r="BT80" s="107"/>
      <c r="BU80" s="107"/>
      <c r="BV80" s="107"/>
      <c r="BW80" s="107"/>
      <c r="BX80" s="75"/>
      <c r="BY80" s="75"/>
      <c r="BZ80" s="75"/>
      <c r="CA80" s="75"/>
      <c r="CB80" s="75"/>
      <c r="CC80" s="75"/>
      <c r="CD80" s="75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</row>
    <row r="81" spans="1:120" x14ac:dyDescent="0.25">
      <c r="A81" s="4">
        <v>46114</v>
      </c>
      <c r="B81" t="s">
        <v>356</v>
      </c>
      <c r="C81" t="s">
        <v>388</v>
      </c>
      <c r="D81">
        <v>3</v>
      </c>
      <c r="E81">
        <v>0</v>
      </c>
      <c r="F81" t="s">
        <v>347</v>
      </c>
      <c r="G81">
        <v>1.71</v>
      </c>
      <c r="H81">
        <v>3.6</v>
      </c>
      <c r="I81">
        <v>4.75</v>
      </c>
      <c r="J81" s="68">
        <f t="shared" si="42"/>
        <v>3</v>
      </c>
      <c r="K81" s="68">
        <f t="shared" si="43"/>
        <v>0</v>
      </c>
      <c r="L81" s="69">
        <f t="shared" si="44"/>
        <v>0.63157894736842102</v>
      </c>
      <c r="M81" s="69">
        <f t="shared" si="45"/>
        <v>0</v>
      </c>
      <c r="N81" s="69">
        <f>IF(A81="","",Tabela1[[#This Row],[PTC]]*Tabela1[[#This Row],[ODDC]])</f>
        <v>5.13</v>
      </c>
      <c r="O81" s="69">
        <f>IF(A81="","",Tabela1[[#This Row],[PTV]]*Tabela1[[#This Row],[ODDV]])</f>
        <v>0</v>
      </c>
      <c r="P81" s="68">
        <f t="shared" si="46"/>
        <v>3</v>
      </c>
      <c r="Q81" s="68">
        <f t="shared" si="47"/>
        <v>-3</v>
      </c>
      <c r="R81" s="68">
        <f t="shared" si="48"/>
        <v>0.71</v>
      </c>
      <c r="S81" s="68">
        <f t="shared" si="49"/>
        <v>-1</v>
      </c>
      <c r="T81" s="68">
        <f>IF(A81="","",IF(F81="D",Tabela1[[#This Row],[ODDE]]-1,-1))</f>
        <v>-1</v>
      </c>
      <c r="U81" s="70">
        <f>IF(A81="","",IF(AND(Tabela1[[#This Row],[FTHG]]&gt;3,F81="H"),1,0))</f>
        <v>0</v>
      </c>
      <c r="V81" s="70">
        <f>IF(A81="","",IF(AND(Tabela1[[#This Row],[FTAG]]&gt;3,F81="A"),1,0))</f>
        <v>0</v>
      </c>
      <c r="W81" s="70">
        <f t="shared" si="50"/>
        <v>1</v>
      </c>
      <c r="X81" s="70">
        <f t="shared" si="51"/>
        <v>1</v>
      </c>
      <c r="Y81" s="71">
        <f t="shared" si="52"/>
        <v>1</v>
      </c>
      <c r="Z81" s="70">
        <f t="shared" si="53"/>
        <v>0</v>
      </c>
      <c r="AA81" s="70">
        <f t="shared" si="54"/>
        <v>0</v>
      </c>
      <c r="AB81" s="70">
        <f t="shared" si="55"/>
        <v>0</v>
      </c>
      <c r="AC81" s="71">
        <f t="shared" si="56"/>
        <v>0</v>
      </c>
      <c r="AD81" s="72" t="str">
        <f t="shared" si="57"/>
        <v>ABR</v>
      </c>
      <c r="AE81" s="73">
        <f>IF(A81="","",COUNT($N$2:N81))</f>
        <v>80</v>
      </c>
      <c r="AF81" s="74">
        <f t="shared" si="58"/>
        <v>1</v>
      </c>
      <c r="AG81" s="74">
        <f t="shared" si="59"/>
        <v>0</v>
      </c>
      <c r="AH81" s="74">
        <f t="shared" si="60"/>
        <v>0</v>
      </c>
      <c r="AI81" s="74" t="str">
        <f t="shared" si="61"/>
        <v>1,71-2,0</v>
      </c>
      <c r="AJ81" s="74" t="str">
        <f t="shared" si="62"/>
        <v>4,01-5,5</v>
      </c>
      <c r="AK81" s="74">
        <f>IF(A81="","",1/Tabela1[[#This Row],[ODDC]])</f>
        <v>0.58479532163742687</v>
      </c>
      <c r="AL81" s="74">
        <f>IF(A81="","",1/Tabela1[[#This Row],[ODDE]])</f>
        <v>0.27777777777777779</v>
      </c>
      <c r="AM81" s="74">
        <f>IF(A81="","",1/Tabela1[[#This Row],[ODDV]])</f>
        <v>0.21052631578947367</v>
      </c>
      <c r="AN81" s="74">
        <f>IF(A81="","",1-(Tabela1[[#This Row],[p(H)]]+Tabela1[[#This Row],[p(D)]]+Tabela1[[#This Row],[p(A)]]))</f>
        <v>-7.309941520467822E-2</v>
      </c>
      <c r="AO81" s="74">
        <f>IF(A81="","",IFERROR(Tabela1[[#This Row],[p(H)]]/Tabela1[[#This Row],[FTHG]],1))</f>
        <v>0.19493177387914229</v>
      </c>
      <c r="AP81" s="74">
        <f>IF(A81="","",IFERROR(Tabela1[[#This Row],[p(A)]]/Tabela1[[#This Row],[FTAG]],1))</f>
        <v>1</v>
      </c>
      <c r="AQ81" s="107"/>
      <c r="AR81" s="107"/>
      <c r="AS81" s="107"/>
      <c r="AT81" s="107"/>
      <c r="AU81" s="107"/>
      <c r="AV81" s="107"/>
      <c r="AW81" s="107"/>
      <c r="AX81" s="107"/>
      <c r="AY81" s="107"/>
      <c r="AZ81" s="75"/>
      <c r="BA81" s="75"/>
      <c r="BB81" s="97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20"/>
      <c r="BP81" s="104"/>
      <c r="BQ81" s="104"/>
      <c r="BR81" s="107"/>
      <c r="BS81" s="107"/>
      <c r="BT81" s="107"/>
      <c r="BU81" s="107"/>
      <c r="BV81" s="107"/>
      <c r="BW81" s="107"/>
      <c r="BX81" s="75"/>
      <c r="BY81" s="75"/>
      <c r="BZ81" s="75"/>
      <c r="CA81" s="75"/>
      <c r="CB81" s="75"/>
      <c r="CC81" s="75"/>
      <c r="CD81" s="75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</row>
    <row r="82" spans="1:120" x14ac:dyDescent="0.25">
      <c r="A82" s="4">
        <v>46114</v>
      </c>
      <c r="B82" t="s">
        <v>358</v>
      </c>
      <c r="C82" t="s">
        <v>381</v>
      </c>
      <c r="D82">
        <v>3</v>
      </c>
      <c r="E82">
        <v>0</v>
      </c>
      <c r="F82" t="s">
        <v>347</v>
      </c>
      <c r="G82">
        <v>1.49</v>
      </c>
      <c r="H82">
        <v>4.0999999999999996</v>
      </c>
      <c r="I82">
        <v>6</v>
      </c>
      <c r="J82" s="68">
        <f t="shared" si="42"/>
        <v>3</v>
      </c>
      <c r="K82" s="68">
        <f t="shared" si="43"/>
        <v>0</v>
      </c>
      <c r="L82" s="69">
        <f t="shared" si="44"/>
        <v>0.5</v>
      </c>
      <c r="M82" s="69">
        <f t="shared" si="45"/>
        <v>0</v>
      </c>
      <c r="N82" s="69">
        <f>IF(A82="","",Tabela1[[#This Row],[PTC]]*Tabela1[[#This Row],[ODDC]])</f>
        <v>4.47</v>
      </c>
      <c r="O82" s="69">
        <f>IF(A82="","",Tabela1[[#This Row],[PTV]]*Tabela1[[#This Row],[ODDV]])</f>
        <v>0</v>
      </c>
      <c r="P82" s="68">
        <f t="shared" si="46"/>
        <v>3</v>
      </c>
      <c r="Q82" s="68">
        <f t="shared" si="47"/>
        <v>-3</v>
      </c>
      <c r="R82" s="68">
        <f t="shared" si="48"/>
        <v>0.49</v>
      </c>
      <c r="S82" s="68">
        <f t="shared" si="49"/>
        <v>-1</v>
      </c>
      <c r="T82" s="68">
        <f>IF(A82="","",IF(F82="D",Tabela1[[#This Row],[ODDE]]-1,-1))</f>
        <v>-1</v>
      </c>
      <c r="U82" s="70">
        <f>IF(A82="","",IF(AND(Tabela1[[#This Row],[FTHG]]&gt;3,F82="H"),1,0))</f>
        <v>0</v>
      </c>
      <c r="V82" s="70">
        <f>IF(A82="","",IF(AND(Tabela1[[#This Row],[FTAG]]&gt;3,F82="A"),1,0))</f>
        <v>0</v>
      </c>
      <c r="W82" s="70">
        <f t="shared" si="50"/>
        <v>1</v>
      </c>
      <c r="X82" s="70">
        <f t="shared" si="51"/>
        <v>1</v>
      </c>
      <c r="Y82" s="71">
        <f t="shared" si="52"/>
        <v>1</v>
      </c>
      <c r="Z82" s="70">
        <f t="shared" si="53"/>
        <v>0</v>
      </c>
      <c r="AA82" s="70">
        <f t="shared" si="54"/>
        <v>0</v>
      </c>
      <c r="AB82" s="70">
        <f t="shared" si="55"/>
        <v>0</v>
      </c>
      <c r="AC82" s="71">
        <f t="shared" si="56"/>
        <v>0</v>
      </c>
      <c r="AD82" s="72" t="str">
        <f t="shared" si="57"/>
        <v>ABR</v>
      </c>
      <c r="AE82" s="73">
        <f>IF(A82="","",COUNT($N$2:N82))</f>
        <v>81</v>
      </c>
      <c r="AF82" s="74">
        <f t="shared" si="58"/>
        <v>1</v>
      </c>
      <c r="AG82" s="74">
        <f t="shared" si="59"/>
        <v>0</v>
      </c>
      <c r="AH82" s="74">
        <f t="shared" si="60"/>
        <v>0</v>
      </c>
      <c r="AI82" s="74" t="str">
        <f t="shared" si="61"/>
        <v>1,41-1,7</v>
      </c>
      <c r="AJ82" s="74" t="str">
        <f t="shared" si="62"/>
        <v>5,51-9,0</v>
      </c>
      <c r="AK82" s="74">
        <f>IF(A82="","",1/Tabela1[[#This Row],[ODDC]])</f>
        <v>0.67114093959731547</v>
      </c>
      <c r="AL82" s="74">
        <f>IF(A82="","",1/Tabela1[[#This Row],[ODDE]])</f>
        <v>0.24390243902439027</v>
      </c>
      <c r="AM82" s="74">
        <f>IF(A82="","",1/Tabela1[[#This Row],[ODDV]])</f>
        <v>0.16666666666666666</v>
      </c>
      <c r="AN82" s="74">
        <f>IF(A82="","",1-(Tabela1[[#This Row],[p(H)]]+Tabela1[[#This Row],[p(D)]]+Tabela1[[#This Row],[p(A)]]))</f>
        <v>-8.1710045288372335E-2</v>
      </c>
      <c r="AO82" s="74">
        <f>IF(A82="","",IFERROR(Tabela1[[#This Row],[p(H)]]/Tabela1[[#This Row],[FTHG]],1))</f>
        <v>0.2237136465324385</v>
      </c>
      <c r="AP82" s="74">
        <f>IF(A82="","",IFERROR(Tabela1[[#This Row],[p(A)]]/Tabela1[[#This Row],[FTAG]],1))</f>
        <v>1</v>
      </c>
      <c r="AQ82" s="107"/>
      <c r="AR82" s="107"/>
      <c r="AS82" s="107"/>
      <c r="AT82" s="107"/>
      <c r="AU82" s="107"/>
      <c r="AV82" s="107"/>
      <c r="AW82" s="107"/>
      <c r="AX82" s="107"/>
      <c r="AY82" s="107"/>
      <c r="AZ82" s="75"/>
      <c r="BA82" s="75"/>
      <c r="BB82" s="97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20"/>
      <c r="BP82" s="104"/>
      <c r="BQ82" s="104"/>
      <c r="BR82" s="107"/>
      <c r="BS82" s="107"/>
      <c r="BT82" s="107"/>
      <c r="BU82" s="107"/>
      <c r="BV82" s="107"/>
      <c r="BW82" s="107"/>
      <c r="BX82" s="75"/>
      <c r="BY82" s="75"/>
      <c r="BZ82" s="75"/>
      <c r="CA82" s="75"/>
      <c r="CB82" s="75"/>
      <c r="CC82" s="75"/>
      <c r="CD82" s="75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</row>
    <row r="83" spans="1:120" x14ac:dyDescent="0.25">
      <c r="A83" s="4">
        <v>46114</v>
      </c>
      <c r="B83" t="s">
        <v>387</v>
      </c>
      <c r="C83" t="s">
        <v>360</v>
      </c>
      <c r="D83">
        <v>1</v>
      </c>
      <c r="E83">
        <v>1</v>
      </c>
      <c r="F83" t="s">
        <v>348</v>
      </c>
      <c r="G83">
        <v>2.75</v>
      </c>
      <c r="H83">
        <v>3</v>
      </c>
      <c r="I83">
        <v>2.75</v>
      </c>
      <c r="J83" s="68">
        <f t="shared" si="42"/>
        <v>1</v>
      </c>
      <c r="K83" s="68">
        <f t="shared" si="43"/>
        <v>1</v>
      </c>
      <c r="L83" s="69">
        <f t="shared" si="44"/>
        <v>0.36363636363636365</v>
      </c>
      <c r="M83" s="69">
        <f t="shared" si="45"/>
        <v>0.36363636363636365</v>
      </c>
      <c r="N83" s="69">
        <f>IF(A83="","",Tabela1[[#This Row],[PTC]]*Tabela1[[#This Row],[ODDC]])</f>
        <v>2.75</v>
      </c>
      <c r="O83" s="69">
        <f>IF(A83="","",Tabela1[[#This Row],[PTV]]*Tabela1[[#This Row],[ODDV]])</f>
        <v>2.75</v>
      </c>
      <c r="P83" s="68">
        <f t="shared" si="46"/>
        <v>0</v>
      </c>
      <c r="Q83" s="68">
        <f t="shared" si="47"/>
        <v>0</v>
      </c>
      <c r="R83" s="68">
        <f t="shared" si="48"/>
        <v>-1</v>
      </c>
      <c r="S83" s="68">
        <f t="shared" si="49"/>
        <v>-1</v>
      </c>
      <c r="T83" s="68">
        <f>IF(A83="","",IF(F83="D",Tabela1[[#This Row],[ODDE]]-1,-1))</f>
        <v>2</v>
      </c>
      <c r="U83" s="70">
        <f>IF(A83="","",IF(AND(Tabela1[[#This Row],[FTHG]]&gt;3,F83="H"),1,0))</f>
        <v>0</v>
      </c>
      <c r="V83" s="70">
        <f>IF(A83="","",IF(AND(Tabela1[[#This Row],[FTAG]]&gt;3,F83="A"),1,0))</f>
        <v>0</v>
      </c>
      <c r="W83" s="70">
        <f t="shared" si="50"/>
        <v>1</v>
      </c>
      <c r="X83" s="70">
        <f t="shared" si="51"/>
        <v>1</v>
      </c>
      <c r="Y83" s="71">
        <f t="shared" si="52"/>
        <v>0</v>
      </c>
      <c r="Z83" s="70">
        <f t="shared" si="53"/>
        <v>0</v>
      </c>
      <c r="AA83" s="70">
        <f t="shared" si="54"/>
        <v>0</v>
      </c>
      <c r="AB83" s="70">
        <f t="shared" si="55"/>
        <v>0</v>
      </c>
      <c r="AC83" s="71">
        <f t="shared" si="56"/>
        <v>1</v>
      </c>
      <c r="AD83" s="72" t="str">
        <f t="shared" si="57"/>
        <v>ABR</v>
      </c>
      <c r="AE83" s="73">
        <f>IF(A83="","",COUNT($N$2:N83))</f>
        <v>82</v>
      </c>
      <c r="AF83" s="74">
        <f t="shared" si="58"/>
        <v>0</v>
      </c>
      <c r="AG83" s="74">
        <f t="shared" si="59"/>
        <v>1</v>
      </c>
      <c r="AH83" s="74">
        <f t="shared" si="60"/>
        <v>0</v>
      </c>
      <c r="AI83" s="74" t="str">
        <f t="shared" si="61"/>
        <v>2,41-3,0</v>
      </c>
      <c r="AJ83" s="74" t="str">
        <f t="shared" si="62"/>
        <v>2,41-3,0</v>
      </c>
      <c r="AK83" s="74">
        <f>IF(A83="","",1/Tabela1[[#This Row],[ODDC]])</f>
        <v>0.36363636363636365</v>
      </c>
      <c r="AL83" s="74">
        <f>IF(A83="","",1/Tabela1[[#This Row],[ODDE]])</f>
        <v>0.33333333333333331</v>
      </c>
      <c r="AM83" s="74">
        <f>IF(A83="","",1/Tabela1[[#This Row],[ODDV]])</f>
        <v>0.36363636363636365</v>
      </c>
      <c r="AN83" s="74">
        <f>IF(A83="","",1-(Tabela1[[#This Row],[p(H)]]+Tabela1[[#This Row],[p(D)]]+Tabela1[[#This Row],[p(A)]]))</f>
        <v>-6.0606060606060552E-2</v>
      </c>
      <c r="AO83" s="74">
        <f>IF(A83="","",IFERROR(Tabela1[[#This Row],[p(H)]]/Tabela1[[#This Row],[FTHG]],1))</f>
        <v>0.36363636363636365</v>
      </c>
      <c r="AP83" s="74">
        <f>IF(A83="","",IFERROR(Tabela1[[#This Row],[p(A)]]/Tabela1[[#This Row],[FTAG]],1))</f>
        <v>0.36363636363636365</v>
      </c>
      <c r="AQ83" s="107"/>
      <c r="AR83" s="107"/>
      <c r="AS83" s="107"/>
      <c r="AT83" s="107"/>
      <c r="AU83" s="107"/>
      <c r="AV83" s="107"/>
      <c r="AW83" s="107"/>
      <c r="AX83" s="107"/>
      <c r="AY83" s="107"/>
      <c r="AZ83" s="75"/>
      <c r="BA83" s="75"/>
      <c r="BB83" s="97"/>
      <c r="BC83" s="104"/>
      <c r="BD83" s="97"/>
      <c r="BE83" s="104"/>
      <c r="BF83" s="97"/>
      <c r="BG83" s="114"/>
      <c r="BH83" s="114"/>
      <c r="BI83" s="104"/>
      <c r="BJ83" s="104"/>
      <c r="BK83" s="104"/>
      <c r="BL83" s="104"/>
      <c r="BM83" s="104"/>
      <c r="BN83" s="104"/>
      <c r="BO83" s="120"/>
      <c r="BP83" s="104"/>
      <c r="BQ83" s="104"/>
      <c r="BR83" s="107"/>
      <c r="BS83" s="107"/>
      <c r="BT83" s="107"/>
      <c r="BU83" s="107"/>
      <c r="BV83" s="107"/>
      <c r="BW83" s="107"/>
      <c r="BX83" s="75"/>
      <c r="BY83" s="75"/>
      <c r="BZ83" s="75"/>
      <c r="CA83" s="75"/>
      <c r="CB83" s="75"/>
      <c r="CC83" s="75"/>
      <c r="CD83" s="75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</row>
    <row r="84" spans="1:120" x14ac:dyDescent="0.25">
      <c r="A84" s="4">
        <v>46114</v>
      </c>
      <c r="B84" t="s">
        <v>352</v>
      </c>
      <c r="C84" t="s">
        <v>357</v>
      </c>
      <c r="D84">
        <v>3</v>
      </c>
      <c r="E84">
        <v>1</v>
      </c>
      <c r="F84" t="s">
        <v>347</v>
      </c>
      <c r="G84">
        <v>1.81</v>
      </c>
      <c r="H84">
        <v>3.3</v>
      </c>
      <c r="I84">
        <v>4.75</v>
      </c>
      <c r="J84" s="68">
        <f t="shared" si="42"/>
        <v>3</v>
      </c>
      <c r="K84" s="68">
        <f t="shared" si="43"/>
        <v>0</v>
      </c>
      <c r="L84" s="69">
        <f t="shared" si="44"/>
        <v>0.63157894736842102</v>
      </c>
      <c r="M84" s="69">
        <f t="shared" si="45"/>
        <v>0.5524861878453039</v>
      </c>
      <c r="N84" s="69">
        <f>IF(A84="","",Tabela1[[#This Row],[PTC]]*Tabela1[[#This Row],[ODDC]])</f>
        <v>5.43</v>
      </c>
      <c r="O84" s="69">
        <f>IF(A84="","",Tabela1[[#This Row],[PTV]]*Tabela1[[#This Row],[ODDV]])</f>
        <v>0</v>
      </c>
      <c r="P84" s="68">
        <f t="shared" si="46"/>
        <v>2</v>
      </c>
      <c r="Q84" s="68">
        <f t="shared" si="47"/>
        <v>-2</v>
      </c>
      <c r="R84" s="68">
        <f t="shared" si="48"/>
        <v>0.81</v>
      </c>
      <c r="S84" s="68">
        <f t="shared" si="49"/>
        <v>-1</v>
      </c>
      <c r="T84" s="68">
        <f>IF(A84="","",IF(F84="D",Tabela1[[#This Row],[ODDE]]-1,-1))</f>
        <v>-1</v>
      </c>
      <c r="U84" s="70">
        <f>IF(A84="","",IF(AND(Tabela1[[#This Row],[FTHG]]&gt;3,F84="H"),1,0))</f>
        <v>0</v>
      </c>
      <c r="V84" s="70">
        <f>IF(A84="","",IF(AND(Tabela1[[#This Row],[FTAG]]&gt;3,F84="A"),1,0))</f>
        <v>0</v>
      </c>
      <c r="W84" s="70">
        <f t="shared" si="50"/>
        <v>1</v>
      </c>
      <c r="X84" s="70">
        <f t="shared" si="51"/>
        <v>1</v>
      </c>
      <c r="Y84" s="71">
        <f t="shared" si="52"/>
        <v>1</v>
      </c>
      <c r="Z84" s="70">
        <f t="shared" si="53"/>
        <v>1</v>
      </c>
      <c r="AA84" s="70">
        <f t="shared" si="54"/>
        <v>0</v>
      </c>
      <c r="AB84" s="70">
        <f t="shared" si="55"/>
        <v>0</v>
      </c>
      <c r="AC84" s="71">
        <f t="shared" si="56"/>
        <v>1</v>
      </c>
      <c r="AD84" s="72" t="str">
        <f t="shared" si="57"/>
        <v>ABR</v>
      </c>
      <c r="AE84" s="73">
        <f>IF(A84="","",COUNT($N$2:N84))</f>
        <v>83</v>
      </c>
      <c r="AF84" s="74">
        <f t="shared" si="58"/>
        <v>1</v>
      </c>
      <c r="AG84" s="74">
        <f t="shared" si="59"/>
        <v>0</v>
      </c>
      <c r="AH84" s="74">
        <f t="shared" si="60"/>
        <v>0</v>
      </c>
      <c r="AI84" s="74" t="str">
        <f t="shared" si="61"/>
        <v>1,71-2,0</v>
      </c>
      <c r="AJ84" s="74" t="str">
        <f t="shared" si="62"/>
        <v>4,01-5,5</v>
      </c>
      <c r="AK84" s="74">
        <f>IF(A84="","",1/Tabela1[[#This Row],[ODDC]])</f>
        <v>0.5524861878453039</v>
      </c>
      <c r="AL84" s="74">
        <f>IF(A84="","",1/Tabela1[[#This Row],[ODDE]])</f>
        <v>0.30303030303030304</v>
      </c>
      <c r="AM84" s="74">
        <f>IF(A84="","",1/Tabela1[[#This Row],[ODDV]])</f>
        <v>0.21052631578947367</v>
      </c>
      <c r="AN84" s="74">
        <f>IF(A84="","",1-(Tabela1[[#This Row],[p(H)]]+Tabela1[[#This Row],[p(D)]]+Tabela1[[#This Row],[p(A)]]))</f>
        <v>-6.6042806665080667E-2</v>
      </c>
      <c r="AO84" s="74">
        <f>IF(A84="","",IFERROR(Tabela1[[#This Row],[p(H)]]/Tabela1[[#This Row],[FTHG]],1))</f>
        <v>0.18416206261510129</v>
      </c>
      <c r="AP84" s="74">
        <f>IF(A84="","",IFERROR(Tabela1[[#This Row],[p(A)]]/Tabela1[[#This Row],[FTAG]],1))</f>
        <v>0.21052631578947367</v>
      </c>
      <c r="AQ84" s="107"/>
      <c r="AR84" s="107"/>
      <c r="AS84" s="107"/>
      <c r="AT84" s="107"/>
      <c r="AU84" s="107"/>
      <c r="AV84" s="107"/>
      <c r="AW84" s="107"/>
      <c r="AX84" s="107"/>
      <c r="AY84" s="107"/>
      <c r="AZ84" s="75"/>
      <c r="BA84" s="75"/>
      <c r="BB84" s="97"/>
      <c r="BC84" s="104"/>
      <c r="BD84" s="97"/>
      <c r="BE84" s="104"/>
      <c r="BF84" s="97"/>
      <c r="BG84" s="114"/>
      <c r="BH84" s="11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7"/>
      <c r="BS84" s="107"/>
      <c r="BT84" s="107"/>
      <c r="BU84" s="107"/>
      <c r="BV84" s="107"/>
      <c r="BW84" s="107"/>
      <c r="BX84" s="75"/>
      <c r="BY84" s="75"/>
      <c r="BZ84" s="75"/>
      <c r="CA84" s="75"/>
      <c r="CB84" s="75"/>
      <c r="CC84" s="75"/>
      <c r="CD84" s="75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</row>
    <row r="85" spans="1:120" x14ac:dyDescent="0.25">
      <c r="A85" s="4">
        <v>46114</v>
      </c>
      <c r="B85" t="s">
        <v>390</v>
      </c>
      <c r="C85" t="s">
        <v>359</v>
      </c>
      <c r="D85">
        <v>0</v>
      </c>
      <c r="E85">
        <v>4</v>
      </c>
      <c r="F85" t="s">
        <v>346</v>
      </c>
      <c r="G85">
        <v>3.4</v>
      </c>
      <c r="H85">
        <v>3.2</v>
      </c>
      <c r="I85">
        <v>2.2000000000000002</v>
      </c>
      <c r="J85" s="68">
        <f t="shared" si="42"/>
        <v>0</v>
      </c>
      <c r="K85" s="68">
        <f t="shared" si="43"/>
        <v>3</v>
      </c>
      <c r="L85" s="69">
        <f t="shared" si="44"/>
        <v>0</v>
      </c>
      <c r="M85" s="69">
        <f t="shared" si="45"/>
        <v>1.1764705882352942</v>
      </c>
      <c r="N85" s="69">
        <f>IF(A85="","",Tabela1[[#This Row],[PTC]]*Tabela1[[#This Row],[ODDC]])</f>
        <v>0</v>
      </c>
      <c r="O85" s="69">
        <f>IF(A85="","",Tabela1[[#This Row],[PTV]]*Tabela1[[#This Row],[ODDV]])</f>
        <v>6.6000000000000005</v>
      </c>
      <c r="P85" s="68">
        <f t="shared" si="46"/>
        <v>-4</v>
      </c>
      <c r="Q85" s="68">
        <f t="shared" si="47"/>
        <v>4</v>
      </c>
      <c r="R85" s="68">
        <f t="shared" si="48"/>
        <v>-1</v>
      </c>
      <c r="S85" s="68">
        <f t="shared" si="49"/>
        <v>1.2000000000000002</v>
      </c>
      <c r="T85" s="68">
        <f>IF(A85="","",IF(F85="D",Tabela1[[#This Row],[ODDE]]-1,-1))</f>
        <v>-1</v>
      </c>
      <c r="U85" s="70">
        <f>IF(A85="","",IF(AND(Tabela1[[#This Row],[FTHG]]&gt;3,F85="H"),1,0))</f>
        <v>0</v>
      </c>
      <c r="V85" s="70">
        <f>IF(A85="","",IF(AND(Tabela1[[#This Row],[FTAG]]&gt;3,F85="A"),1,0))</f>
        <v>1</v>
      </c>
      <c r="W85" s="70">
        <f t="shared" si="50"/>
        <v>1</v>
      </c>
      <c r="X85" s="70">
        <f t="shared" si="51"/>
        <v>1</v>
      </c>
      <c r="Y85" s="71">
        <f t="shared" si="52"/>
        <v>1</v>
      </c>
      <c r="Z85" s="70">
        <f t="shared" si="53"/>
        <v>1</v>
      </c>
      <c r="AA85" s="70">
        <f t="shared" si="54"/>
        <v>0</v>
      </c>
      <c r="AB85" s="70">
        <f t="shared" si="55"/>
        <v>0</v>
      </c>
      <c r="AC85" s="71">
        <f t="shared" si="56"/>
        <v>0</v>
      </c>
      <c r="AD85" s="72" t="str">
        <f t="shared" si="57"/>
        <v>ABR</v>
      </c>
      <c r="AE85" s="73">
        <f>IF(A85="","",COUNT($N$2:N85))</f>
        <v>84</v>
      </c>
      <c r="AF85" s="74">
        <f t="shared" si="58"/>
        <v>0</v>
      </c>
      <c r="AG85" s="74">
        <f t="shared" si="59"/>
        <v>0</v>
      </c>
      <c r="AH85" s="74">
        <f t="shared" si="60"/>
        <v>1</v>
      </c>
      <c r="AI85" s="74" t="str">
        <f t="shared" si="61"/>
        <v>3,01-4.0</v>
      </c>
      <c r="AJ85" s="74" t="str">
        <f t="shared" si="62"/>
        <v>2,01-2,4</v>
      </c>
      <c r="AK85" s="74">
        <f>IF(A85="","",1/Tabela1[[#This Row],[ODDC]])</f>
        <v>0.29411764705882354</v>
      </c>
      <c r="AL85" s="74">
        <f>IF(A85="","",1/Tabela1[[#This Row],[ODDE]])</f>
        <v>0.3125</v>
      </c>
      <c r="AM85" s="74">
        <f>IF(A85="","",1/Tabela1[[#This Row],[ODDV]])</f>
        <v>0.45454545454545453</v>
      </c>
      <c r="AN85" s="74">
        <f>IF(A85="","",1-(Tabela1[[#This Row],[p(H)]]+Tabela1[[#This Row],[p(D)]]+Tabela1[[#This Row],[p(A)]]))</f>
        <v>-6.1163101604278181E-2</v>
      </c>
      <c r="AO85" s="74">
        <f>IF(A85="","",IFERROR(Tabela1[[#This Row],[p(H)]]/Tabela1[[#This Row],[FTHG]],1))</f>
        <v>1</v>
      </c>
      <c r="AP85" s="74">
        <f>IF(A85="","",IFERROR(Tabela1[[#This Row],[p(A)]]/Tabela1[[#This Row],[FTAG]],1))</f>
        <v>0.11363636363636363</v>
      </c>
      <c r="AQ85" s="107"/>
      <c r="AR85" s="107"/>
      <c r="AS85" s="107"/>
      <c r="AT85" s="107"/>
      <c r="AU85" s="107"/>
      <c r="AV85" s="107"/>
      <c r="AW85" s="107"/>
      <c r="AX85" s="107"/>
      <c r="AY85" s="107"/>
      <c r="AZ85" s="75"/>
      <c r="BA85" s="75"/>
      <c r="BB85" s="97"/>
      <c r="BC85" s="104"/>
      <c r="BD85" s="97"/>
      <c r="BE85" s="104"/>
      <c r="BF85" s="97"/>
      <c r="BG85" s="114"/>
      <c r="BH85" s="11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7"/>
      <c r="BS85" s="107"/>
      <c r="BT85" s="107"/>
      <c r="BU85" s="107"/>
      <c r="BV85" s="107"/>
      <c r="BW85" s="107"/>
      <c r="BX85" s="75"/>
      <c r="BY85" s="75"/>
      <c r="BZ85" s="75"/>
      <c r="CA85" s="75"/>
      <c r="CB85" s="75"/>
      <c r="CC85" s="75"/>
      <c r="CD85" s="75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</row>
    <row r="86" spans="1:120" x14ac:dyDescent="0.25">
      <c r="A86" s="4">
        <v>46114</v>
      </c>
      <c r="B86" t="s">
        <v>362</v>
      </c>
      <c r="C86" t="s">
        <v>389</v>
      </c>
      <c r="D86">
        <v>2</v>
      </c>
      <c r="E86">
        <v>0</v>
      </c>
      <c r="F86" t="s">
        <v>347</v>
      </c>
      <c r="G86">
        <v>1.61</v>
      </c>
      <c r="H86">
        <v>3.7</v>
      </c>
      <c r="I86">
        <v>5.75</v>
      </c>
      <c r="J86" s="68">
        <f t="shared" si="42"/>
        <v>3</v>
      </c>
      <c r="K86" s="68">
        <f t="shared" si="43"/>
        <v>0</v>
      </c>
      <c r="L86" s="69">
        <f t="shared" si="44"/>
        <v>0.34782608695652173</v>
      </c>
      <c r="M86" s="69">
        <f t="shared" si="45"/>
        <v>0</v>
      </c>
      <c r="N86" s="69">
        <f>IF(A86="","",Tabela1[[#This Row],[PTC]]*Tabela1[[#This Row],[ODDC]])</f>
        <v>4.83</v>
      </c>
      <c r="O86" s="69">
        <f>IF(A86="","",Tabela1[[#This Row],[PTV]]*Tabela1[[#This Row],[ODDV]])</f>
        <v>0</v>
      </c>
      <c r="P86" s="68">
        <f t="shared" si="46"/>
        <v>2</v>
      </c>
      <c r="Q86" s="68">
        <f t="shared" si="47"/>
        <v>-2</v>
      </c>
      <c r="R86" s="68">
        <f t="shared" si="48"/>
        <v>0.6100000000000001</v>
      </c>
      <c r="S86" s="68">
        <f t="shared" si="49"/>
        <v>-1</v>
      </c>
      <c r="T86" s="68">
        <f>IF(A86="","",IF(F86="D",Tabela1[[#This Row],[ODDE]]-1,-1))</f>
        <v>-1</v>
      </c>
      <c r="U86" s="70">
        <f>IF(A86="","",IF(AND(Tabela1[[#This Row],[FTHG]]&gt;3,F86="H"),1,0))</f>
        <v>0</v>
      </c>
      <c r="V86" s="70">
        <f>IF(A86="","",IF(AND(Tabela1[[#This Row],[FTAG]]&gt;3,F86="A"),1,0))</f>
        <v>0</v>
      </c>
      <c r="W86" s="70">
        <f t="shared" si="50"/>
        <v>1</v>
      </c>
      <c r="X86" s="70">
        <f t="shared" si="51"/>
        <v>1</v>
      </c>
      <c r="Y86" s="71">
        <f t="shared" si="52"/>
        <v>0</v>
      </c>
      <c r="Z86" s="70">
        <f t="shared" si="53"/>
        <v>0</v>
      </c>
      <c r="AA86" s="70">
        <f t="shared" si="54"/>
        <v>0</v>
      </c>
      <c r="AB86" s="70">
        <f t="shared" si="55"/>
        <v>0</v>
      </c>
      <c r="AC86" s="71">
        <f t="shared" si="56"/>
        <v>0</v>
      </c>
      <c r="AD86" s="72" t="str">
        <f t="shared" si="57"/>
        <v>ABR</v>
      </c>
      <c r="AE86" s="73">
        <f>IF(A86="","",COUNT($N$2:N86))</f>
        <v>85</v>
      </c>
      <c r="AF86" s="74">
        <f t="shared" si="58"/>
        <v>1</v>
      </c>
      <c r="AG86" s="74">
        <f t="shared" si="59"/>
        <v>0</v>
      </c>
      <c r="AH86" s="74">
        <f t="shared" si="60"/>
        <v>0</v>
      </c>
      <c r="AI86" s="74" t="str">
        <f t="shared" si="61"/>
        <v>1,41-1,7</v>
      </c>
      <c r="AJ86" s="74" t="str">
        <f t="shared" si="62"/>
        <v>5,51-9,0</v>
      </c>
      <c r="AK86" s="74">
        <f>IF(A86="","",1/Tabela1[[#This Row],[ODDC]])</f>
        <v>0.6211180124223602</v>
      </c>
      <c r="AL86" s="74">
        <f>IF(A86="","",1/Tabela1[[#This Row],[ODDE]])</f>
        <v>0.27027027027027023</v>
      </c>
      <c r="AM86" s="74">
        <f>IF(A86="","",1/Tabela1[[#This Row],[ODDV]])</f>
        <v>0.17391304347826086</v>
      </c>
      <c r="AN86" s="74">
        <f>IF(A86="","",1-(Tabela1[[#This Row],[p(H)]]+Tabela1[[#This Row],[p(D)]]+Tabela1[[#This Row],[p(A)]]))</f>
        <v>-6.5301326170891461E-2</v>
      </c>
      <c r="AO86" s="74">
        <f>IF(A86="","",IFERROR(Tabela1[[#This Row],[p(H)]]/Tabela1[[#This Row],[FTHG]],1))</f>
        <v>0.3105590062111801</v>
      </c>
      <c r="AP86" s="74">
        <f>IF(A86="","",IFERROR(Tabela1[[#This Row],[p(A)]]/Tabela1[[#This Row],[FTAG]],1))</f>
        <v>1</v>
      </c>
      <c r="AQ86" s="107"/>
      <c r="AR86" s="107"/>
      <c r="AS86" s="107"/>
      <c r="AT86" s="107"/>
      <c r="AU86" s="107"/>
      <c r="AV86" s="107"/>
      <c r="AW86" s="107"/>
      <c r="AX86" s="107"/>
      <c r="AY86" s="107"/>
      <c r="AZ86" s="75"/>
      <c r="BA86" s="75"/>
      <c r="BB86" s="97"/>
      <c r="BC86" s="104"/>
      <c r="BD86" s="97"/>
      <c r="BE86" s="104"/>
      <c r="BF86" s="97"/>
      <c r="BG86" s="114"/>
      <c r="BH86" s="114"/>
      <c r="BI86" s="104"/>
      <c r="BJ86" s="104"/>
      <c r="BK86" s="121"/>
      <c r="BL86" s="104"/>
      <c r="BM86" s="104"/>
      <c r="BN86" s="118"/>
      <c r="BO86" s="104"/>
      <c r="BP86" s="104"/>
      <c r="BQ86" s="104"/>
      <c r="BR86" s="107"/>
      <c r="BS86" s="107"/>
      <c r="BT86" s="107"/>
      <c r="BU86" s="107"/>
      <c r="BV86" s="107"/>
      <c r="BW86" s="107"/>
      <c r="BX86" s="75"/>
      <c r="BY86" s="75"/>
      <c r="BZ86" s="75"/>
      <c r="CA86" s="75"/>
      <c r="CB86" s="75"/>
      <c r="CC86" s="75"/>
      <c r="CD86" s="75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</row>
    <row r="87" spans="1:120" x14ac:dyDescent="0.25">
      <c r="A87" s="4">
        <v>46115</v>
      </c>
      <c r="B87" t="s">
        <v>355</v>
      </c>
      <c r="C87" t="s">
        <v>363</v>
      </c>
      <c r="D87">
        <v>3</v>
      </c>
      <c r="E87">
        <v>0</v>
      </c>
      <c r="F87" t="s">
        <v>347</v>
      </c>
      <c r="G87">
        <v>3.8</v>
      </c>
      <c r="H87">
        <v>3.2</v>
      </c>
      <c r="I87">
        <v>2.0499999999999998</v>
      </c>
      <c r="J87" s="68">
        <f t="shared" si="42"/>
        <v>3</v>
      </c>
      <c r="K87" s="68">
        <f t="shared" si="43"/>
        <v>0</v>
      </c>
      <c r="L87" s="69">
        <f t="shared" si="44"/>
        <v>1.4634146341463417</v>
      </c>
      <c r="M87" s="69">
        <f t="shared" si="45"/>
        <v>0</v>
      </c>
      <c r="N87" s="69">
        <f>IF(A87="","",Tabela1[[#This Row],[PTC]]*Tabela1[[#This Row],[ODDC]])</f>
        <v>11.399999999999999</v>
      </c>
      <c r="O87" s="69">
        <f>IF(A87="","",Tabela1[[#This Row],[PTV]]*Tabela1[[#This Row],[ODDV]])</f>
        <v>0</v>
      </c>
      <c r="P87" s="68">
        <f t="shared" si="46"/>
        <v>3</v>
      </c>
      <c r="Q87" s="68">
        <f t="shared" si="47"/>
        <v>-3</v>
      </c>
      <c r="R87" s="68">
        <f t="shared" si="48"/>
        <v>2.8</v>
      </c>
      <c r="S87" s="68">
        <f t="shared" si="49"/>
        <v>-1</v>
      </c>
      <c r="T87" s="68">
        <f>IF(A87="","",IF(F87="D",Tabela1[[#This Row],[ODDE]]-1,-1))</f>
        <v>-1</v>
      </c>
      <c r="U87" s="70">
        <f>IF(A87="","",IF(AND(Tabela1[[#This Row],[FTHG]]&gt;3,F87="H"),1,0))</f>
        <v>0</v>
      </c>
      <c r="V87" s="70">
        <f>IF(A87="","",IF(AND(Tabela1[[#This Row],[FTAG]]&gt;3,F87="A"),1,0))</f>
        <v>0</v>
      </c>
      <c r="W87" s="70">
        <f t="shared" si="50"/>
        <v>1</v>
      </c>
      <c r="X87" s="70">
        <f t="shared" si="51"/>
        <v>1</v>
      </c>
      <c r="Y87" s="71">
        <f t="shared" si="52"/>
        <v>1</v>
      </c>
      <c r="Z87" s="70">
        <f t="shared" si="53"/>
        <v>0</v>
      </c>
      <c r="AA87" s="70">
        <f t="shared" si="54"/>
        <v>0</v>
      </c>
      <c r="AB87" s="70">
        <f t="shared" si="55"/>
        <v>0</v>
      </c>
      <c r="AC87" s="71">
        <f t="shared" si="56"/>
        <v>0</v>
      </c>
      <c r="AD87" s="72" t="str">
        <f t="shared" si="57"/>
        <v>ABR</v>
      </c>
      <c r="AE87" s="73">
        <f>IF(A87="","",COUNT($N$2:N87))</f>
        <v>86</v>
      </c>
      <c r="AF87" s="74">
        <f t="shared" si="58"/>
        <v>1</v>
      </c>
      <c r="AG87" s="74">
        <f t="shared" si="59"/>
        <v>0</v>
      </c>
      <c r="AH87" s="74">
        <f t="shared" si="60"/>
        <v>0</v>
      </c>
      <c r="AI87" s="74" t="str">
        <f t="shared" si="61"/>
        <v>3,01-4.0</v>
      </c>
      <c r="AJ87" s="74" t="str">
        <f t="shared" si="62"/>
        <v>2,01-2,4</v>
      </c>
      <c r="AK87" s="74">
        <f>IF(A87="","",1/Tabela1[[#This Row],[ODDC]])</f>
        <v>0.26315789473684209</v>
      </c>
      <c r="AL87" s="74">
        <f>IF(A87="","",1/Tabela1[[#This Row],[ODDE]])</f>
        <v>0.3125</v>
      </c>
      <c r="AM87" s="74">
        <f>IF(A87="","",1/Tabela1[[#This Row],[ODDV]])</f>
        <v>0.48780487804878053</v>
      </c>
      <c r="AN87" s="74">
        <f>IF(A87="","",1-(Tabela1[[#This Row],[p(H)]]+Tabela1[[#This Row],[p(D)]]+Tabela1[[#This Row],[p(A)]]))</f>
        <v>-6.3462772785622512E-2</v>
      </c>
      <c r="AO87" s="74">
        <f>IF(A87="","",IFERROR(Tabela1[[#This Row],[p(H)]]/Tabela1[[#This Row],[FTHG]],1))</f>
        <v>8.771929824561403E-2</v>
      </c>
      <c r="AP87" s="74">
        <f>IF(A87="","",IFERROR(Tabela1[[#This Row],[p(A)]]/Tabela1[[#This Row],[FTAG]],1))</f>
        <v>1</v>
      </c>
      <c r="AQ87" s="107"/>
      <c r="AR87" s="107"/>
      <c r="AS87" s="107"/>
      <c r="AT87" s="107"/>
      <c r="AU87" s="107"/>
      <c r="AV87" s="107"/>
      <c r="AW87" s="107"/>
      <c r="AX87" s="107"/>
      <c r="AY87" s="107"/>
      <c r="AZ87" s="75"/>
      <c r="BA87" s="75"/>
      <c r="BB87" s="97"/>
      <c r="BC87" s="104"/>
      <c r="BD87" s="97"/>
      <c r="BE87" s="104"/>
      <c r="BF87" s="97"/>
      <c r="BG87" s="114"/>
      <c r="BH87" s="114"/>
      <c r="BI87" s="104"/>
      <c r="BJ87" s="104"/>
      <c r="BK87" s="104"/>
      <c r="BL87" s="104"/>
      <c r="BM87" s="104"/>
      <c r="BN87" s="104"/>
      <c r="BO87" s="122"/>
      <c r="BP87" s="104"/>
      <c r="BQ87" s="104"/>
      <c r="BR87" s="107"/>
      <c r="BS87" s="107"/>
      <c r="BT87" s="107"/>
      <c r="BU87" s="107"/>
      <c r="BV87" s="107"/>
      <c r="BW87" s="107"/>
      <c r="BX87" s="75"/>
      <c r="BY87" s="75"/>
      <c r="BZ87" s="75"/>
      <c r="CA87" s="75"/>
      <c r="CB87" s="75"/>
      <c r="CC87" s="75"/>
      <c r="CD87" s="75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</row>
    <row r="88" spans="1:120" x14ac:dyDescent="0.25">
      <c r="A88" s="4">
        <v>46115</v>
      </c>
      <c r="B88" t="s">
        <v>353</v>
      </c>
      <c r="C88" t="s">
        <v>361</v>
      </c>
      <c r="D88">
        <v>2</v>
      </c>
      <c r="E88">
        <v>1</v>
      </c>
      <c r="F88" t="s">
        <v>347</v>
      </c>
      <c r="G88">
        <v>1.51</v>
      </c>
      <c r="H88">
        <v>4.33</v>
      </c>
      <c r="I88">
        <v>6</v>
      </c>
      <c r="J88" s="68">
        <f t="shared" si="42"/>
        <v>3</v>
      </c>
      <c r="K88" s="68">
        <f t="shared" si="43"/>
        <v>0</v>
      </c>
      <c r="L88" s="69">
        <f t="shared" si="44"/>
        <v>0.33333333333333331</v>
      </c>
      <c r="M88" s="69">
        <f t="shared" si="45"/>
        <v>0.66225165562913912</v>
      </c>
      <c r="N88" s="69">
        <f>IF(A88="","",Tabela1[[#This Row],[PTC]]*Tabela1[[#This Row],[ODDC]])</f>
        <v>4.53</v>
      </c>
      <c r="O88" s="69">
        <f>IF(A88="","",Tabela1[[#This Row],[PTV]]*Tabela1[[#This Row],[ODDV]])</f>
        <v>0</v>
      </c>
      <c r="P88" s="68">
        <f t="shared" si="46"/>
        <v>1</v>
      </c>
      <c r="Q88" s="68">
        <f t="shared" si="47"/>
        <v>-1</v>
      </c>
      <c r="R88" s="68">
        <f t="shared" si="48"/>
        <v>0.51</v>
      </c>
      <c r="S88" s="68">
        <f t="shared" si="49"/>
        <v>-1</v>
      </c>
      <c r="T88" s="68">
        <f>IF(A88="","",IF(F88="D",Tabela1[[#This Row],[ODDE]]-1,-1))</f>
        <v>-1</v>
      </c>
      <c r="U88" s="70">
        <f>IF(A88="","",IF(AND(Tabela1[[#This Row],[FTHG]]&gt;3,F88="H"),1,0))</f>
        <v>0</v>
      </c>
      <c r="V88" s="70">
        <f>IF(A88="","",IF(AND(Tabela1[[#This Row],[FTAG]]&gt;3,F88="A"),1,0))</f>
        <v>0</v>
      </c>
      <c r="W88" s="70">
        <f t="shared" si="50"/>
        <v>1</v>
      </c>
      <c r="X88" s="70">
        <f t="shared" si="51"/>
        <v>1</v>
      </c>
      <c r="Y88" s="71">
        <f t="shared" si="52"/>
        <v>1</v>
      </c>
      <c r="Z88" s="70">
        <f t="shared" si="53"/>
        <v>0</v>
      </c>
      <c r="AA88" s="70">
        <f t="shared" si="54"/>
        <v>0</v>
      </c>
      <c r="AB88" s="70">
        <f t="shared" si="55"/>
        <v>0</v>
      </c>
      <c r="AC88" s="71">
        <f t="shared" si="56"/>
        <v>1</v>
      </c>
      <c r="AD88" s="72" t="str">
        <f t="shared" si="57"/>
        <v>ABR</v>
      </c>
      <c r="AE88" s="73">
        <f>IF(A88="","",COUNT($N$2:N88))</f>
        <v>87</v>
      </c>
      <c r="AF88" s="74">
        <f t="shared" si="58"/>
        <v>1</v>
      </c>
      <c r="AG88" s="74">
        <f t="shared" si="59"/>
        <v>0</v>
      </c>
      <c r="AH88" s="74">
        <f t="shared" si="60"/>
        <v>0</v>
      </c>
      <c r="AI88" s="74" t="str">
        <f t="shared" si="61"/>
        <v>1,41-1,7</v>
      </c>
      <c r="AJ88" s="74" t="str">
        <f t="shared" si="62"/>
        <v>5,51-9,0</v>
      </c>
      <c r="AK88" s="74">
        <f>IF(A88="","",1/Tabela1[[#This Row],[ODDC]])</f>
        <v>0.66225165562913912</v>
      </c>
      <c r="AL88" s="74">
        <f>IF(A88="","",1/Tabela1[[#This Row],[ODDE]])</f>
        <v>0.23094688221709006</v>
      </c>
      <c r="AM88" s="74">
        <f>IF(A88="","",1/Tabela1[[#This Row],[ODDV]])</f>
        <v>0.16666666666666666</v>
      </c>
      <c r="AN88" s="74">
        <f>IF(A88="","",1-(Tabela1[[#This Row],[p(H)]]+Tabela1[[#This Row],[p(D)]]+Tabela1[[#This Row],[p(A)]]))</f>
        <v>-5.9865204512895787E-2</v>
      </c>
      <c r="AO88" s="74">
        <f>IF(A88="","",IFERROR(Tabela1[[#This Row],[p(H)]]/Tabela1[[#This Row],[FTHG]],1))</f>
        <v>0.33112582781456956</v>
      </c>
      <c r="AP88" s="74">
        <f>IF(A88="","",IFERROR(Tabela1[[#This Row],[p(A)]]/Tabela1[[#This Row],[FTAG]],1))</f>
        <v>0.16666666666666666</v>
      </c>
      <c r="AQ88" s="107"/>
      <c r="AR88" s="107"/>
      <c r="AS88" s="107"/>
      <c r="AT88" s="107"/>
      <c r="AU88" s="107"/>
      <c r="AV88" s="107"/>
      <c r="AW88" s="107"/>
      <c r="AX88" s="107"/>
      <c r="AY88" s="107"/>
      <c r="AZ88" s="75"/>
      <c r="BA88" s="75"/>
      <c r="BB88" s="97"/>
      <c r="BC88" s="104"/>
      <c r="BD88" s="97"/>
      <c r="BE88" s="104"/>
      <c r="BF88" s="97"/>
      <c r="BG88" s="114"/>
      <c r="BH88" s="11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7"/>
      <c r="BS88" s="107"/>
      <c r="BT88" s="107"/>
      <c r="BU88" s="107"/>
      <c r="BV88" s="107"/>
      <c r="BW88" s="107"/>
      <c r="BX88" s="75"/>
      <c r="BY88" s="75"/>
      <c r="BZ88" s="75"/>
      <c r="CA88" s="75"/>
      <c r="CB88" s="75"/>
      <c r="CC88" s="75"/>
      <c r="CD88" s="75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</row>
    <row r="89" spans="1:120" x14ac:dyDescent="0.25">
      <c r="A89" s="4">
        <v>46116</v>
      </c>
      <c r="B89" t="s">
        <v>351</v>
      </c>
      <c r="C89" t="s">
        <v>358</v>
      </c>
      <c r="D89">
        <v>4</v>
      </c>
      <c r="E89">
        <v>1</v>
      </c>
      <c r="F89" t="s">
        <v>347</v>
      </c>
      <c r="G89">
        <v>2.15</v>
      </c>
      <c r="H89">
        <v>3.2</v>
      </c>
      <c r="I89">
        <v>3.5</v>
      </c>
      <c r="J89" s="68">
        <f t="shared" si="42"/>
        <v>3</v>
      </c>
      <c r="K89" s="68">
        <f t="shared" si="43"/>
        <v>0</v>
      </c>
      <c r="L89" s="69">
        <f t="shared" si="44"/>
        <v>1.1428571428571428</v>
      </c>
      <c r="M89" s="69">
        <f t="shared" si="45"/>
        <v>0.46511627906976744</v>
      </c>
      <c r="N89" s="69">
        <f>IF(A89="","",Tabela1[[#This Row],[PTC]]*Tabela1[[#This Row],[ODDC]])</f>
        <v>6.4499999999999993</v>
      </c>
      <c r="O89" s="69">
        <f>IF(A89="","",Tabela1[[#This Row],[PTV]]*Tabela1[[#This Row],[ODDV]])</f>
        <v>0</v>
      </c>
      <c r="P89" s="68">
        <f t="shared" si="46"/>
        <v>3</v>
      </c>
      <c r="Q89" s="68">
        <f t="shared" si="47"/>
        <v>-3</v>
      </c>
      <c r="R89" s="68">
        <f t="shared" si="48"/>
        <v>1.1499999999999999</v>
      </c>
      <c r="S89" s="68">
        <f t="shared" si="49"/>
        <v>-1</v>
      </c>
      <c r="T89" s="68">
        <f>IF(A89="","",IF(F89="D",Tabela1[[#This Row],[ODDE]]-1,-1))</f>
        <v>-1</v>
      </c>
      <c r="U89" s="70">
        <f>IF(A89="","",IF(AND(Tabela1[[#This Row],[FTHG]]&gt;3,F89="H"),1,0))</f>
        <v>1</v>
      </c>
      <c r="V89" s="70">
        <f>IF(A89="","",IF(AND(Tabela1[[#This Row],[FTAG]]&gt;3,F89="A"),1,0))</f>
        <v>0</v>
      </c>
      <c r="W89" s="70">
        <f t="shared" si="50"/>
        <v>1</v>
      </c>
      <c r="X89" s="70">
        <f t="shared" si="51"/>
        <v>1</v>
      </c>
      <c r="Y89" s="71">
        <f t="shared" si="52"/>
        <v>1</v>
      </c>
      <c r="Z89" s="70">
        <f t="shared" si="53"/>
        <v>1</v>
      </c>
      <c r="AA89" s="70">
        <f t="shared" si="54"/>
        <v>1</v>
      </c>
      <c r="AB89" s="70">
        <f t="shared" si="55"/>
        <v>0</v>
      </c>
      <c r="AC89" s="71">
        <f t="shared" si="56"/>
        <v>1</v>
      </c>
      <c r="AD89" s="72" t="str">
        <f t="shared" si="57"/>
        <v>ABR</v>
      </c>
      <c r="AE89" s="73">
        <f>IF(A89="","",COUNT($N$2:N89))</f>
        <v>88</v>
      </c>
      <c r="AF89" s="74">
        <f t="shared" si="58"/>
        <v>1</v>
      </c>
      <c r="AG89" s="74">
        <f t="shared" si="59"/>
        <v>0</v>
      </c>
      <c r="AH89" s="74">
        <f t="shared" si="60"/>
        <v>0</v>
      </c>
      <c r="AI89" s="74" t="str">
        <f t="shared" si="61"/>
        <v>2,01-2,4</v>
      </c>
      <c r="AJ89" s="74" t="str">
        <f t="shared" si="62"/>
        <v>3,01-4.0</v>
      </c>
      <c r="AK89" s="74">
        <f>IF(A89="","",1/Tabela1[[#This Row],[ODDC]])</f>
        <v>0.46511627906976744</v>
      </c>
      <c r="AL89" s="74">
        <f>IF(A89="","",1/Tabela1[[#This Row],[ODDE]])</f>
        <v>0.3125</v>
      </c>
      <c r="AM89" s="74">
        <f>IF(A89="","",1/Tabela1[[#This Row],[ODDV]])</f>
        <v>0.2857142857142857</v>
      </c>
      <c r="AN89" s="74">
        <f>IF(A89="","",1-(Tabela1[[#This Row],[p(H)]]+Tabela1[[#This Row],[p(D)]]+Tabela1[[#This Row],[p(A)]]))</f>
        <v>-6.3330564784052967E-2</v>
      </c>
      <c r="AO89" s="74">
        <f>IF(A89="","",IFERROR(Tabela1[[#This Row],[p(H)]]/Tabela1[[#This Row],[FTHG]],1))</f>
        <v>0.11627906976744186</v>
      </c>
      <c r="AP89" s="74">
        <f>IF(A89="","",IFERROR(Tabela1[[#This Row],[p(A)]]/Tabela1[[#This Row],[FTAG]],1))</f>
        <v>0.2857142857142857</v>
      </c>
      <c r="AQ89" s="107"/>
      <c r="AR89" s="107"/>
      <c r="AS89" s="107"/>
      <c r="AT89" s="107"/>
      <c r="AU89" s="107"/>
      <c r="AV89" s="107"/>
      <c r="AW89" s="107"/>
      <c r="AX89" s="107"/>
      <c r="AY89" s="107"/>
      <c r="AZ89" s="75"/>
      <c r="BA89" s="75"/>
      <c r="BB89" s="97"/>
      <c r="BC89" s="104"/>
      <c r="BD89" s="97"/>
      <c r="BE89" s="104"/>
      <c r="BF89" s="97"/>
      <c r="BG89" s="114"/>
      <c r="BH89" s="11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7"/>
      <c r="BS89" s="107"/>
      <c r="BT89" s="107"/>
      <c r="BU89" s="107"/>
      <c r="BV89" s="107"/>
      <c r="BW89" s="107"/>
      <c r="BX89" s="75"/>
      <c r="BY89" s="75"/>
      <c r="BZ89" s="75"/>
      <c r="CA89" s="75"/>
      <c r="CB89" s="75"/>
      <c r="CC89" s="75"/>
      <c r="CD89" s="75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</row>
    <row r="90" spans="1:120" x14ac:dyDescent="0.25">
      <c r="A90" s="4">
        <v>46117</v>
      </c>
      <c r="B90" t="s">
        <v>387</v>
      </c>
      <c r="C90" t="s">
        <v>352</v>
      </c>
      <c r="D90">
        <v>1</v>
      </c>
      <c r="E90">
        <v>1</v>
      </c>
      <c r="F90" t="s">
        <v>348</v>
      </c>
      <c r="G90">
        <v>3.1</v>
      </c>
      <c r="H90">
        <v>3</v>
      </c>
      <c r="I90">
        <v>2.5</v>
      </c>
      <c r="J90" s="68">
        <f t="shared" si="42"/>
        <v>1</v>
      </c>
      <c r="K90" s="68">
        <f t="shared" si="43"/>
        <v>1</v>
      </c>
      <c r="L90" s="69">
        <f t="shared" si="44"/>
        <v>0.4</v>
      </c>
      <c r="M90" s="69">
        <f t="shared" si="45"/>
        <v>0.32258064516129031</v>
      </c>
      <c r="N90" s="69">
        <f>IF(A90="","",Tabela1[[#This Row],[PTC]]*Tabela1[[#This Row],[ODDC]])</f>
        <v>3.1</v>
      </c>
      <c r="O90" s="69">
        <f>IF(A90="","",Tabela1[[#This Row],[PTV]]*Tabela1[[#This Row],[ODDV]])</f>
        <v>2.5</v>
      </c>
      <c r="P90" s="68">
        <f t="shared" si="46"/>
        <v>0</v>
      </c>
      <c r="Q90" s="68">
        <f t="shared" si="47"/>
        <v>0</v>
      </c>
      <c r="R90" s="68">
        <f t="shared" si="48"/>
        <v>-1</v>
      </c>
      <c r="S90" s="68">
        <f t="shared" si="49"/>
        <v>-1</v>
      </c>
      <c r="T90" s="68">
        <f>IF(A90="","",IF(F90="D",Tabela1[[#This Row],[ODDE]]-1,-1))</f>
        <v>2</v>
      </c>
      <c r="U90" s="70">
        <f>IF(A90="","",IF(AND(Tabela1[[#This Row],[FTHG]]&gt;3,F90="H"),1,0))</f>
        <v>0</v>
      </c>
      <c r="V90" s="70">
        <f>IF(A90="","",IF(AND(Tabela1[[#This Row],[FTAG]]&gt;3,F90="A"),1,0))</f>
        <v>0</v>
      </c>
      <c r="W90" s="70">
        <f t="shared" si="50"/>
        <v>1</v>
      </c>
      <c r="X90" s="70">
        <f t="shared" si="51"/>
        <v>1</v>
      </c>
      <c r="Y90" s="71">
        <f t="shared" si="52"/>
        <v>0</v>
      </c>
      <c r="Z90" s="70">
        <f t="shared" si="53"/>
        <v>0</v>
      </c>
      <c r="AA90" s="70">
        <f t="shared" si="54"/>
        <v>0</v>
      </c>
      <c r="AB90" s="70">
        <f t="shared" si="55"/>
        <v>0</v>
      </c>
      <c r="AC90" s="71">
        <f t="shared" si="56"/>
        <v>1</v>
      </c>
      <c r="AD90" s="72" t="str">
        <f t="shared" si="57"/>
        <v>ABR</v>
      </c>
      <c r="AE90" s="73">
        <f>IF(A90="","",COUNT($N$2:N90))</f>
        <v>89</v>
      </c>
      <c r="AF90" s="74">
        <f t="shared" si="58"/>
        <v>0</v>
      </c>
      <c r="AG90" s="74">
        <f t="shared" si="59"/>
        <v>1</v>
      </c>
      <c r="AH90" s="74">
        <f t="shared" si="60"/>
        <v>0</v>
      </c>
      <c r="AI90" s="74" t="str">
        <f t="shared" si="61"/>
        <v>3,01-4.0</v>
      </c>
      <c r="AJ90" s="74" t="str">
        <f t="shared" si="62"/>
        <v>2,41-3,0</v>
      </c>
      <c r="AK90" s="74">
        <f>IF(A90="","",1/Tabela1[[#This Row],[ODDC]])</f>
        <v>0.32258064516129031</v>
      </c>
      <c r="AL90" s="74">
        <f>IF(A90="","",1/Tabela1[[#This Row],[ODDE]])</f>
        <v>0.33333333333333331</v>
      </c>
      <c r="AM90" s="74">
        <f>IF(A90="","",1/Tabela1[[#This Row],[ODDV]])</f>
        <v>0.4</v>
      </c>
      <c r="AN90" s="74">
        <f>IF(A90="","",1-(Tabela1[[#This Row],[p(H)]]+Tabela1[[#This Row],[p(D)]]+Tabela1[[#This Row],[p(A)]]))</f>
        <v>-5.5913978494623651E-2</v>
      </c>
      <c r="AO90" s="74">
        <f>IF(A90="","",IFERROR(Tabela1[[#This Row],[p(H)]]/Tabela1[[#This Row],[FTHG]],1))</f>
        <v>0.32258064516129031</v>
      </c>
      <c r="AP90" s="74">
        <f>IF(A90="","",IFERROR(Tabela1[[#This Row],[p(A)]]/Tabela1[[#This Row],[FTAG]],1))</f>
        <v>0.4</v>
      </c>
      <c r="AQ90" s="107"/>
      <c r="AR90" s="107"/>
      <c r="AS90" s="107"/>
      <c r="AT90" s="107"/>
      <c r="AU90" s="107"/>
      <c r="AV90" s="107"/>
      <c r="AW90" s="107"/>
      <c r="AX90" s="107"/>
      <c r="AY90" s="107"/>
      <c r="AZ90" s="75"/>
      <c r="BA90" s="75"/>
      <c r="BB90" s="97"/>
      <c r="BC90" s="104"/>
      <c r="BD90" s="97"/>
      <c r="BE90" s="104"/>
      <c r="BF90" s="97"/>
      <c r="BG90" s="114"/>
      <c r="BH90" s="11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7"/>
      <c r="BS90" s="107"/>
      <c r="BT90" s="107"/>
      <c r="BU90" s="107"/>
      <c r="BV90" s="107"/>
      <c r="BW90" s="107"/>
      <c r="BX90" s="75"/>
      <c r="BY90" s="75"/>
      <c r="BZ90" s="75"/>
      <c r="CA90" s="75"/>
      <c r="CB90" s="75"/>
      <c r="CC90" s="75"/>
      <c r="CD90" s="75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</row>
    <row r="91" spans="1:120" x14ac:dyDescent="0.25">
      <c r="A91" s="4">
        <v>46117</v>
      </c>
      <c r="B91" t="s">
        <v>360</v>
      </c>
      <c r="C91" t="s">
        <v>350</v>
      </c>
      <c r="D91">
        <v>1</v>
      </c>
      <c r="E91">
        <v>2</v>
      </c>
      <c r="F91" t="s">
        <v>346</v>
      </c>
      <c r="G91">
        <v>1.91</v>
      </c>
      <c r="H91">
        <v>3.4</v>
      </c>
      <c r="I91">
        <v>4</v>
      </c>
      <c r="J91" s="68">
        <f t="shared" si="42"/>
        <v>0</v>
      </c>
      <c r="K91" s="68">
        <f t="shared" si="43"/>
        <v>3</v>
      </c>
      <c r="L91" s="69">
        <f t="shared" si="44"/>
        <v>0.25</v>
      </c>
      <c r="M91" s="69">
        <f t="shared" si="45"/>
        <v>1.0471204188481675</v>
      </c>
      <c r="N91" s="69">
        <f>IF(A91="","",Tabela1[[#This Row],[PTC]]*Tabela1[[#This Row],[ODDC]])</f>
        <v>0</v>
      </c>
      <c r="O91" s="69">
        <f>IF(A91="","",Tabela1[[#This Row],[PTV]]*Tabela1[[#This Row],[ODDV]])</f>
        <v>12</v>
      </c>
      <c r="P91" s="68">
        <f t="shared" si="46"/>
        <v>-1</v>
      </c>
      <c r="Q91" s="68">
        <f t="shared" si="47"/>
        <v>1</v>
      </c>
      <c r="R91" s="68">
        <f t="shared" si="48"/>
        <v>-1</v>
      </c>
      <c r="S91" s="68">
        <f t="shared" si="49"/>
        <v>3</v>
      </c>
      <c r="T91" s="68">
        <f>IF(A91="","",IF(F91="D",Tabela1[[#This Row],[ODDE]]-1,-1))</f>
        <v>-1</v>
      </c>
      <c r="U91" s="70">
        <f>IF(A91="","",IF(AND(Tabela1[[#This Row],[FTHG]]&gt;3,F91="H"),1,0))</f>
        <v>0</v>
      </c>
      <c r="V91" s="70">
        <f>IF(A91="","",IF(AND(Tabela1[[#This Row],[FTAG]]&gt;3,F91="A"),1,0))</f>
        <v>0</v>
      </c>
      <c r="W91" s="70">
        <f t="shared" si="50"/>
        <v>1</v>
      </c>
      <c r="X91" s="70">
        <f t="shared" si="51"/>
        <v>1</v>
      </c>
      <c r="Y91" s="71">
        <f t="shared" si="52"/>
        <v>1</v>
      </c>
      <c r="Z91" s="70">
        <f t="shared" si="53"/>
        <v>0</v>
      </c>
      <c r="AA91" s="70">
        <f t="shared" si="54"/>
        <v>0</v>
      </c>
      <c r="AB91" s="70">
        <f t="shared" si="55"/>
        <v>0</v>
      </c>
      <c r="AC91" s="71">
        <f t="shared" si="56"/>
        <v>1</v>
      </c>
      <c r="AD91" s="72" t="str">
        <f t="shared" si="57"/>
        <v>ABR</v>
      </c>
      <c r="AE91" s="73">
        <f>IF(A91="","",COUNT($N$2:N91))</f>
        <v>90</v>
      </c>
      <c r="AF91" s="74">
        <f t="shared" si="58"/>
        <v>0</v>
      </c>
      <c r="AG91" s="74">
        <f t="shared" si="59"/>
        <v>0</v>
      </c>
      <c r="AH91" s="74">
        <f t="shared" si="60"/>
        <v>1</v>
      </c>
      <c r="AI91" s="74" t="str">
        <f t="shared" si="61"/>
        <v>1,71-2,0</v>
      </c>
      <c r="AJ91" s="74" t="str">
        <f t="shared" si="62"/>
        <v>3,01-4.0</v>
      </c>
      <c r="AK91" s="74">
        <f>IF(A91="","",1/Tabela1[[#This Row],[ODDC]])</f>
        <v>0.52356020942408377</v>
      </c>
      <c r="AL91" s="74">
        <f>IF(A91="","",1/Tabela1[[#This Row],[ODDE]])</f>
        <v>0.29411764705882354</v>
      </c>
      <c r="AM91" s="74">
        <f>IF(A91="","",1/Tabela1[[#This Row],[ODDV]])</f>
        <v>0.25</v>
      </c>
      <c r="AN91" s="74">
        <f>IF(A91="","",1-(Tabela1[[#This Row],[p(H)]]+Tabela1[[#This Row],[p(D)]]+Tabela1[[#This Row],[p(A)]]))</f>
        <v>-6.767785648290725E-2</v>
      </c>
      <c r="AO91" s="74">
        <f>IF(A91="","",IFERROR(Tabela1[[#This Row],[p(H)]]/Tabela1[[#This Row],[FTHG]],1))</f>
        <v>0.52356020942408377</v>
      </c>
      <c r="AP91" s="74">
        <f>IF(A91="","",IFERROR(Tabela1[[#This Row],[p(A)]]/Tabela1[[#This Row],[FTAG]],1))</f>
        <v>0.125</v>
      </c>
      <c r="AQ91" s="107"/>
      <c r="AR91" s="107"/>
      <c r="AS91" s="107"/>
      <c r="AT91" s="107"/>
      <c r="AU91" s="107"/>
      <c r="AV91" s="107"/>
      <c r="AW91" s="107"/>
      <c r="AX91" s="107"/>
      <c r="AY91" s="107"/>
      <c r="AZ91" s="75"/>
      <c r="BA91" s="75"/>
      <c r="BB91" s="97"/>
      <c r="BC91" s="104"/>
      <c r="BD91" s="97"/>
      <c r="BE91" s="104"/>
      <c r="BF91" s="97"/>
      <c r="BG91" s="114"/>
      <c r="BH91" s="11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7"/>
      <c r="BS91" s="107"/>
      <c r="BT91" s="107"/>
      <c r="BU91" s="107"/>
      <c r="BV91" s="107"/>
      <c r="BW91" s="107"/>
      <c r="BX91" s="75"/>
      <c r="BY91" s="75"/>
      <c r="BZ91" s="75"/>
      <c r="CA91" s="75"/>
      <c r="CB91" s="75"/>
      <c r="CC91" s="75"/>
      <c r="CD91" s="75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</row>
    <row r="92" spans="1:120" x14ac:dyDescent="0.25">
      <c r="A92" s="4">
        <v>46117</v>
      </c>
      <c r="B92" t="s">
        <v>390</v>
      </c>
      <c r="C92" t="s">
        <v>381</v>
      </c>
      <c r="D92">
        <v>1</v>
      </c>
      <c r="E92">
        <v>1</v>
      </c>
      <c r="F92" t="s">
        <v>348</v>
      </c>
      <c r="G92">
        <v>2.5</v>
      </c>
      <c r="H92">
        <v>3.2</v>
      </c>
      <c r="I92">
        <v>2.75</v>
      </c>
      <c r="J92" s="68">
        <f t="shared" si="42"/>
        <v>1</v>
      </c>
      <c r="K92" s="68">
        <f t="shared" si="43"/>
        <v>1</v>
      </c>
      <c r="L92" s="69">
        <f t="shared" si="44"/>
        <v>0.36363636363636365</v>
      </c>
      <c r="M92" s="69">
        <f t="shared" si="45"/>
        <v>0.4</v>
      </c>
      <c r="N92" s="69">
        <f>IF(A92="","",Tabela1[[#This Row],[PTC]]*Tabela1[[#This Row],[ODDC]])</f>
        <v>2.5</v>
      </c>
      <c r="O92" s="69">
        <f>IF(A92="","",Tabela1[[#This Row],[PTV]]*Tabela1[[#This Row],[ODDV]])</f>
        <v>2.75</v>
      </c>
      <c r="P92" s="68">
        <f t="shared" si="46"/>
        <v>0</v>
      </c>
      <c r="Q92" s="68">
        <f t="shared" si="47"/>
        <v>0</v>
      </c>
      <c r="R92" s="68">
        <f t="shared" si="48"/>
        <v>-1</v>
      </c>
      <c r="S92" s="68">
        <f t="shared" si="49"/>
        <v>-1</v>
      </c>
      <c r="T92" s="68">
        <f>IF(A92="","",IF(F92="D",Tabela1[[#This Row],[ODDE]]-1,-1))</f>
        <v>2.2000000000000002</v>
      </c>
      <c r="U92" s="70">
        <f>IF(A92="","",IF(AND(Tabela1[[#This Row],[FTHG]]&gt;3,F92="H"),1,0))</f>
        <v>0</v>
      </c>
      <c r="V92" s="70">
        <f>IF(A92="","",IF(AND(Tabela1[[#This Row],[FTAG]]&gt;3,F92="A"),1,0))</f>
        <v>0</v>
      </c>
      <c r="W92" s="70">
        <f t="shared" si="50"/>
        <v>1</v>
      </c>
      <c r="X92" s="70">
        <f t="shared" si="51"/>
        <v>1</v>
      </c>
      <c r="Y92" s="71">
        <f t="shared" si="52"/>
        <v>0</v>
      </c>
      <c r="Z92" s="70">
        <f t="shared" si="53"/>
        <v>0</v>
      </c>
      <c r="AA92" s="70">
        <f t="shared" si="54"/>
        <v>0</v>
      </c>
      <c r="AB92" s="70">
        <f t="shared" si="55"/>
        <v>0</v>
      </c>
      <c r="AC92" s="71">
        <f t="shared" si="56"/>
        <v>1</v>
      </c>
      <c r="AD92" s="72" t="str">
        <f t="shared" si="57"/>
        <v>ABR</v>
      </c>
      <c r="AE92" s="73">
        <f>IF(A92="","",COUNT($N$2:N92))</f>
        <v>91</v>
      </c>
      <c r="AF92" s="74">
        <f t="shared" si="58"/>
        <v>0</v>
      </c>
      <c r="AG92" s="74">
        <f t="shared" si="59"/>
        <v>1</v>
      </c>
      <c r="AH92" s="74">
        <f t="shared" si="60"/>
        <v>0</v>
      </c>
      <c r="AI92" s="74" t="str">
        <f t="shared" si="61"/>
        <v>2,41-3,0</v>
      </c>
      <c r="AJ92" s="74" t="str">
        <f t="shared" si="62"/>
        <v>2,41-3,0</v>
      </c>
      <c r="AK92" s="74">
        <f>IF(A92="","",1/Tabela1[[#This Row],[ODDC]])</f>
        <v>0.4</v>
      </c>
      <c r="AL92" s="74">
        <f>IF(A92="","",1/Tabela1[[#This Row],[ODDE]])</f>
        <v>0.3125</v>
      </c>
      <c r="AM92" s="74">
        <f>IF(A92="","",1/Tabela1[[#This Row],[ODDV]])</f>
        <v>0.36363636363636365</v>
      </c>
      <c r="AN92" s="74">
        <f>IF(A92="","",1-(Tabela1[[#This Row],[p(H)]]+Tabela1[[#This Row],[p(D)]]+Tabela1[[#This Row],[p(A)]]))</f>
        <v>-7.6136363636363669E-2</v>
      </c>
      <c r="AO92" s="74">
        <f>IF(A92="","",IFERROR(Tabela1[[#This Row],[p(H)]]/Tabela1[[#This Row],[FTHG]],1))</f>
        <v>0.4</v>
      </c>
      <c r="AP92" s="74">
        <f>IF(A92="","",IFERROR(Tabela1[[#This Row],[p(A)]]/Tabela1[[#This Row],[FTAG]],1))</f>
        <v>0.36363636363636365</v>
      </c>
      <c r="AQ92" s="107"/>
      <c r="AR92" s="107"/>
      <c r="AS92" s="107"/>
      <c r="AT92" s="107"/>
      <c r="AU92" s="107"/>
      <c r="AV92" s="107"/>
      <c r="AW92" s="107"/>
      <c r="AX92" s="107"/>
      <c r="AY92" s="107"/>
      <c r="AZ92" s="75"/>
      <c r="BA92" s="75"/>
      <c r="BB92" s="97"/>
      <c r="BC92" s="104"/>
      <c r="BD92" s="97"/>
      <c r="BE92" s="104"/>
      <c r="BF92" s="97"/>
      <c r="BG92" s="114"/>
      <c r="BH92" s="11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7"/>
      <c r="BS92" s="107"/>
      <c r="BT92" s="107"/>
      <c r="BU92" s="107"/>
      <c r="BV92" s="107"/>
      <c r="BW92" s="107"/>
      <c r="BX92" s="75"/>
      <c r="BY92" s="75"/>
      <c r="BZ92" s="75"/>
      <c r="CA92" s="75"/>
      <c r="CB92" s="75"/>
      <c r="CC92" s="75"/>
      <c r="CD92" s="75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</row>
    <row r="93" spans="1:120" x14ac:dyDescent="0.25">
      <c r="A93" s="4">
        <v>46117</v>
      </c>
      <c r="B93" t="s">
        <v>359</v>
      </c>
      <c r="C93" t="s">
        <v>388</v>
      </c>
      <c r="D93">
        <v>2</v>
      </c>
      <c r="E93">
        <v>1</v>
      </c>
      <c r="F93" t="s">
        <v>347</v>
      </c>
      <c r="G93">
        <v>2.1</v>
      </c>
      <c r="H93">
        <v>3.2</v>
      </c>
      <c r="I93">
        <v>3.3</v>
      </c>
      <c r="J93" s="68">
        <f t="shared" si="42"/>
        <v>3</v>
      </c>
      <c r="K93" s="68">
        <f t="shared" si="43"/>
        <v>0</v>
      </c>
      <c r="L93" s="69">
        <f t="shared" si="44"/>
        <v>0.60606060606060608</v>
      </c>
      <c r="M93" s="69">
        <f t="shared" si="45"/>
        <v>0.47619047619047616</v>
      </c>
      <c r="N93" s="69">
        <f>IF(A93="","",Tabela1[[#This Row],[PTC]]*Tabela1[[#This Row],[ODDC]])</f>
        <v>6.3000000000000007</v>
      </c>
      <c r="O93" s="69">
        <f>IF(A93="","",Tabela1[[#This Row],[PTV]]*Tabela1[[#This Row],[ODDV]])</f>
        <v>0</v>
      </c>
      <c r="P93" s="68">
        <f t="shared" si="46"/>
        <v>1</v>
      </c>
      <c r="Q93" s="68">
        <f t="shared" si="47"/>
        <v>-1</v>
      </c>
      <c r="R93" s="68">
        <f t="shared" si="48"/>
        <v>1.1000000000000001</v>
      </c>
      <c r="S93" s="68">
        <f t="shared" si="49"/>
        <v>-1</v>
      </c>
      <c r="T93" s="68">
        <f>IF(A93="","",IF(F93="D",Tabela1[[#This Row],[ODDE]]-1,-1))</f>
        <v>-1</v>
      </c>
      <c r="U93" s="70">
        <f>IF(A93="","",IF(AND(Tabela1[[#This Row],[FTHG]]&gt;3,F93="H"),1,0))</f>
        <v>0</v>
      </c>
      <c r="V93" s="70">
        <f>IF(A93="","",IF(AND(Tabela1[[#This Row],[FTAG]]&gt;3,F93="A"),1,0))</f>
        <v>0</v>
      </c>
      <c r="W93" s="70">
        <f t="shared" si="50"/>
        <v>1</v>
      </c>
      <c r="X93" s="70">
        <f t="shared" si="51"/>
        <v>1</v>
      </c>
      <c r="Y93" s="71">
        <f t="shared" si="52"/>
        <v>1</v>
      </c>
      <c r="Z93" s="70">
        <f t="shared" si="53"/>
        <v>0</v>
      </c>
      <c r="AA93" s="70">
        <f t="shared" si="54"/>
        <v>0</v>
      </c>
      <c r="AB93" s="70">
        <f t="shared" si="55"/>
        <v>0</v>
      </c>
      <c r="AC93" s="71">
        <f t="shared" si="56"/>
        <v>1</v>
      </c>
      <c r="AD93" s="72" t="str">
        <f t="shared" si="57"/>
        <v>ABR</v>
      </c>
      <c r="AE93" s="73">
        <f>IF(A93="","",COUNT($N$2:N93))</f>
        <v>92</v>
      </c>
      <c r="AF93" s="74">
        <f t="shared" si="58"/>
        <v>1</v>
      </c>
      <c r="AG93" s="74">
        <f t="shared" si="59"/>
        <v>0</v>
      </c>
      <c r="AH93" s="74">
        <f t="shared" si="60"/>
        <v>0</v>
      </c>
      <c r="AI93" s="74" t="str">
        <f t="shared" si="61"/>
        <v>2,01-2,4</v>
      </c>
      <c r="AJ93" s="74" t="str">
        <f t="shared" si="62"/>
        <v>3,01-4.0</v>
      </c>
      <c r="AK93" s="74">
        <f>IF(A93="","",1/Tabela1[[#This Row],[ODDC]])</f>
        <v>0.47619047619047616</v>
      </c>
      <c r="AL93" s="74">
        <f>IF(A93="","",1/Tabela1[[#This Row],[ODDE]])</f>
        <v>0.3125</v>
      </c>
      <c r="AM93" s="74">
        <f>IF(A93="","",1/Tabela1[[#This Row],[ODDV]])</f>
        <v>0.30303030303030304</v>
      </c>
      <c r="AN93" s="74">
        <f>IF(A93="","",1-(Tabela1[[#This Row],[p(H)]]+Tabela1[[#This Row],[p(D)]]+Tabela1[[#This Row],[p(A)]]))</f>
        <v>-9.1720779220779258E-2</v>
      </c>
      <c r="AO93" s="74">
        <f>IF(A93="","",IFERROR(Tabela1[[#This Row],[p(H)]]/Tabela1[[#This Row],[FTHG]],1))</f>
        <v>0.23809523809523808</v>
      </c>
      <c r="AP93" s="74">
        <f>IF(A93="","",IFERROR(Tabela1[[#This Row],[p(A)]]/Tabela1[[#This Row],[FTAG]],1))</f>
        <v>0.30303030303030304</v>
      </c>
      <c r="AQ93" s="107"/>
      <c r="AR93" s="107"/>
      <c r="AS93" s="107"/>
      <c r="AT93" s="107"/>
      <c r="AU93" s="107"/>
      <c r="AV93" s="107"/>
      <c r="AW93" s="107"/>
      <c r="AX93" s="107"/>
      <c r="AY93" s="107"/>
      <c r="AZ93" s="75"/>
      <c r="BA93" s="75"/>
      <c r="BB93" s="97"/>
      <c r="BC93" s="104"/>
      <c r="BD93" s="97"/>
      <c r="BE93" s="104"/>
      <c r="BF93" s="97"/>
      <c r="BG93" s="114"/>
      <c r="BH93" s="11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7"/>
      <c r="BS93" s="107"/>
      <c r="BT93" s="107"/>
      <c r="BU93" s="107"/>
      <c r="BV93" s="107"/>
      <c r="BW93" s="107"/>
      <c r="BX93" s="75"/>
      <c r="BY93" s="75"/>
      <c r="BZ93" s="75"/>
      <c r="CA93" s="75"/>
      <c r="CB93" s="75"/>
      <c r="CC93" s="75"/>
      <c r="CD93" s="75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</row>
    <row r="94" spans="1:120" x14ac:dyDescent="0.25">
      <c r="A94" s="4">
        <v>46117</v>
      </c>
      <c r="B94" t="s">
        <v>363</v>
      </c>
      <c r="C94" t="s">
        <v>362</v>
      </c>
      <c r="D94">
        <v>3</v>
      </c>
      <c r="E94">
        <v>1</v>
      </c>
      <c r="F94" t="s">
        <v>347</v>
      </c>
      <c r="G94">
        <v>1.3</v>
      </c>
      <c r="H94">
        <v>4.75</v>
      </c>
      <c r="I94">
        <v>11</v>
      </c>
      <c r="J94" s="68">
        <f t="shared" si="42"/>
        <v>3</v>
      </c>
      <c r="K94" s="68">
        <f t="shared" si="43"/>
        <v>0</v>
      </c>
      <c r="L94" s="69">
        <f t="shared" si="44"/>
        <v>0.27272727272727271</v>
      </c>
      <c r="M94" s="69">
        <f t="shared" si="45"/>
        <v>0.76923076923076916</v>
      </c>
      <c r="N94" s="69">
        <f>IF(A94="","",Tabela1[[#This Row],[PTC]]*Tabela1[[#This Row],[ODDC]])</f>
        <v>3.9000000000000004</v>
      </c>
      <c r="O94" s="69">
        <f>IF(A94="","",Tabela1[[#This Row],[PTV]]*Tabela1[[#This Row],[ODDV]])</f>
        <v>0</v>
      </c>
      <c r="P94" s="68">
        <f t="shared" si="46"/>
        <v>2</v>
      </c>
      <c r="Q94" s="68">
        <f t="shared" si="47"/>
        <v>-2</v>
      </c>
      <c r="R94" s="68">
        <f t="shared" si="48"/>
        <v>0.30000000000000004</v>
      </c>
      <c r="S94" s="68">
        <f t="shared" si="49"/>
        <v>-1</v>
      </c>
      <c r="T94" s="68">
        <f>IF(A94="","",IF(F94="D",Tabela1[[#This Row],[ODDE]]-1,-1))</f>
        <v>-1</v>
      </c>
      <c r="U94" s="70">
        <f>IF(A94="","",IF(AND(Tabela1[[#This Row],[FTHG]]&gt;3,F94="H"),1,0))</f>
        <v>0</v>
      </c>
      <c r="V94" s="70">
        <f>IF(A94="","",IF(AND(Tabela1[[#This Row],[FTAG]]&gt;3,F94="A"),1,0))</f>
        <v>0</v>
      </c>
      <c r="W94" s="70">
        <f t="shared" si="50"/>
        <v>1</v>
      </c>
      <c r="X94" s="70">
        <f t="shared" si="51"/>
        <v>1</v>
      </c>
      <c r="Y94" s="71">
        <f t="shared" si="52"/>
        <v>1</v>
      </c>
      <c r="Z94" s="70">
        <f t="shared" si="53"/>
        <v>1</v>
      </c>
      <c r="AA94" s="70">
        <f t="shared" si="54"/>
        <v>0</v>
      </c>
      <c r="AB94" s="70">
        <f t="shared" si="55"/>
        <v>0</v>
      </c>
      <c r="AC94" s="71">
        <f t="shared" si="56"/>
        <v>1</v>
      </c>
      <c r="AD94" s="72" t="str">
        <f t="shared" si="57"/>
        <v>ABR</v>
      </c>
      <c r="AE94" s="73">
        <f>IF(A94="","",COUNT($N$2:N94))</f>
        <v>93</v>
      </c>
      <c r="AF94" s="74">
        <f t="shared" si="58"/>
        <v>1</v>
      </c>
      <c r="AG94" s="74">
        <f t="shared" si="59"/>
        <v>0</v>
      </c>
      <c r="AH94" s="74">
        <f t="shared" si="60"/>
        <v>0</v>
      </c>
      <c r="AI94" s="74" t="str">
        <f t="shared" si="61"/>
        <v>1,21-1,4</v>
      </c>
      <c r="AJ94" s="74" t="str">
        <f t="shared" si="62"/>
        <v>9,01-16</v>
      </c>
      <c r="AK94" s="74">
        <f>IF(A94="","",1/Tabela1[[#This Row],[ODDC]])</f>
        <v>0.76923076923076916</v>
      </c>
      <c r="AL94" s="74">
        <f>IF(A94="","",1/Tabela1[[#This Row],[ODDE]])</f>
        <v>0.21052631578947367</v>
      </c>
      <c r="AM94" s="74">
        <f>IF(A94="","",1/Tabela1[[#This Row],[ODDV]])</f>
        <v>9.0909090909090912E-2</v>
      </c>
      <c r="AN94" s="74">
        <f>IF(A94="","",1-(Tabela1[[#This Row],[p(H)]]+Tabela1[[#This Row],[p(D)]]+Tabela1[[#This Row],[p(A)]]))</f>
        <v>-7.0666175929333663E-2</v>
      </c>
      <c r="AO94" s="74">
        <f>IF(A94="","",IFERROR(Tabela1[[#This Row],[p(H)]]/Tabela1[[#This Row],[FTHG]],1))</f>
        <v>0.25641025641025639</v>
      </c>
      <c r="AP94" s="74">
        <f>IF(A94="","",IFERROR(Tabela1[[#This Row],[p(A)]]/Tabela1[[#This Row],[FTAG]],1))</f>
        <v>9.0909090909090912E-2</v>
      </c>
      <c r="AQ94" s="107"/>
      <c r="AR94" s="107"/>
      <c r="AS94" s="107"/>
      <c r="AT94" s="107"/>
      <c r="AU94" s="107"/>
      <c r="AV94" s="107"/>
      <c r="AW94" s="107"/>
      <c r="AX94" s="107"/>
      <c r="AY94" s="107"/>
      <c r="AZ94" s="75"/>
      <c r="BA94" s="75"/>
      <c r="BB94" s="97"/>
      <c r="BC94" s="104"/>
      <c r="BD94" s="97"/>
      <c r="BE94" s="104"/>
      <c r="BF94" s="97"/>
      <c r="BG94" s="114"/>
      <c r="BH94" s="11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7"/>
      <c r="BS94" s="107"/>
      <c r="BT94" s="107"/>
      <c r="BU94" s="107"/>
      <c r="BV94" s="107"/>
      <c r="BW94" s="107"/>
      <c r="BX94" s="75"/>
      <c r="BY94" s="75"/>
      <c r="BZ94" s="75"/>
      <c r="CA94" s="75"/>
      <c r="CB94" s="75"/>
      <c r="CC94" s="75"/>
      <c r="CD94" s="75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</row>
    <row r="95" spans="1:120" x14ac:dyDescent="0.25">
      <c r="A95" s="4">
        <v>46117</v>
      </c>
      <c r="B95" t="s">
        <v>356</v>
      </c>
      <c r="C95" t="s">
        <v>353</v>
      </c>
      <c r="D95">
        <v>1</v>
      </c>
      <c r="E95">
        <v>2</v>
      </c>
      <c r="F95" t="s">
        <v>346</v>
      </c>
      <c r="G95">
        <v>2.5</v>
      </c>
      <c r="H95">
        <v>3.1</v>
      </c>
      <c r="I95">
        <v>2.85</v>
      </c>
      <c r="J95" s="68">
        <f t="shared" si="42"/>
        <v>0</v>
      </c>
      <c r="K95" s="68">
        <f t="shared" si="43"/>
        <v>3</v>
      </c>
      <c r="L95" s="69">
        <f t="shared" si="44"/>
        <v>0.35087719298245612</v>
      </c>
      <c r="M95" s="69">
        <f t="shared" si="45"/>
        <v>0.8</v>
      </c>
      <c r="N95" s="69">
        <f>IF(A95="","",Tabela1[[#This Row],[PTC]]*Tabela1[[#This Row],[ODDC]])</f>
        <v>0</v>
      </c>
      <c r="O95" s="69">
        <f>IF(A95="","",Tabela1[[#This Row],[PTV]]*Tabela1[[#This Row],[ODDV]])</f>
        <v>8.5500000000000007</v>
      </c>
      <c r="P95" s="68">
        <f t="shared" si="46"/>
        <v>-1</v>
      </c>
      <c r="Q95" s="68">
        <f t="shared" si="47"/>
        <v>1</v>
      </c>
      <c r="R95" s="68">
        <f t="shared" si="48"/>
        <v>-1</v>
      </c>
      <c r="S95" s="68">
        <f t="shared" si="49"/>
        <v>1.85</v>
      </c>
      <c r="T95" s="68">
        <f>IF(A95="","",IF(F95="D",Tabela1[[#This Row],[ODDE]]-1,-1))</f>
        <v>-1</v>
      </c>
      <c r="U95" s="70">
        <f>IF(A95="","",IF(AND(Tabela1[[#This Row],[FTHG]]&gt;3,F95="H"),1,0))</f>
        <v>0</v>
      </c>
      <c r="V95" s="70">
        <f>IF(A95="","",IF(AND(Tabela1[[#This Row],[FTAG]]&gt;3,F95="A"),1,0))</f>
        <v>0</v>
      </c>
      <c r="W95" s="70">
        <f t="shared" si="50"/>
        <v>1</v>
      </c>
      <c r="X95" s="70">
        <f t="shared" si="51"/>
        <v>1</v>
      </c>
      <c r="Y95" s="71">
        <f t="shared" si="52"/>
        <v>1</v>
      </c>
      <c r="Z95" s="70">
        <f t="shared" si="53"/>
        <v>0</v>
      </c>
      <c r="AA95" s="70">
        <f t="shared" si="54"/>
        <v>0</v>
      </c>
      <c r="AB95" s="70">
        <f t="shared" si="55"/>
        <v>0</v>
      </c>
      <c r="AC95" s="71">
        <f t="shared" si="56"/>
        <v>1</v>
      </c>
      <c r="AD95" s="72" t="str">
        <f t="shared" si="57"/>
        <v>ABR</v>
      </c>
      <c r="AE95" s="73">
        <f>IF(A95="","",COUNT($N$2:N95))</f>
        <v>94</v>
      </c>
      <c r="AF95" s="74">
        <f t="shared" si="58"/>
        <v>0</v>
      </c>
      <c r="AG95" s="74">
        <f t="shared" si="59"/>
        <v>0</v>
      </c>
      <c r="AH95" s="74">
        <f t="shared" si="60"/>
        <v>1</v>
      </c>
      <c r="AI95" s="74" t="str">
        <f t="shared" si="61"/>
        <v>2,41-3,0</v>
      </c>
      <c r="AJ95" s="74" t="str">
        <f t="shared" si="62"/>
        <v>2,41-3,0</v>
      </c>
      <c r="AK95" s="74">
        <f>IF(A95="","",1/Tabela1[[#This Row],[ODDC]])</f>
        <v>0.4</v>
      </c>
      <c r="AL95" s="74">
        <f>IF(A95="","",1/Tabela1[[#This Row],[ODDE]])</f>
        <v>0.32258064516129031</v>
      </c>
      <c r="AM95" s="74">
        <f>IF(A95="","",1/Tabela1[[#This Row],[ODDV]])</f>
        <v>0.35087719298245612</v>
      </c>
      <c r="AN95" s="74">
        <f>IF(A95="","",1-(Tabela1[[#This Row],[p(H)]]+Tabela1[[#This Row],[p(D)]]+Tabela1[[#This Row],[p(A)]]))</f>
        <v>-7.3457838143746512E-2</v>
      </c>
      <c r="AO95" s="74">
        <f>IF(A95="","",IFERROR(Tabela1[[#This Row],[p(H)]]/Tabela1[[#This Row],[FTHG]],1))</f>
        <v>0.4</v>
      </c>
      <c r="AP95" s="74">
        <f>IF(A95="","",IFERROR(Tabela1[[#This Row],[p(A)]]/Tabela1[[#This Row],[FTAG]],1))</f>
        <v>0.17543859649122806</v>
      </c>
      <c r="AQ95" s="107"/>
      <c r="AR95" s="107"/>
      <c r="AS95" s="107"/>
      <c r="AT95" s="107"/>
      <c r="AU95" s="107"/>
      <c r="AV95" s="107"/>
      <c r="AW95" s="107"/>
      <c r="AX95" s="107"/>
      <c r="AY95" s="107"/>
      <c r="AZ95" s="75"/>
      <c r="BA95" s="75"/>
      <c r="BB95" s="97"/>
      <c r="BC95" s="104"/>
      <c r="BD95" s="97"/>
      <c r="BE95" s="104"/>
      <c r="BF95" s="97"/>
      <c r="BG95" s="114"/>
      <c r="BH95" s="11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7"/>
      <c r="BS95" s="107"/>
      <c r="BT95" s="107"/>
      <c r="BU95" s="107"/>
      <c r="BV95" s="107"/>
      <c r="BW95" s="107"/>
      <c r="BX95" s="75"/>
      <c r="BY95" s="75"/>
      <c r="BZ95" s="75"/>
      <c r="CA95" s="75"/>
      <c r="CB95" s="75"/>
      <c r="CC95" s="75"/>
      <c r="CD95" s="75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</row>
    <row r="96" spans="1:120" x14ac:dyDescent="0.25">
      <c r="A96" s="4">
        <v>46117</v>
      </c>
      <c r="B96" t="s">
        <v>357</v>
      </c>
      <c r="C96" t="s">
        <v>354</v>
      </c>
      <c r="D96">
        <v>0</v>
      </c>
      <c r="E96">
        <v>1</v>
      </c>
      <c r="F96" t="s">
        <v>346</v>
      </c>
      <c r="G96">
        <v>2.1</v>
      </c>
      <c r="H96">
        <v>3</v>
      </c>
      <c r="I96">
        <v>3.7</v>
      </c>
      <c r="J96" s="68">
        <f t="shared" si="42"/>
        <v>0</v>
      </c>
      <c r="K96" s="68">
        <f t="shared" si="43"/>
        <v>3</v>
      </c>
      <c r="L96" s="69">
        <f t="shared" si="44"/>
        <v>0</v>
      </c>
      <c r="M96" s="69">
        <f t="shared" si="45"/>
        <v>0.47619047619047616</v>
      </c>
      <c r="N96" s="69">
        <f>IF(A96="","",Tabela1[[#This Row],[PTC]]*Tabela1[[#This Row],[ODDC]])</f>
        <v>0</v>
      </c>
      <c r="O96" s="69">
        <f>IF(A96="","",Tabela1[[#This Row],[PTV]]*Tabela1[[#This Row],[ODDV]])</f>
        <v>11.100000000000001</v>
      </c>
      <c r="P96" s="68">
        <f t="shared" si="46"/>
        <v>-1</v>
      </c>
      <c r="Q96" s="68">
        <f t="shared" si="47"/>
        <v>1</v>
      </c>
      <c r="R96" s="68">
        <f t="shared" si="48"/>
        <v>-1</v>
      </c>
      <c r="S96" s="68">
        <f t="shared" si="49"/>
        <v>2.7</v>
      </c>
      <c r="T96" s="68">
        <f>IF(A96="","",IF(F96="D",Tabela1[[#This Row],[ODDE]]-1,-1))</f>
        <v>-1</v>
      </c>
      <c r="U96" s="70">
        <f>IF(A96="","",IF(AND(Tabela1[[#This Row],[FTHG]]&gt;3,F96="H"),1,0))</f>
        <v>0</v>
      </c>
      <c r="V96" s="70">
        <f>IF(A96="","",IF(AND(Tabela1[[#This Row],[FTAG]]&gt;3,F96="A"),1,0))</f>
        <v>0</v>
      </c>
      <c r="W96" s="70">
        <f t="shared" si="50"/>
        <v>1</v>
      </c>
      <c r="X96" s="70">
        <f t="shared" si="51"/>
        <v>0</v>
      </c>
      <c r="Y96" s="71">
        <f t="shared" si="52"/>
        <v>0</v>
      </c>
      <c r="Z96" s="70">
        <f t="shared" si="53"/>
        <v>0</v>
      </c>
      <c r="AA96" s="70">
        <f t="shared" si="54"/>
        <v>0</v>
      </c>
      <c r="AB96" s="70">
        <f t="shared" si="55"/>
        <v>0</v>
      </c>
      <c r="AC96" s="71">
        <f t="shared" si="56"/>
        <v>0</v>
      </c>
      <c r="AD96" s="72" t="str">
        <f t="shared" si="57"/>
        <v>ABR</v>
      </c>
      <c r="AE96" s="73">
        <f>IF(A96="","",COUNT($N$2:N96))</f>
        <v>95</v>
      </c>
      <c r="AF96" s="74">
        <f t="shared" si="58"/>
        <v>0</v>
      </c>
      <c r="AG96" s="74">
        <f t="shared" si="59"/>
        <v>0</v>
      </c>
      <c r="AH96" s="74">
        <f t="shared" si="60"/>
        <v>1</v>
      </c>
      <c r="AI96" s="74" t="str">
        <f t="shared" si="61"/>
        <v>2,01-2,4</v>
      </c>
      <c r="AJ96" s="74" t="str">
        <f t="shared" si="62"/>
        <v>3,01-4.0</v>
      </c>
      <c r="AK96" s="74">
        <f>IF(A96="","",1/Tabela1[[#This Row],[ODDC]])</f>
        <v>0.47619047619047616</v>
      </c>
      <c r="AL96" s="74">
        <f>IF(A96="","",1/Tabela1[[#This Row],[ODDE]])</f>
        <v>0.33333333333333331</v>
      </c>
      <c r="AM96" s="74">
        <f>IF(A96="","",1/Tabela1[[#This Row],[ODDV]])</f>
        <v>0.27027027027027023</v>
      </c>
      <c r="AN96" s="74">
        <f>IF(A96="","",1-(Tabela1[[#This Row],[p(H)]]+Tabela1[[#This Row],[p(D)]]+Tabela1[[#This Row],[p(A)]]))</f>
        <v>-7.9794079794079709E-2</v>
      </c>
      <c r="AO96" s="74">
        <f>IF(A96="","",IFERROR(Tabela1[[#This Row],[p(H)]]/Tabela1[[#This Row],[FTHG]],1))</f>
        <v>1</v>
      </c>
      <c r="AP96" s="74">
        <f>IF(A96="","",IFERROR(Tabela1[[#This Row],[p(A)]]/Tabela1[[#This Row],[FTAG]],1))</f>
        <v>0.27027027027027023</v>
      </c>
      <c r="AQ96" s="107"/>
      <c r="AR96" s="107"/>
      <c r="AS96" s="107"/>
      <c r="AT96" s="107"/>
      <c r="AU96" s="107"/>
      <c r="AV96" s="107"/>
      <c r="AW96" s="107"/>
      <c r="AX96" s="107"/>
      <c r="AY96" s="107"/>
      <c r="AZ96" s="75"/>
      <c r="BA96" s="75"/>
      <c r="BB96" s="97"/>
      <c r="BC96" s="104"/>
      <c r="BD96" s="97"/>
      <c r="BE96" s="104"/>
      <c r="BF96" s="97"/>
      <c r="BG96" s="114"/>
      <c r="BH96" s="114"/>
      <c r="BI96" s="104"/>
      <c r="BJ96" s="104"/>
      <c r="BK96" s="121"/>
      <c r="BL96" s="104"/>
      <c r="BM96" s="104"/>
      <c r="BN96" s="104"/>
      <c r="BO96" s="104"/>
      <c r="BP96" s="104"/>
      <c r="BQ96" s="104"/>
      <c r="BR96" s="107"/>
      <c r="BS96" s="107"/>
      <c r="BT96" s="107"/>
      <c r="BU96" s="107"/>
      <c r="BV96" s="107"/>
      <c r="BW96" s="107"/>
      <c r="BX96" s="75"/>
      <c r="BY96" s="75"/>
      <c r="BZ96" s="75"/>
      <c r="CA96" s="75"/>
      <c r="CB96" s="75"/>
      <c r="CC96" s="75"/>
      <c r="CD96" s="75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</row>
    <row r="97" spans="1:120" x14ac:dyDescent="0.25">
      <c r="A97" s="4">
        <v>46118</v>
      </c>
      <c r="B97" t="s">
        <v>382</v>
      </c>
      <c r="C97" t="s">
        <v>355</v>
      </c>
      <c r="D97">
        <v>0</v>
      </c>
      <c r="E97">
        <v>1</v>
      </c>
      <c r="F97" t="s">
        <v>346</v>
      </c>
      <c r="G97">
        <v>2.1</v>
      </c>
      <c r="H97">
        <v>3.3</v>
      </c>
      <c r="I97">
        <v>3.6</v>
      </c>
      <c r="J97" s="68">
        <f t="shared" si="42"/>
        <v>0</v>
      </c>
      <c r="K97" s="68">
        <f t="shared" si="43"/>
        <v>3</v>
      </c>
      <c r="L97" s="69">
        <f t="shared" si="44"/>
        <v>0</v>
      </c>
      <c r="M97" s="69">
        <f t="shared" si="45"/>
        <v>0.47619047619047616</v>
      </c>
      <c r="N97" s="69">
        <f>IF(A97="","",Tabela1[[#This Row],[PTC]]*Tabela1[[#This Row],[ODDC]])</f>
        <v>0</v>
      </c>
      <c r="O97" s="69">
        <f>IF(A97="","",Tabela1[[#This Row],[PTV]]*Tabela1[[#This Row],[ODDV]])</f>
        <v>10.8</v>
      </c>
      <c r="P97" s="68">
        <f t="shared" si="46"/>
        <v>-1</v>
      </c>
      <c r="Q97" s="68">
        <f t="shared" si="47"/>
        <v>1</v>
      </c>
      <c r="R97" s="68">
        <f t="shared" si="48"/>
        <v>-1</v>
      </c>
      <c r="S97" s="68">
        <f t="shared" si="49"/>
        <v>2.6</v>
      </c>
      <c r="T97" s="68">
        <f>IF(A97="","",IF(F97="D",Tabela1[[#This Row],[ODDE]]-1,-1))</f>
        <v>-1</v>
      </c>
      <c r="U97" s="70">
        <f>IF(A97="","",IF(AND(Tabela1[[#This Row],[FTHG]]&gt;3,F97="H"),1,0))</f>
        <v>0</v>
      </c>
      <c r="V97" s="70">
        <f>IF(A97="","",IF(AND(Tabela1[[#This Row],[FTAG]]&gt;3,F97="A"),1,0))</f>
        <v>0</v>
      </c>
      <c r="W97" s="70">
        <f t="shared" si="50"/>
        <v>1</v>
      </c>
      <c r="X97" s="70">
        <f t="shared" si="51"/>
        <v>0</v>
      </c>
      <c r="Y97" s="71">
        <f t="shared" si="52"/>
        <v>0</v>
      </c>
      <c r="Z97" s="70">
        <f t="shared" si="53"/>
        <v>0</v>
      </c>
      <c r="AA97" s="70">
        <f t="shared" si="54"/>
        <v>0</v>
      </c>
      <c r="AB97" s="70">
        <f t="shared" si="55"/>
        <v>0</v>
      </c>
      <c r="AC97" s="71">
        <f t="shared" si="56"/>
        <v>0</v>
      </c>
      <c r="AD97" s="72" t="str">
        <f t="shared" si="57"/>
        <v>ABR</v>
      </c>
      <c r="AE97" s="73">
        <f>IF(A97="","",COUNT($N$2:N97))</f>
        <v>96</v>
      </c>
      <c r="AF97" s="74">
        <f t="shared" si="58"/>
        <v>0</v>
      </c>
      <c r="AG97" s="74">
        <f t="shared" si="59"/>
        <v>0</v>
      </c>
      <c r="AH97" s="74">
        <f t="shared" si="60"/>
        <v>1</v>
      </c>
      <c r="AI97" s="74" t="str">
        <f t="shared" si="61"/>
        <v>2,01-2,4</v>
      </c>
      <c r="AJ97" s="74" t="str">
        <f t="shared" si="62"/>
        <v>3,01-4.0</v>
      </c>
      <c r="AK97" s="74">
        <f>IF(A97="","",1/Tabela1[[#This Row],[ODDC]])</f>
        <v>0.47619047619047616</v>
      </c>
      <c r="AL97" s="74">
        <f>IF(A97="","",1/Tabela1[[#This Row],[ODDE]])</f>
        <v>0.30303030303030304</v>
      </c>
      <c r="AM97" s="74">
        <f>IF(A97="","",1/Tabela1[[#This Row],[ODDV]])</f>
        <v>0.27777777777777779</v>
      </c>
      <c r="AN97" s="74">
        <f>IF(A97="","",1-(Tabela1[[#This Row],[p(H)]]+Tabela1[[#This Row],[p(D)]]+Tabela1[[#This Row],[p(A)]]))</f>
        <v>-5.6998556998557159E-2</v>
      </c>
      <c r="AO97" s="74">
        <f>IF(A97="","",IFERROR(Tabela1[[#This Row],[p(H)]]/Tabela1[[#This Row],[FTHG]],1))</f>
        <v>1</v>
      </c>
      <c r="AP97" s="74">
        <f>IF(A97="","",IFERROR(Tabela1[[#This Row],[p(A)]]/Tabela1[[#This Row],[FTAG]],1))</f>
        <v>0.27777777777777779</v>
      </c>
      <c r="AQ97" s="107"/>
      <c r="AR97" s="107"/>
      <c r="AS97" s="107"/>
      <c r="AT97" s="107"/>
      <c r="AU97" s="107"/>
      <c r="AV97" s="107"/>
      <c r="AW97" s="107"/>
      <c r="AX97" s="107"/>
      <c r="AY97" s="107"/>
      <c r="AZ97" s="75"/>
      <c r="BA97" s="75"/>
      <c r="BB97" s="97"/>
      <c r="BC97" s="104"/>
      <c r="BD97" s="97"/>
      <c r="BE97" s="104"/>
      <c r="BF97" s="97"/>
      <c r="BG97" s="114"/>
      <c r="BH97" s="114"/>
      <c r="BI97" s="104"/>
      <c r="BJ97" s="104"/>
      <c r="BK97" s="123"/>
      <c r="BL97" s="104"/>
      <c r="BM97" s="104"/>
      <c r="BN97" s="104"/>
      <c r="BO97" s="104"/>
      <c r="BP97" s="104"/>
      <c r="BQ97" s="104"/>
      <c r="BR97" s="107"/>
      <c r="BS97" s="107"/>
      <c r="BT97" s="107"/>
      <c r="BU97" s="107"/>
      <c r="BV97" s="107"/>
      <c r="BW97" s="107"/>
      <c r="BX97" s="75"/>
      <c r="BY97" s="75"/>
      <c r="BZ97" s="75"/>
      <c r="CA97" s="75"/>
      <c r="CB97" s="75"/>
      <c r="CC97" s="75"/>
      <c r="CD97" s="75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</row>
    <row r="98" spans="1:120" x14ac:dyDescent="0.25">
      <c r="A98" s="4">
        <v>46118</v>
      </c>
      <c r="B98" t="s">
        <v>361</v>
      </c>
      <c r="C98" t="s">
        <v>389</v>
      </c>
      <c r="D98">
        <v>0</v>
      </c>
      <c r="E98">
        <v>0</v>
      </c>
      <c r="F98" t="s">
        <v>348</v>
      </c>
      <c r="G98">
        <v>1.68</v>
      </c>
      <c r="H98">
        <v>3.7</v>
      </c>
      <c r="I98">
        <v>4.75</v>
      </c>
      <c r="J98" s="68">
        <f t="shared" si="42"/>
        <v>1</v>
      </c>
      <c r="K98" s="68">
        <f t="shared" si="43"/>
        <v>1</v>
      </c>
      <c r="L98" s="69">
        <f t="shared" si="44"/>
        <v>0</v>
      </c>
      <c r="M98" s="69">
        <f t="shared" si="45"/>
        <v>0</v>
      </c>
      <c r="N98" s="69">
        <f>IF(A98="","",Tabela1[[#This Row],[PTC]]*Tabela1[[#This Row],[ODDC]])</f>
        <v>1.68</v>
      </c>
      <c r="O98" s="69">
        <f>IF(A98="","",Tabela1[[#This Row],[PTV]]*Tabela1[[#This Row],[ODDV]])</f>
        <v>4.75</v>
      </c>
      <c r="P98" s="68">
        <f t="shared" si="46"/>
        <v>0</v>
      </c>
      <c r="Q98" s="68">
        <f t="shared" si="47"/>
        <v>0</v>
      </c>
      <c r="R98" s="68">
        <f t="shared" si="48"/>
        <v>-1</v>
      </c>
      <c r="S98" s="68">
        <f t="shared" si="49"/>
        <v>-1</v>
      </c>
      <c r="T98" s="68">
        <f>IF(A98="","",IF(F98="D",Tabela1[[#This Row],[ODDE]]-1,-1))</f>
        <v>2.7</v>
      </c>
      <c r="U98" s="70">
        <f>IF(A98="","",IF(AND(Tabela1[[#This Row],[FTHG]]&gt;3,F98="H"),1,0))</f>
        <v>0</v>
      </c>
      <c r="V98" s="70">
        <f>IF(A98="","",IF(AND(Tabela1[[#This Row],[FTAG]]&gt;3,F98="A"),1,0))</f>
        <v>0</v>
      </c>
      <c r="W98" s="70">
        <f t="shared" si="50"/>
        <v>0</v>
      </c>
      <c r="X98" s="70">
        <f t="shared" si="51"/>
        <v>0</v>
      </c>
      <c r="Y98" s="71">
        <f t="shared" si="52"/>
        <v>0</v>
      </c>
      <c r="Z98" s="70">
        <f t="shared" si="53"/>
        <v>0</v>
      </c>
      <c r="AA98" s="70">
        <f t="shared" si="54"/>
        <v>0</v>
      </c>
      <c r="AB98" s="70">
        <f t="shared" si="55"/>
        <v>0</v>
      </c>
      <c r="AC98" s="71">
        <f t="shared" si="56"/>
        <v>0</v>
      </c>
      <c r="AD98" s="72" t="str">
        <f t="shared" si="57"/>
        <v>ABR</v>
      </c>
      <c r="AE98" s="73">
        <f>IF(A98="","",COUNT($N$2:N98))</f>
        <v>97</v>
      </c>
      <c r="AF98" s="74">
        <f t="shared" si="58"/>
        <v>0</v>
      </c>
      <c r="AG98" s="74">
        <f t="shared" si="59"/>
        <v>1</v>
      </c>
      <c r="AH98" s="74">
        <f t="shared" si="60"/>
        <v>0</v>
      </c>
      <c r="AI98" s="74" t="str">
        <f t="shared" si="61"/>
        <v>1,41-1,7</v>
      </c>
      <c r="AJ98" s="74" t="str">
        <f t="shared" si="62"/>
        <v>4,01-5,5</v>
      </c>
      <c r="AK98" s="74">
        <f>IF(A98="","",1/Tabela1[[#This Row],[ODDC]])</f>
        <v>0.59523809523809523</v>
      </c>
      <c r="AL98" s="74">
        <f>IF(A98="","",1/Tabela1[[#This Row],[ODDE]])</f>
        <v>0.27027027027027023</v>
      </c>
      <c r="AM98" s="74">
        <f>IF(A98="","",1/Tabela1[[#This Row],[ODDV]])</f>
        <v>0.21052631578947367</v>
      </c>
      <c r="AN98" s="74">
        <f>IF(A98="","",1-(Tabela1[[#This Row],[p(H)]]+Tabela1[[#This Row],[p(D)]]+Tabela1[[#This Row],[p(A)]]))</f>
        <v>-7.6034681297839191E-2</v>
      </c>
      <c r="AO98" s="74">
        <f>IF(A98="","",IFERROR(Tabela1[[#This Row],[p(H)]]/Tabela1[[#This Row],[FTHG]],1))</f>
        <v>1</v>
      </c>
      <c r="AP98" s="74">
        <f>IF(A98="","",IFERROR(Tabela1[[#This Row],[p(A)]]/Tabela1[[#This Row],[FTAG]],1))</f>
        <v>1</v>
      </c>
      <c r="AQ98" s="107"/>
      <c r="AR98" s="107"/>
      <c r="AS98" s="107"/>
      <c r="AT98" s="107"/>
      <c r="AU98" s="107"/>
      <c r="AV98" s="107"/>
      <c r="AW98" s="107"/>
      <c r="AX98" s="107"/>
      <c r="AY98" s="107"/>
      <c r="AZ98" s="75"/>
      <c r="BA98" s="75"/>
      <c r="BB98" s="97"/>
      <c r="BC98" s="104"/>
      <c r="BD98" s="97"/>
      <c r="BE98" s="104"/>
      <c r="BF98" s="97"/>
      <c r="BG98" s="114"/>
      <c r="BH98" s="11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7"/>
      <c r="BS98" s="107"/>
      <c r="BT98" s="107"/>
      <c r="BU98" s="107"/>
      <c r="BV98" s="107"/>
      <c r="BW98" s="107"/>
      <c r="BX98" s="75"/>
      <c r="BY98" s="75"/>
      <c r="BZ98" s="75"/>
      <c r="CA98" s="75"/>
      <c r="CB98" s="75"/>
      <c r="CC98" s="75"/>
      <c r="CD98" s="75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</row>
    <row r="99" spans="1:120" x14ac:dyDescent="0.25">
      <c r="A99" s="4">
        <v>46123</v>
      </c>
      <c r="B99" t="s">
        <v>389</v>
      </c>
      <c r="C99" t="s">
        <v>360</v>
      </c>
      <c r="D99">
        <v>1</v>
      </c>
      <c r="E99">
        <v>1</v>
      </c>
      <c r="F99" t="s">
        <v>348</v>
      </c>
      <c r="G99">
        <v>2.85</v>
      </c>
      <c r="H99">
        <v>3.2</v>
      </c>
      <c r="I99">
        <v>2.5</v>
      </c>
      <c r="J99" s="68">
        <f t="shared" si="42"/>
        <v>1</v>
      </c>
      <c r="K99" s="68">
        <f t="shared" si="43"/>
        <v>1</v>
      </c>
      <c r="L99" s="69">
        <f t="shared" si="44"/>
        <v>0.4</v>
      </c>
      <c r="M99" s="69">
        <f t="shared" si="45"/>
        <v>0.35087719298245612</v>
      </c>
      <c r="N99" s="69">
        <f>IF(A99="","",Tabela1[[#This Row],[PTC]]*Tabela1[[#This Row],[ODDC]])</f>
        <v>2.85</v>
      </c>
      <c r="O99" s="69">
        <f>IF(A99="","",Tabela1[[#This Row],[PTV]]*Tabela1[[#This Row],[ODDV]])</f>
        <v>2.5</v>
      </c>
      <c r="P99" s="68">
        <f t="shared" si="46"/>
        <v>0</v>
      </c>
      <c r="Q99" s="68">
        <f t="shared" si="47"/>
        <v>0</v>
      </c>
      <c r="R99" s="68">
        <f t="shared" si="48"/>
        <v>-1</v>
      </c>
      <c r="S99" s="68">
        <f t="shared" si="49"/>
        <v>-1</v>
      </c>
      <c r="T99" s="68">
        <f>IF(A99="","",IF(F99="D",Tabela1[[#This Row],[ODDE]]-1,-1))</f>
        <v>2.2000000000000002</v>
      </c>
      <c r="U99" s="70">
        <f>IF(A99="","",IF(AND(Tabela1[[#This Row],[FTHG]]&gt;3,F99="H"),1,0))</f>
        <v>0</v>
      </c>
      <c r="V99" s="70">
        <f>IF(A99="","",IF(AND(Tabela1[[#This Row],[FTAG]]&gt;3,F99="A"),1,0))</f>
        <v>0</v>
      </c>
      <c r="W99" s="70">
        <f t="shared" si="50"/>
        <v>1</v>
      </c>
      <c r="X99" s="70">
        <f t="shared" si="51"/>
        <v>1</v>
      </c>
      <c r="Y99" s="71">
        <f t="shared" si="52"/>
        <v>0</v>
      </c>
      <c r="Z99" s="70">
        <f t="shared" si="53"/>
        <v>0</v>
      </c>
      <c r="AA99" s="70">
        <f t="shared" si="54"/>
        <v>0</v>
      </c>
      <c r="AB99" s="70">
        <f t="shared" si="55"/>
        <v>0</v>
      </c>
      <c r="AC99" s="71">
        <f t="shared" si="56"/>
        <v>1</v>
      </c>
      <c r="AD99" s="72" t="str">
        <f t="shared" si="57"/>
        <v>ABR</v>
      </c>
      <c r="AE99" s="73">
        <f>IF(A99="","",COUNT($N$2:N99))</f>
        <v>98</v>
      </c>
      <c r="AF99" s="74">
        <f t="shared" si="58"/>
        <v>0</v>
      </c>
      <c r="AG99" s="74">
        <f t="shared" si="59"/>
        <v>1</v>
      </c>
      <c r="AH99" s="74">
        <f t="shared" si="60"/>
        <v>0</v>
      </c>
      <c r="AI99" s="74" t="str">
        <f t="shared" si="61"/>
        <v>2,41-3,0</v>
      </c>
      <c r="AJ99" s="74" t="str">
        <f t="shared" si="62"/>
        <v>2,41-3,0</v>
      </c>
      <c r="AK99" s="74">
        <f>IF(A99="","",1/Tabela1[[#This Row],[ODDC]])</f>
        <v>0.35087719298245612</v>
      </c>
      <c r="AL99" s="74">
        <f>IF(A99="","",1/Tabela1[[#This Row],[ODDE]])</f>
        <v>0.3125</v>
      </c>
      <c r="AM99" s="74">
        <f>IF(A99="","",1/Tabela1[[#This Row],[ODDV]])</f>
        <v>0.4</v>
      </c>
      <c r="AN99" s="74">
        <f>IF(A99="","",1-(Tabela1[[#This Row],[p(H)]]+Tabela1[[#This Row],[p(D)]]+Tabela1[[#This Row],[p(A)]]))</f>
        <v>-6.3377192982456254E-2</v>
      </c>
      <c r="AO99" s="74">
        <f>IF(A99="","",IFERROR(Tabela1[[#This Row],[p(H)]]/Tabela1[[#This Row],[FTHG]],1))</f>
        <v>0.35087719298245612</v>
      </c>
      <c r="AP99" s="74">
        <f>IF(A99="","",IFERROR(Tabela1[[#This Row],[p(A)]]/Tabela1[[#This Row],[FTAG]],1))</f>
        <v>0.4</v>
      </c>
      <c r="AQ99" s="107"/>
      <c r="AR99" s="107"/>
      <c r="AS99" s="107"/>
      <c r="AT99" s="107"/>
      <c r="AU99" s="107"/>
      <c r="AV99" s="107"/>
      <c r="AW99" s="107"/>
      <c r="AX99" s="107"/>
      <c r="AY99" s="107"/>
      <c r="AZ99" s="75"/>
      <c r="BA99" s="75"/>
      <c r="BB99" s="97"/>
      <c r="BC99" s="104"/>
      <c r="BD99" s="97"/>
      <c r="BE99" s="104"/>
      <c r="BF99" s="104"/>
      <c r="BG99" s="11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7"/>
      <c r="BS99" s="107"/>
      <c r="BT99" s="107"/>
      <c r="BU99" s="107"/>
      <c r="BV99" s="107"/>
      <c r="BW99" s="107"/>
      <c r="BX99" s="75"/>
      <c r="BY99" s="75"/>
      <c r="BZ99" s="75"/>
      <c r="CA99" s="75"/>
      <c r="CB99" s="75"/>
      <c r="CC99" s="75"/>
      <c r="CD99" s="75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</row>
    <row r="100" spans="1:120" x14ac:dyDescent="0.25">
      <c r="A100" s="4">
        <v>46123</v>
      </c>
      <c r="B100" t="s">
        <v>381</v>
      </c>
      <c r="C100" t="s">
        <v>351</v>
      </c>
      <c r="D100">
        <v>2</v>
      </c>
      <c r="E100">
        <v>0</v>
      </c>
      <c r="F100" t="s">
        <v>347</v>
      </c>
      <c r="G100">
        <v>3</v>
      </c>
      <c r="H100">
        <v>3</v>
      </c>
      <c r="I100">
        <v>2.5</v>
      </c>
      <c r="J100" s="68">
        <f t="shared" si="42"/>
        <v>3</v>
      </c>
      <c r="K100" s="68">
        <f t="shared" si="43"/>
        <v>0</v>
      </c>
      <c r="L100" s="69">
        <f t="shared" si="44"/>
        <v>0.8</v>
      </c>
      <c r="M100" s="69">
        <f t="shared" si="45"/>
        <v>0</v>
      </c>
      <c r="N100" s="69">
        <f>IF(A100="","",Tabela1[[#This Row],[PTC]]*Tabela1[[#This Row],[ODDC]])</f>
        <v>9</v>
      </c>
      <c r="O100" s="69">
        <f>IF(A100="","",Tabela1[[#This Row],[PTV]]*Tabela1[[#This Row],[ODDV]])</f>
        <v>0</v>
      </c>
      <c r="P100" s="68">
        <f t="shared" si="46"/>
        <v>2</v>
      </c>
      <c r="Q100" s="68">
        <f t="shared" si="47"/>
        <v>-2</v>
      </c>
      <c r="R100" s="68">
        <f t="shared" si="48"/>
        <v>2</v>
      </c>
      <c r="S100" s="68">
        <f t="shared" si="49"/>
        <v>-1</v>
      </c>
      <c r="T100" s="68">
        <f>IF(A100="","",IF(F100="D",Tabela1[[#This Row],[ODDE]]-1,-1))</f>
        <v>-1</v>
      </c>
      <c r="U100" s="70">
        <f>IF(A100="","",IF(AND(Tabela1[[#This Row],[FTHG]]&gt;3,F100="H"),1,0))</f>
        <v>0</v>
      </c>
      <c r="V100" s="70">
        <f>IF(A100="","",IF(AND(Tabela1[[#This Row],[FTAG]]&gt;3,F100="A"),1,0))</f>
        <v>0</v>
      </c>
      <c r="W100" s="70">
        <f t="shared" si="50"/>
        <v>1</v>
      </c>
      <c r="X100" s="70">
        <f t="shared" si="51"/>
        <v>1</v>
      </c>
      <c r="Y100" s="71">
        <f t="shared" si="52"/>
        <v>0</v>
      </c>
      <c r="Z100" s="70">
        <f t="shared" si="53"/>
        <v>0</v>
      </c>
      <c r="AA100" s="70">
        <f t="shared" si="54"/>
        <v>0</v>
      </c>
      <c r="AB100" s="70">
        <f t="shared" si="55"/>
        <v>0</v>
      </c>
      <c r="AC100" s="71">
        <f t="shared" si="56"/>
        <v>0</v>
      </c>
      <c r="AD100" s="72" t="str">
        <f t="shared" si="57"/>
        <v>ABR</v>
      </c>
      <c r="AE100" s="73">
        <f>IF(A100="","",COUNT($N$2:N100))</f>
        <v>99</v>
      </c>
      <c r="AF100" s="74">
        <f t="shared" si="58"/>
        <v>1</v>
      </c>
      <c r="AG100" s="74">
        <f t="shared" si="59"/>
        <v>0</v>
      </c>
      <c r="AH100" s="74">
        <f t="shared" si="60"/>
        <v>0</v>
      </c>
      <c r="AI100" s="74" t="str">
        <f t="shared" si="61"/>
        <v>2,41-3,0</v>
      </c>
      <c r="AJ100" s="74" t="str">
        <f t="shared" si="62"/>
        <v>2,41-3,0</v>
      </c>
      <c r="AK100" s="74">
        <f>IF(A100="","",1/Tabela1[[#This Row],[ODDC]])</f>
        <v>0.33333333333333331</v>
      </c>
      <c r="AL100" s="74">
        <f>IF(A100="","",1/Tabela1[[#This Row],[ODDE]])</f>
        <v>0.33333333333333331</v>
      </c>
      <c r="AM100" s="74">
        <f>IF(A100="","",1/Tabela1[[#This Row],[ODDV]])</f>
        <v>0.4</v>
      </c>
      <c r="AN100" s="74">
        <f>IF(A100="","",1-(Tabela1[[#This Row],[p(H)]]+Tabela1[[#This Row],[p(D)]]+Tabela1[[#This Row],[p(A)]]))</f>
        <v>-6.6666666666666652E-2</v>
      </c>
      <c r="AO100" s="74">
        <f>IF(A100="","",IFERROR(Tabela1[[#This Row],[p(H)]]/Tabela1[[#This Row],[FTHG]],1))</f>
        <v>0.16666666666666666</v>
      </c>
      <c r="AP100" s="74">
        <f>IF(A100="","",IFERROR(Tabela1[[#This Row],[p(A)]]/Tabela1[[#This Row],[FTAG]],1))</f>
        <v>1</v>
      </c>
      <c r="AQ100" s="107"/>
      <c r="AR100" s="107"/>
      <c r="AS100" s="107"/>
      <c r="AT100" s="107"/>
      <c r="AU100" s="107"/>
      <c r="AV100" s="107"/>
      <c r="AW100" s="107"/>
      <c r="AX100" s="107"/>
      <c r="AY100" s="107"/>
      <c r="AZ100" s="75"/>
      <c r="BA100" s="75"/>
      <c r="BB100" s="97"/>
      <c r="BC100" s="104"/>
      <c r="BD100" s="104"/>
      <c r="BE100" s="104"/>
      <c r="BF100" s="104"/>
      <c r="BG100" s="11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7"/>
      <c r="BS100" s="107"/>
      <c r="BT100" s="107"/>
      <c r="BU100" s="107"/>
      <c r="BV100" s="107"/>
      <c r="BW100" s="107"/>
      <c r="BX100" s="75"/>
      <c r="BY100" s="75"/>
      <c r="BZ100" s="75"/>
      <c r="CA100" s="75"/>
      <c r="CB100" s="75"/>
      <c r="CC100" s="75"/>
      <c r="CD100" s="75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2"/>
      <c r="DE100" s="102"/>
      <c r="DF100" s="102"/>
      <c r="DG100" s="102"/>
      <c r="DH100" s="102"/>
      <c r="DI100" s="102"/>
      <c r="DJ100" s="102"/>
      <c r="DK100" s="102"/>
      <c r="DL100" s="102"/>
      <c r="DM100" s="102"/>
      <c r="DN100" s="102"/>
      <c r="DO100" s="102"/>
      <c r="DP100" s="102"/>
    </row>
    <row r="101" spans="1:120" x14ac:dyDescent="0.25">
      <c r="A101" s="4">
        <v>46123</v>
      </c>
      <c r="B101" t="s">
        <v>382</v>
      </c>
      <c r="C101" t="s">
        <v>356</v>
      </c>
      <c r="D101">
        <v>1</v>
      </c>
      <c r="E101">
        <v>2</v>
      </c>
      <c r="F101" t="s">
        <v>346</v>
      </c>
      <c r="G101">
        <v>2.15</v>
      </c>
      <c r="H101">
        <v>3.3</v>
      </c>
      <c r="I101">
        <v>3.4</v>
      </c>
      <c r="J101" s="68">
        <f t="shared" si="42"/>
        <v>0</v>
      </c>
      <c r="K101" s="68">
        <f t="shared" si="43"/>
        <v>3</v>
      </c>
      <c r="L101" s="69">
        <f t="shared" si="44"/>
        <v>0.29411764705882354</v>
      </c>
      <c r="M101" s="69">
        <f t="shared" si="45"/>
        <v>0.93023255813953487</v>
      </c>
      <c r="N101" s="69">
        <f>IF(A101="","",Tabela1[[#This Row],[PTC]]*Tabela1[[#This Row],[ODDC]])</f>
        <v>0</v>
      </c>
      <c r="O101" s="69">
        <f>IF(A101="","",Tabela1[[#This Row],[PTV]]*Tabela1[[#This Row],[ODDV]])</f>
        <v>10.199999999999999</v>
      </c>
      <c r="P101" s="68">
        <f t="shared" si="46"/>
        <v>-1</v>
      </c>
      <c r="Q101" s="68">
        <f t="shared" si="47"/>
        <v>1</v>
      </c>
      <c r="R101" s="68">
        <f t="shared" si="48"/>
        <v>-1</v>
      </c>
      <c r="S101" s="68">
        <f t="shared" si="49"/>
        <v>2.4</v>
      </c>
      <c r="T101" s="68">
        <f>IF(A101="","",IF(F101="D",Tabela1[[#This Row],[ODDE]]-1,-1))</f>
        <v>-1</v>
      </c>
      <c r="U101" s="70">
        <f>IF(A101="","",IF(AND(Tabela1[[#This Row],[FTHG]]&gt;3,F101="H"),1,0))</f>
        <v>0</v>
      </c>
      <c r="V101" s="70">
        <f>IF(A101="","",IF(AND(Tabela1[[#This Row],[FTAG]]&gt;3,F101="A"),1,0))</f>
        <v>0</v>
      </c>
      <c r="W101" s="70">
        <f t="shared" si="50"/>
        <v>1</v>
      </c>
      <c r="X101" s="70">
        <f t="shared" si="51"/>
        <v>1</v>
      </c>
      <c r="Y101" s="71">
        <f t="shared" si="52"/>
        <v>1</v>
      </c>
      <c r="Z101" s="70">
        <f t="shared" si="53"/>
        <v>0</v>
      </c>
      <c r="AA101" s="70">
        <f t="shared" si="54"/>
        <v>0</v>
      </c>
      <c r="AB101" s="70">
        <f t="shared" si="55"/>
        <v>0</v>
      </c>
      <c r="AC101" s="71">
        <f t="shared" si="56"/>
        <v>1</v>
      </c>
      <c r="AD101" s="72" t="str">
        <f t="shared" si="57"/>
        <v>ABR</v>
      </c>
      <c r="AE101" s="73">
        <f>IF(A101="","",COUNT($N$2:N101))</f>
        <v>100</v>
      </c>
      <c r="AF101" s="74">
        <f t="shared" si="58"/>
        <v>0</v>
      </c>
      <c r="AG101" s="74">
        <f t="shared" si="59"/>
        <v>0</v>
      </c>
      <c r="AH101" s="74">
        <f t="shared" si="60"/>
        <v>1</v>
      </c>
      <c r="AI101" s="74" t="str">
        <f t="shared" si="61"/>
        <v>2,01-2,4</v>
      </c>
      <c r="AJ101" s="74" t="str">
        <f t="shared" si="62"/>
        <v>3,01-4.0</v>
      </c>
      <c r="AK101" s="74">
        <f>IF(A101="","",1/Tabela1[[#This Row],[ODDC]])</f>
        <v>0.46511627906976744</v>
      </c>
      <c r="AL101" s="74">
        <f>IF(A101="","",1/Tabela1[[#This Row],[ODDE]])</f>
        <v>0.30303030303030304</v>
      </c>
      <c r="AM101" s="74">
        <f>IF(A101="","",1/Tabela1[[#This Row],[ODDV]])</f>
        <v>0.29411764705882354</v>
      </c>
      <c r="AN101" s="74">
        <f>IF(A101="","",1-(Tabela1[[#This Row],[p(H)]]+Tabela1[[#This Row],[p(D)]]+Tabela1[[#This Row],[p(A)]]))</f>
        <v>-6.2264229158893958E-2</v>
      </c>
      <c r="AO101" s="74">
        <f>IF(A101="","",IFERROR(Tabela1[[#This Row],[p(H)]]/Tabela1[[#This Row],[FTHG]],1))</f>
        <v>0.46511627906976744</v>
      </c>
      <c r="AP101" s="74">
        <f>IF(A101="","",IFERROR(Tabela1[[#This Row],[p(A)]]/Tabela1[[#This Row],[FTAG]],1))</f>
        <v>0.14705882352941177</v>
      </c>
      <c r="AQ101" s="107"/>
      <c r="AR101" s="107"/>
      <c r="AS101" s="107"/>
      <c r="AT101" s="107"/>
      <c r="AU101" s="107"/>
      <c r="AV101" s="107"/>
      <c r="AW101" s="107"/>
      <c r="AX101" s="107"/>
      <c r="AY101" s="107"/>
      <c r="AZ101" s="75"/>
      <c r="BA101" s="75"/>
      <c r="BB101" s="97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7"/>
      <c r="BS101" s="107"/>
      <c r="BT101" s="107"/>
      <c r="BU101" s="107"/>
      <c r="BV101" s="107"/>
      <c r="BW101" s="107"/>
      <c r="BX101" s="75"/>
      <c r="BY101" s="75"/>
      <c r="BZ101" s="75"/>
      <c r="CA101" s="75"/>
      <c r="CB101" s="75"/>
      <c r="CC101" s="75"/>
      <c r="CD101" s="75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</row>
    <row r="102" spans="1:120" x14ac:dyDescent="0.25">
      <c r="A102" s="4">
        <v>46124</v>
      </c>
      <c r="B102" t="s">
        <v>362</v>
      </c>
      <c r="C102" t="s">
        <v>359</v>
      </c>
      <c r="D102">
        <v>1</v>
      </c>
      <c r="E102">
        <v>0</v>
      </c>
      <c r="F102" t="s">
        <v>347</v>
      </c>
      <c r="G102">
        <v>2.1</v>
      </c>
      <c r="H102">
        <v>3.2</v>
      </c>
      <c r="I102">
        <v>3.5</v>
      </c>
      <c r="J102" s="68">
        <f t="shared" si="42"/>
        <v>3</v>
      </c>
      <c r="K102" s="68">
        <f t="shared" si="43"/>
        <v>0</v>
      </c>
      <c r="L102" s="69">
        <f t="shared" si="44"/>
        <v>0.2857142857142857</v>
      </c>
      <c r="M102" s="69">
        <f t="shared" si="45"/>
        <v>0</v>
      </c>
      <c r="N102" s="69">
        <f>IF(A102="","",Tabela1[[#This Row],[PTC]]*Tabela1[[#This Row],[ODDC]])</f>
        <v>6.3000000000000007</v>
      </c>
      <c r="O102" s="69">
        <f>IF(A102="","",Tabela1[[#This Row],[PTV]]*Tabela1[[#This Row],[ODDV]])</f>
        <v>0</v>
      </c>
      <c r="P102" s="68">
        <f t="shared" si="46"/>
        <v>1</v>
      </c>
      <c r="Q102" s="68">
        <f t="shared" si="47"/>
        <v>-1</v>
      </c>
      <c r="R102" s="68">
        <f t="shared" si="48"/>
        <v>1.1000000000000001</v>
      </c>
      <c r="S102" s="68">
        <f t="shared" si="49"/>
        <v>-1</v>
      </c>
      <c r="T102" s="68">
        <f>IF(A102="","",IF(F102="D",Tabela1[[#This Row],[ODDE]]-1,-1))</f>
        <v>-1</v>
      </c>
      <c r="U102" s="70">
        <f>IF(A102="","",IF(AND(Tabela1[[#This Row],[FTHG]]&gt;3,F102="H"),1,0))</f>
        <v>0</v>
      </c>
      <c r="V102" s="70">
        <f>IF(A102="","",IF(AND(Tabela1[[#This Row],[FTAG]]&gt;3,F102="A"),1,0))</f>
        <v>0</v>
      </c>
      <c r="W102" s="70">
        <f t="shared" si="50"/>
        <v>1</v>
      </c>
      <c r="X102" s="70">
        <f t="shared" si="51"/>
        <v>0</v>
      </c>
      <c r="Y102" s="71">
        <f t="shared" si="52"/>
        <v>0</v>
      </c>
      <c r="Z102" s="70">
        <f t="shared" si="53"/>
        <v>0</v>
      </c>
      <c r="AA102" s="70">
        <f t="shared" si="54"/>
        <v>0</v>
      </c>
      <c r="AB102" s="70">
        <f t="shared" si="55"/>
        <v>0</v>
      </c>
      <c r="AC102" s="71">
        <f t="shared" si="56"/>
        <v>0</v>
      </c>
      <c r="AD102" s="72" t="str">
        <f t="shared" si="57"/>
        <v>ABR</v>
      </c>
      <c r="AE102" s="73">
        <f>IF(A102="","",COUNT($N$2:N102))</f>
        <v>101</v>
      </c>
      <c r="AF102" s="74">
        <f t="shared" si="58"/>
        <v>1</v>
      </c>
      <c r="AG102" s="74">
        <f t="shared" si="59"/>
        <v>0</v>
      </c>
      <c r="AH102" s="74">
        <f t="shared" si="60"/>
        <v>0</v>
      </c>
      <c r="AI102" s="74" t="str">
        <f t="shared" si="61"/>
        <v>2,01-2,4</v>
      </c>
      <c r="AJ102" s="74" t="str">
        <f t="shared" si="62"/>
        <v>3,01-4.0</v>
      </c>
      <c r="AK102" s="74">
        <f>IF(A102="","",1/Tabela1[[#This Row],[ODDC]])</f>
        <v>0.47619047619047616</v>
      </c>
      <c r="AL102" s="74">
        <f>IF(A102="","",1/Tabela1[[#This Row],[ODDE]])</f>
        <v>0.3125</v>
      </c>
      <c r="AM102" s="74">
        <f>IF(A102="","",1/Tabela1[[#This Row],[ODDV]])</f>
        <v>0.2857142857142857</v>
      </c>
      <c r="AN102" s="74">
        <f>IF(A102="","",1-(Tabela1[[#This Row],[p(H)]]+Tabela1[[#This Row],[p(D)]]+Tabela1[[#This Row],[p(A)]]))</f>
        <v>-7.4404761904761862E-2</v>
      </c>
      <c r="AO102" s="74">
        <f>IF(A102="","",IFERROR(Tabela1[[#This Row],[p(H)]]/Tabela1[[#This Row],[FTHG]],1))</f>
        <v>0.47619047619047616</v>
      </c>
      <c r="AP102" s="74">
        <f>IF(A102="","",IFERROR(Tabela1[[#This Row],[p(A)]]/Tabela1[[#This Row],[FTAG]],1))</f>
        <v>1</v>
      </c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75"/>
      <c r="BA102" s="75"/>
      <c r="BB102" s="97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7"/>
      <c r="BS102" s="107"/>
      <c r="BT102" s="107"/>
      <c r="BU102" s="107"/>
      <c r="BV102" s="107"/>
      <c r="BW102" s="107"/>
      <c r="BX102" s="75"/>
      <c r="BY102" s="75"/>
      <c r="BZ102" s="75"/>
      <c r="CA102" s="75"/>
      <c r="CB102" s="75"/>
      <c r="CC102" s="75"/>
      <c r="CD102" s="75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</row>
    <row r="103" spans="1:120" x14ac:dyDescent="0.25">
      <c r="A103" s="4">
        <v>46124</v>
      </c>
      <c r="B103" t="s">
        <v>354</v>
      </c>
      <c r="C103" t="s">
        <v>361</v>
      </c>
      <c r="D103">
        <v>0</v>
      </c>
      <c r="E103">
        <v>0</v>
      </c>
      <c r="F103" t="s">
        <v>348</v>
      </c>
      <c r="G103">
        <v>1.71</v>
      </c>
      <c r="H103">
        <v>3.6</v>
      </c>
      <c r="I103">
        <v>4.75</v>
      </c>
      <c r="J103" s="68">
        <f t="shared" si="42"/>
        <v>1</v>
      </c>
      <c r="K103" s="68">
        <f t="shared" si="43"/>
        <v>1</v>
      </c>
      <c r="L103" s="69">
        <f t="shared" si="44"/>
        <v>0</v>
      </c>
      <c r="M103" s="69">
        <f t="shared" si="45"/>
        <v>0</v>
      </c>
      <c r="N103" s="69">
        <f>IF(A103="","",Tabela1[[#This Row],[PTC]]*Tabela1[[#This Row],[ODDC]])</f>
        <v>1.71</v>
      </c>
      <c r="O103" s="69">
        <f>IF(A103="","",Tabela1[[#This Row],[PTV]]*Tabela1[[#This Row],[ODDV]])</f>
        <v>4.75</v>
      </c>
      <c r="P103" s="68">
        <f t="shared" si="46"/>
        <v>0</v>
      </c>
      <c r="Q103" s="68">
        <f t="shared" si="47"/>
        <v>0</v>
      </c>
      <c r="R103" s="68">
        <f t="shared" si="48"/>
        <v>-1</v>
      </c>
      <c r="S103" s="68">
        <f t="shared" si="49"/>
        <v>-1</v>
      </c>
      <c r="T103" s="68">
        <f>IF(A103="","",IF(F103="D",Tabela1[[#This Row],[ODDE]]-1,-1))</f>
        <v>2.6</v>
      </c>
      <c r="U103" s="70">
        <f>IF(A103="","",IF(AND(Tabela1[[#This Row],[FTHG]]&gt;3,F103="H"),1,0))</f>
        <v>0</v>
      </c>
      <c r="V103" s="70">
        <f>IF(A103="","",IF(AND(Tabela1[[#This Row],[FTAG]]&gt;3,F103="A"),1,0))</f>
        <v>0</v>
      </c>
      <c r="W103" s="70">
        <f t="shared" si="50"/>
        <v>0</v>
      </c>
      <c r="X103" s="70">
        <f t="shared" si="51"/>
        <v>0</v>
      </c>
      <c r="Y103" s="71">
        <f t="shared" si="52"/>
        <v>0</v>
      </c>
      <c r="Z103" s="70">
        <f t="shared" si="53"/>
        <v>0</v>
      </c>
      <c r="AA103" s="70">
        <f t="shared" si="54"/>
        <v>0</v>
      </c>
      <c r="AB103" s="70">
        <f t="shared" si="55"/>
        <v>0</v>
      </c>
      <c r="AC103" s="71">
        <f t="shared" si="56"/>
        <v>0</v>
      </c>
      <c r="AD103" s="72" t="str">
        <f t="shared" si="57"/>
        <v>ABR</v>
      </c>
      <c r="AE103" s="73">
        <f>IF(A103="","",COUNT($N$2:N103))</f>
        <v>102</v>
      </c>
      <c r="AF103" s="74">
        <f t="shared" si="58"/>
        <v>0</v>
      </c>
      <c r="AG103" s="74">
        <f t="shared" si="59"/>
        <v>1</v>
      </c>
      <c r="AH103" s="74">
        <f t="shared" si="60"/>
        <v>0</v>
      </c>
      <c r="AI103" s="74" t="str">
        <f t="shared" si="61"/>
        <v>1,71-2,0</v>
      </c>
      <c r="AJ103" s="74" t="str">
        <f t="shared" si="62"/>
        <v>4,01-5,5</v>
      </c>
      <c r="AK103" s="74">
        <f>IF(A103="","",1/Tabela1[[#This Row],[ODDC]])</f>
        <v>0.58479532163742687</v>
      </c>
      <c r="AL103" s="74">
        <f>IF(A103="","",1/Tabela1[[#This Row],[ODDE]])</f>
        <v>0.27777777777777779</v>
      </c>
      <c r="AM103" s="74">
        <f>IF(A103="","",1/Tabela1[[#This Row],[ODDV]])</f>
        <v>0.21052631578947367</v>
      </c>
      <c r="AN103" s="74">
        <f>IF(A103="","",1-(Tabela1[[#This Row],[p(H)]]+Tabela1[[#This Row],[p(D)]]+Tabela1[[#This Row],[p(A)]]))</f>
        <v>-7.309941520467822E-2</v>
      </c>
      <c r="AO103" s="74">
        <f>IF(A103="","",IFERROR(Tabela1[[#This Row],[p(H)]]/Tabela1[[#This Row],[FTHG]],1))</f>
        <v>1</v>
      </c>
      <c r="AP103" s="74">
        <f>IF(A103="","",IFERROR(Tabela1[[#This Row],[p(A)]]/Tabela1[[#This Row],[FTAG]],1))</f>
        <v>1</v>
      </c>
      <c r="AQ103" s="107"/>
      <c r="AR103" s="107"/>
      <c r="AS103" s="107"/>
      <c r="AT103" s="107"/>
      <c r="AU103" s="107"/>
      <c r="AV103" s="107"/>
      <c r="AW103" s="107"/>
      <c r="AX103" s="107"/>
      <c r="AY103" s="107"/>
      <c r="AZ103" s="75"/>
      <c r="BA103" s="75"/>
      <c r="BB103" s="97"/>
      <c r="BC103" s="97"/>
      <c r="BD103" s="97"/>
      <c r="BE103" s="104"/>
      <c r="BF103" s="104"/>
      <c r="BG103" s="119"/>
      <c r="BH103" s="100"/>
      <c r="BI103" s="108"/>
      <c r="BJ103" s="116"/>
      <c r="BK103" s="104"/>
      <c r="BL103" s="104"/>
      <c r="BM103" s="104"/>
      <c r="BN103" s="104"/>
      <c r="BO103" s="104"/>
      <c r="BP103" s="104"/>
      <c r="BQ103" s="104"/>
      <c r="BR103" s="107"/>
      <c r="BS103" s="107"/>
      <c r="BT103" s="107"/>
      <c r="BU103" s="107"/>
      <c r="BV103" s="107"/>
      <c r="BW103" s="107"/>
      <c r="BX103" s="75"/>
      <c r="BY103" s="75"/>
      <c r="BZ103" s="75"/>
      <c r="CA103" s="75"/>
      <c r="CB103" s="75"/>
      <c r="CC103" s="75"/>
      <c r="CD103" s="75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</row>
    <row r="104" spans="1:120" x14ac:dyDescent="0.25">
      <c r="A104" s="4">
        <v>46124</v>
      </c>
      <c r="B104" t="s">
        <v>388</v>
      </c>
      <c r="C104" t="s">
        <v>390</v>
      </c>
      <c r="D104">
        <v>2</v>
      </c>
      <c r="E104">
        <v>0</v>
      </c>
      <c r="F104" t="s">
        <v>347</v>
      </c>
      <c r="G104">
        <v>1.39</v>
      </c>
      <c r="H104">
        <v>4.0999999999999996</v>
      </c>
      <c r="I104">
        <v>5.75</v>
      </c>
      <c r="J104" s="68">
        <f t="shared" si="42"/>
        <v>3</v>
      </c>
      <c r="K104" s="68">
        <f t="shared" si="43"/>
        <v>0</v>
      </c>
      <c r="L104" s="69">
        <f t="shared" si="44"/>
        <v>0.34782608695652173</v>
      </c>
      <c r="M104" s="69">
        <f t="shared" si="45"/>
        <v>0</v>
      </c>
      <c r="N104" s="69">
        <f>IF(A104="","",Tabela1[[#This Row],[PTC]]*Tabela1[[#This Row],[ODDC]])</f>
        <v>4.17</v>
      </c>
      <c r="O104" s="69">
        <f>IF(A104="","",Tabela1[[#This Row],[PTV]]*Tabela1[[#This Row],[ODDV]])</f>
        <v>0</v>
      </c>
      <c r="P104" s="68">
        <f t="shared" si="46"/>
        <v>2</v>
      </c>
      <c r="Q104" s="68">
        <f t="shared" si="47"/>
        <v>-2</v>
      </c>
      <c r="R104" s="68">
        <f t="shared" si="48"/>
        <v>0.3899999999999999</v>
      </c>
      <c r="S104" s="68">
        <f t="shared" si="49"/>
        <v>-1</v>
      </c>
      <c r="T104" s="68">
        <f>IF(A104="","",IF(F104="D",Tabela1[[#This Row],[ODDE]]-1,-1))</f>
        <v>-1</v>
      </c>
      <c r="U104" s="70">
        <f>IF(A104="","",IF(AND(Tabela1[[#This Row],[FTHG]]&gt;3,F104="H"),1,0))</f>
        <v>0</v>
      </c>
      <c r="V104" s="70">
        <f>IF(A104="","",IF(AND(Tabela1[[#This Row],[FTAG]]&gt;3,F104="A"),1,0))</f>
        <v>0</v>
      </c>
      <c r="W104" s="70">
        <f t="shared" si="50"/>
        <v>1</v>
      </c>
      <c r="X104" s="70">
        <f t="shared" si="51"/>
        <v>1</v>
      </c>
      <c r="Y104" s="71">
        <f t="shared" si="52"/>
        <v>0</v>
      </c>
      <c r="Z104" s="70">
        <f t="shared" si="53"/>
        <v>0</v>
      </c>
      <c r="AA104" s="70">
        <f t="shared" si="54"/>
        <v>0</v>
      </c>
      <c r="AB104" s="70">
        <f t="shared" si="55"/>
        <v>0</v>
      </c>
      <c r="AC104" s="71">
        <f t="shared" si="56"/>
        <v>0</v>
      </c>
      <c r="AD104" s="72" t="str">
        <f t="shared" si="57"/>
        <v>ABR</v>
      </c>
      <c r="AE104" s="73">
        <f>IF(A104="","",COUNT($N$2:N104))</f>
        <v>103</v>
      </c>
      <c r="AF104" s="74">
        <f t="shared" si="58"/>
        <v>1</v>
      </c>
      <c r="AG104" s="74">
        <f t="shared" si="59"/>
        <v>0</v>
      </c>
      <c r="AH104" s="74">
        <f t="shared" si="60"/>
        <v>0</v>
      </c>
      <c r="AI104" s="74" t="str">
        <f t="shared" si="61"/>
        <v>1,21-1,4</v>
      </c>
      <c r="AJ104" s="74" t="str">
        <f t="shared" si="62"/>
        <v>5,51-9,0</v>
      </c>
      <c r="AK104" s="74">
        <f>IF(A104="","",1/Tabela1[[#This Row],[ODDC]])</f>
        <v>0.71942446043165476</v>
      </c>
      <c r="AL104" s="74">
        <f>IF(A104="","",1/Tabela1[[#This Row],[ODDE]])</f>
        <v>0.24390243902439027</v>
      </c>
      <c r="AM104" s="74">
        <f>IF(A104="","",1/Tabela1[[#This Row],[ODDV]])</f>
        <v>0.17391304347826086</v>
      </c>
      <c r="AN104" s="74">
        <f>IF(A104="","",1-(Tabela1[[#This Row],[p(H)]]+Tabela1[[#This Row],[p(D)]]+Tabela1[[#This Row],[p(A)]]))</f>
        <v>-0.13723994293430586</v>
      </c>
      <c r="AO104" s="74">
        <f>IF(A104="","",IFERROR(Tabela1[[#This Row],[p(H)]]/Tabela1[[#This Row],[FTHG]],1))</f>
        <v>0.35971223021582738</v>
      </c>
      <c r="AP104" s="74">
        <f>IF(A104="","",IFERROR(Tabela1[[#This Row],[p(A)]]/Tabela1[[#This Row],[FTAG]],1))</f>
        <v>1</v>
      </c>
      <c r="AQ104" s="107"/>
      <c r="AR104" s="107"/>
      <c r="AS104" s="107"/>
      <c r="AT104" s="107"/>
      <c r="AU104" s="107"/>
      <c r="AV104" s="107"/>
      <c r="AW104" s="107"/>
      <c r="AX104" s="107"/>
      <c r="AY104" s="107"/>
      <c r="AZ104" s="75"/>
      <c r="BA104" s="75"/>
      <c r="BB104" s="97"/>
      <c r="BC104" s="124"/>
      <c r="BD104" s="125"/>
      <c r="BE104" s="97"/>
      <c r="BF104" s="104"/>
      <c r="BG104" s="118"/>
      <c r="BH104" s="97"/>
      <c r="BI104" s="118"/>
      <c r="BJ104" s="126"/>
      <c r="BK104" s="104"/>
      <c r="BL104" s="104"/>
      <c r="BM104" s="104"/>
      <c r="BN104" s="104"/>
      <c r="BO104" s="104"/>
      <c r="BP104" s="104"/>
      <c r="BQ104" s="104"/>
      <c r="BR104" s="107"/>
      <c r="BS104" s="107"/>
      <c r="BT104" s="107"/>
      <c r="BU104" s="107"/>
      <c r="BV104" s="107"/>
      <c r="BW104" s="107"/>
      <c r="BX104" s="75"/>
      <c r="BY104" s="75"/>
      <c r="BZ104" s="75"/>
      <c r="CA104" s="75"/>
      <c r="CB104" s="75"/>
      <c r="CC104" s="75"/>
      <c r="CD104" s="75"/>
      <c r="CE104" s="102"/>
      <c r="CF104" s="102"/>
      <c r="CG104" s="102"/>
      <c r="CH104" s="102"/>
      <c r="CI104" s="102"/>
      <c r="CJ104" s="102"/>
      <c r="CK104" s="102"/>
      <c r="CL104" s="102"/>
      <c r="CM104" s="102"/>
      <c r="CN104" s="102"/>
      <c r="CO104" s="102"/>
      <c r="CP104" s="102"/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  <c r="DH104" s="102"/>
      <c r="DI104" s="102"/>
      <c r="DJ104" s="102"/>
      <c r="DK104" s="102"/>
      <c r="DL104" s="102"/>
      <c r="DM104" s="102"/>
      <c r="DN104" s="102"/>
      <c r="DO104" s="102"/>
      <c r="DP104" s="102"/>
    </row>
    <row r="105" spans="1:120" x14ac:dyDescent="0.25">
      <c r="A105" s="4">
        <v>46124</v>
      </c>
      <c r="B105" t="s">
        <v>350</v>
      </c>
      <c r="C105" t="s">
        <v>387</v>
      </c>
      <c r="D105">
        <v>2</v>
      </c>
      <c r="E105">
        <v>2</v>
      </c>
      <c r="F105" t="s">
        <v>348</v>
      </c>
      <c r="G105">
        <v>1.86</v>
      </c>
      <c r="H105">
        <v>3.4</v>
      </c>
      <c r="I105">
        <v>4.2</v>
      </c>
      <c r="J105" s="68">
        <f t="shared" si="42"/>
        <v>1</v>
      </c>
      <c r="K105" s="68">
        <f t="shared" si="43"/>
        <v>1</v>
      </c>
      <c r="L105" s="69">
        <f t="shared" si="44"/>
        <v>0.47619047619047616</v>
      </c>
      <c r="M105" s="69">
        <f t="shared" si="45"/>
        <v>1.075268817204301</v>
      </c>
      <c r="N105" s="69">
        <f>IF(A105="","",Tabela1[[#This Row],[PTC]]*Tabela1[[#This Row],[ODDC]])</f>
        <v>1.86</v>
      </c>
      <c r="O105" s="69">
        <f>IF(A105="","",Tabela1[[#This Row],[PTV]]*Tabela1[[#This Row],[ODDV]])</f>
        <v>4.2</v>
      </c>
      <c r="P105" s="68">
        <f t="shared" si="46"/>
        <v>0</v>
      </c>
      <c r="Q105" s="68">
        <f t="shared" si="47"/>
        <v>0</v>
      </c>
      <c r="R105" s="68">
        <f t="shared" si="48"/>
        <v>-1</v>
      </c>
      <c r="S105" s="68">
        <f t="shared" si="49"/>
        <v>-1</v>
      </c>
      <c r="T105" s="68">
        <f>IF(A105="","",IF(F105="D",Tabela1[[#This Row],[ODDE]]-1,-1))</f>
        <v>2.4</v>
      </c>
      <c r="U105" s="70">
        <f>IF(A105="","",IF(AND(Tabela1[[#This Row],[FTHG]]&gt;3,F105="H"),1,0))</f>
        <v>0</v>
      </c>
      <c r="V105" s="70">
        <f>IF(A105="","",IF(AND(Tabela1[[#This Row],[FTAG]]&gt;3,F105="A"),1,0))</f>
        <v>0</v>
      </c>
      <c r="W105" s="70">
        <f t="shared" si="50"/>
        <v>1</v>
      </c>
      <c r="X105" s="70">
        <f t="shared" si="51"/>
        <v>1</v>
      </c>
      <c r="Y105" s="71">
        <f t="shared" si="52"/>
        <v>1</v>
      </c>
      <c r="Z105" s="70">
        <f t="shared" si="53"/>
        <v>1</v>
      </c>
      <c r="AA105" s="70">
        <f t="shared" si="54"/>
        <v>0</v>
      </c>
      <c r="AB105" s="70">
        <f t="shared" si="55"/>
        <v>0</v>
      </c>
      <c r="AC105" s="71">
        <f t="shared" si="56"/>
        <v>1</v>
      </c>
      <c r="AD105" s="72" t="str">
        <f t="shared" si="57"/>
        <v>ABR</v>
      </c>
      <c r="AE105" s="73">
        <f>IF(A105="","",COUNT($N$2:N105))</f>
        <v>104</v>
      </c>
      <c r="AF105" s="74">
        <f t="shared" si="58"/>
        <v>0</v>
      </c>
      <c r="AG105" s="74">
        <f t="shared" si="59"/>
        <v>1</v>
      </c>
      <c r="AH105" s="74">
        <f t="shared" si="60"/>
        <v>0</v>
      </c>
      <c r="AI105" s="74" t="str">
        <f t="shared" si="61"/>
        <v>1,71-2,0</v>
      </c>
      <c r="AJ105" s="74" t="str">
        <f t="shared" si="62"/>
        <v>4,01-5,5</v>
      </c>
      <c r="AK105" s="74">
        <f>IF(A105="","",1/Tabela1[[#This Row],[ODDC]])</f>
        <v>0.5376344086021505</v>
      </c>
      <c r="AL105" s="74">
        <f>IF(A105="","",1/Tabela1[[#This Row],[ODDE]])</f>
        <v>0.29411764705882354</v>
      </c>
      <c r="AM105" s="74">
        <f>IF(A105="","",1/Tabela1[[#This Row],[ODDV]])</f>
        <v>0.23809523809523808</v>
      </c>
      <c r="AN105" s="74">
        <f>IF(A105="","",1-(Tabela1[[#This Row],[p(H)]]+Tabela1[[#This Row],[p(D)]]+Tabela1[[#This Row],[p(A)]]))</f>
        <v>-6.9847293756212236E-2</v>
      </c>
      <c r="AO105" s="74">
        <f>IF(A105="","",IFERROR(Tabela1[[#This Row],[p(H)]]/Tabela1[[#This Row],[FTHG]],1))</f>
        <v>0.26881720430107525</v>
      </c>
      <c r="AP105" s="74">
        <f>IF(A105="","",IFERROR(Tabela1[[#This Row],[p(A)]]/Tabela1[[#This Row],[FTAG]],1))</f>
        <v>0.11904761904761904</v>
      </c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75"/>
      <c r="BA105" s="75"/>
      <c r="BB105" s="97"/>
      <c r="BC105" s="124"/>
      <c r="BD105" s="125"/>
      <c r="BE105" s="97"/>
      <c r="BF105" s="97"/>
      <c r="BG105" s="119"/>
      <c r="BH105" s="97"/>
      <c r="BI105" s="119"/>
      <c r="BJ105" s="126"/>
      <c r="BK105" s="104"/>
      <c r="BL105" s="104"/>
      <c r="BM105" s="104"/>
      <c r="BN105" s="104"/>
      <c r="BO105" s="104"/>
      <c r="BP105" s="104"/>
      <c r="BQ105" s="104"/>
      <c r="BR105" s="107"/>
      <c r="BS105" s="107"/>
      <c r="BT105" s="107"/>
      <c r="BU105" s="107"/>
      <c r="BV105" s="107"/>
      <c r="BW105" s="107"/>
      <c r="BX105" s="75"/>
      <c r="BY105" s="75"/>
      <c r="BZ105" s="75"/>
      <c r="CA105" s="75"/>
      <c r="CB105" s="75"/>
      <c r="CC105" s="75"/>
      <c r="CD105" s="75"/>
      <c r="CE105" s="102"/>
      <c r="CF105" s="102"/>
      <c r="CG105" s="102"/>
      <c r="CH105" s="102"/>
      <c r="CI105" s="102"/>
      <c r="CJ105" s="102"/>
      <c r="CK105" s="102"/>
      <c r="CL105" s="102"/>
      <c r="CM105" s="102"/>
      <c r="CN105" s="102"/>
      <c r="CO105" s="102"/>
      <c r="CP105" s="102"/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  <c r="DH105" s="102"/>
      <c r="DI105" s="102"/>
      <c r="DJ105" s="102"/>
      <c r="DK105" s="102"/>
      <c r="DL105" s="102"/>
      <c r="DM105" s="102"/>
      <c r="DN105" s="102"/>
      <c r="DO105" s="102"/>
      <c r="DP105" s="102"/>
    </row>
    <row r="106" spans="1:120" x14ac:dyDescent="0.25">
      <c r="A106" s="4">
        <v>46124</v>
      </c>
      <c r="B106" t="s">
        <v>352</v>
      </c>
      <c r="C106" t="s">
        <v>363</v>
      </c>
      <c r="D106">
        <v>1</v>
      </c>
      <c r="E106">
        <v>2</v>
      </c>
      <c r="F106" t="s">
        <v>346</v>
      </c>
      <c r="G106">
        <v>3.2</v>
      </c>
      <c r="H106">
        <v>3.1</v>
      </c>
      <c r="I106">
        <v>2.35</v>
      </c>
      <c r="J106" s="68">
        <f t="shared" si="42"/>
        <v>0</v>
      </c>
      <c r="K106" s="68">
        <f t="shared" si="43"/>
        <v>3</v>
      </c>
      <c r="L106" s="69">
        <f t="shared" si="44"/>
        <v>0.42553191489361702</v>
      </c>
      <c r="M106" s="69">
        <f t="shared" si="45"/>
        <v>0.625</v>
      </c>
      <c r="N106" s="69">
        <f>IF(A106="","",Tabela1[[#This Row],[PTC]]*Tabela1[[#This Row],[ODDC]])</f>
        <v>0</v>
      </c>
      <c r="O106" s="69">
        <f>IF(A106="","",Tabela1[[#This Row],[PTV]]*Tabela1[[#This Row],[ODDV]])</f>
        <v>7.0500000000000007</v>
      </c>
      <c r="P106" s="68">
        <f t="shared" si="46"/>
        <v>-1</v>
      </c>
      <c r="Q106" s="68">
        <f t="shared" si="47"/>
        <v>1</v>
      </c>
      <c r="R106" s="68">
        <f t="shared" si="48"/>
        <v>-1</v>
      </c>
      <c r="S106" s="68">
        <f t="shared" si="49"/>
        <v>1.35</v>
      </c>
      <c r="T106" s="68">
        <f>IF(A106="","",IF(F106="D",Tabela1[[#This Row],[ODDE]]-1,-1))</f>
        <v>-1</v>
      </c>
      <c r="U106" s="70">
        <f>IF(A106="","",IF(AND(Tabela1[[#This Row],[FTHG]]&gt;3,F106="H"),1,0))</f>
        <v>0</v>
      </c>
      <c r="V106" s="70">
        <f>IF(A106="","",IF(AND(Tabela1[[#This Row],[FTAG]]&gt;3,F106="A"),1,0))</f>
        <v>0</v>
      </c>
      <c r="W106" s="70">
        <f t="shared" si="50"/>
        <v>1</v>
      </c>
      <c r="X106" s="70">
        <f t="shared" si="51"/>
        <v>1</v>
      </c>
      <c r="Y106" s="71">
        <f t="shared" si="52"/>
        <v>1</v>
      </c>
      <c r="Z106" s="70">
        <f t="shared" si="53"/>
        <v>0</v>
      </c>
      <c r="AA106" s="70">
        <f t="shared" si="54"/>
        <v>0</v>
      </c>
      <c r="AB106" s="70">
        <f t="shared" si="55"/>
        <v>0</v>
      </c>
      <c r="AC106" s="71">
        <f t="shared" si="56"/>
        <v>1</v>
      </c>
      <c r="AD106" s="72" t="str">
        <f t="shared" si="57"/>
        <v>ABR</v>
      </c>
      <c r="AE106" s="73">
        <f>IF(A106="","",COUNT($N$2:N106))</f>
        <v>105</v>
      </c>
      <c r="AF106" s="74">
        <f t="shared" si="58"/>
        <v>0</v>
      </c>
      <c r="AG106" s="74">
        <f t="shared" si="59"/>
        <v>0</v>
      </c>
      <c r="AH106" s="74">
        <f t="shared" si="60"/>
        <v>1</v>
      </c>
      <c r="AI106" s="74" t="str">
        <f t="shared" si="61"/>
        <v>3,01-4.0</v>
      </c>
      <c r="AJ106" s="74" t="str">
        <f t="shared" si="62"/>
        <v>2,01-2,4</v>
      </c>
      <c r="AK106" s="74">
        <f>IF(A106="","",1/Tabela1[[#This Row],[ODDC]])</f>
        <v>0.3125</v>
      </c>
      <c r="AL106" s="74">
        <f>IF(A106="","",1/Tabela1[[#This Row],[ODDE]])</f>
        <v>0.32258064516129031</v>
      </c>
      <c r="AM106" s="74">
        <f>IF(A106="","",1/Tabela1[[#This Row],[ODDV]])</f>
        <v>0.42553191489361702</v>
      </c>
      <c r="AN106" s="74">
        <f>IF(A106="","",1-(Tabela1[[#This Row],[p(H)]]+Tabela1[[#This Row],[p(D)]]+Tabela1[[#This Row],[p(A)]]))</f>
        <v>-6.0612560054907227E-2</v>
      </c>
      <c r="AO106" s="74">
        <f>IF(A106="","",IFERROR(Tabela1[[#This Row],[p(H)]]/Tabela1[[#This Row],[FTHG]],1))</f>
        <v>0.3125</v>
      </c>
      <c r="AP106" s="74">
        <f>IF(A106="","",IFERROR(Tabela1[[#This Row],[p(A)]]/Tabela1[[#This Row],[FTAG]],1))</f>
        <v>0.21276595744680851</v>
      </c>
      <c r="AQ106" s="107"/>
      <c r="AR106" s="107"/>
      <c r="AS106" s="107"/>
      <c r="AT106" s="107"/>
      <c r="AU106" s="107"/>
      <c r="AV106" s="107"/>
      <c r="AW106" s="107"/>
      <c r="AX106" s="107"/>
      <c r="AY106" s="107"/>
      <c r="AZ106" s="75"/>
      <c r="BA106" s="75"/>
      <c r="BB106" s="97"/>
      <c r="BC106" s="124"/>
      <c r="BD106" s="125"/>
      <c r="BE106" s="108"/>
      <c r="BF106" s="108"/>
      <c r="BG106" s="119"/>
      <c r="BH106" s="97"/>
      <c r="BI106" s="119"/>
      <c r="BJ106" s="126"/>
      <c r="BK106" s="104"/>
      <c r="BL106" s="104"/>
      <c r="BM106" s="104"/>
      <c r="BN106" s="104"/>
      <c r="BO106" s="104"/>
      <c r="BP106" s="104"/>
      <c r="BQ106" s="104"/>
      <c r="BR106" s="107"/>
      <c r="BS106" s="107"/>
      <c r="BT106" s="107"/>
      <c r="BU106" s="107"/>
      <c r="BV106" s="107"/>
      <c r="BW106" s="107"/>
      <c r="BX106" s="75"/>
      <c r="BY106" s="75"/>
      <c r="BZ106" s="75"/>
      <c r="CA106" s="75"/>
      <c r="CB106" s="75"/>
      <c r="CC106" s="75"/>
      <c r="CD106" s="75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  <c r="DH106" s="102"/>
      <c r="DI106" s="102"/>
      <c r="DJ106" s="102"/>
      <c r="DK106" s="102"/>
      <c r="DL106" s="102"/>
      <c r="DM106" s="102"/>
      <c r="DN106" s="102"/>
      <c r="DO106" s="102"/>
      <c r="DP106" s="102"/>
    </row>
    <row r="107" spans="1:120" x14ac:dyDescent="0.25">
      <c r="A107" s="4">
        <v>46124</v>
      </c>
      <c r="B107" t="s">
        <v>357</v>
      </c>
      <c r="C107" t="s">
        <v>353</v>
      </c>
      <c r="D107">
        <v>0</v>
      </c>
      <c r="E107">
        <v>0</v>
      </c>
      <c r="F107" t="s">
        <v>348</v>
      </c>
      <c r="G107">
        <v>2.65</v>
      </c>
      <c r="H107">
        <v>3</v>
      </c>
      <c r="I107">
        <v>2.85</v>
      </c>
      <c r="J107" s="68">
        <f t="shared" si="42"/>
        <v>1</v>
      </c>
      <c r="K107" s="68">
        <f t="shared" si="43"/>
        <v>1</v>
      </c>
      <c r="L107" s="69">
        <f t="shared" si="44"/>
        <v>0</v>
      </c>
      <c r="M107" s="69">
        <f t="shared" si="45"/>
        <v>0</v>
      </c>
      <c r="N107" s="69">
        <f>IF(A107="","",Tabela1[[#This Row],[PTC]]*Tabela1[[#This Row],[ODDC]])</f>
        <v>2.65</v>
      </c>
      <c r="O107" s="69">
        <f>IF(A107="","",Tabela1[[#This Row],[PTV]]*Tabela1[[#This Row],[ODDV]])</f>
        <v>2.85</v>
      </c>
      <c r="P107" s="68">
        <f t="shared" si="46"/>
        <v>0</v>
      </c>
      <c r="Q107" s="68">
        <f t="shared" si="47"/>
        <v>0</v>
      </c>
      <c r="R107" s="68">
        <f t="shared" si="48"/>
        <v>-1</v>
      </c>
      <c r="S107" s="68">
        <f t="shared" si="49"/>
        <v>-1</v>
      </c>
      <c r="T107" s="68">
        <f>IF(A107="","",IF(F107="D",Tabela1[[#This Row],[ODDE]]-1,-1))</f>
        <v>2</v>
      </c>
      <c r="U107" s="70">
        <f>IF(A107="","",IF(AND(Tabela1[[#This Row],[FTHG]]&gt;3,F107="H"),1,0))</f>
        <v>0</v>
      </c>
      <c r="V107" s="70">
        <f>IF(A107="","",IF(AND(Tabela1[[#This Row],[FTAG]]&gt;3,F107="A"),1,0))</f>
        <v>0</v>
      </c>
      <c r="W107" s="70">
        <f t="shared" si="50"/>
        <v>0</v>
      </c>
      <c r="X107" s="70">
        <f t="shared" si="51"/>
        <v>0</v>
      </c>
      <c r="Y107" s="71">
        <f t="shared" si="52"/>
        <v>0</v>
      </c>
      <c r="Z107" s="70">
        <f t="shared" si="53"/>
        <v>0</v>
      </c>
      <c r="AA107" s="70">
        <f t="shared" si="54"/>
        <v>0</v>
      </c>
      <c r="AB107" s="70">
        <f t="shared" si="55"/>
        <v>0</v>
      </c>
      <c r="AC107" s="71">
        <f t="shared" si="56"/>
        <v>0</v>
      </c>
      <c r="AD107" s="72" t="str">
        <f t="shared" si="57"/>
        <v>ABR</v>
      </c>
      <c r="AE107" s="73">
        <f>IF(A107="","",COUNT($N$2:N107))</f>
        <v>106</v>
      </c>
      <c r="AF107" s="74">
        <f t="shared" si="58"/>
        <v>0</v>
      </c>
      <c r="AG107" s="74">
        <f t="shared" si="59"/>
        <v>1</v>
      </c>
      <c r="AH107" s="74">
        <f t="shared" si="60"/>
        <v>0</v>
      </c>
      <c r="AI107" s="74" t="str">
        <f t="shared" si="61"/>
        <v>2,41-3,0</v>
      </c>
      <c r="AJ107" s="74" t="str">
        <f t="shared" si="62"/>
        <v>2,41-3,0</v>
      </c>
      <c r="AK107" s="74">
        <f>IF(A107="","",1/Tabela1[[#This Row],[ODDC]])</f>
        <v>0.37735849056603776</v>
      </c>
      <c r="AL107" s="74">
        <f>IF(A107="","",1/Tabela1[[#This Row],[ODDE]])</f>
        <v>0.33333333333333331</v>
      </c>
      <c r="AM107" s="74">
        <f>IF(A107="","",1/Tabela1[[#This Row],[ODDV]])</f>
        <v>0.35087719298245612</v>
      </c>
      <c r="AN107" s="74">
        <f>IF(A107="","",1-(Tabela1[[#This Row],[p(H)]]+Tabela1[[#This Row],[p(D)]]+Tabela1[[#This Row],[p(A)]]))</f>
        <v>-6.1569016881827254E-2</v>
      </c>
      <c r="AO107" s="74">
        <f>IF(A107="","",IFERROR(Tabela1[[#This Row],[p(H)]]/Tabela1[[#This Row],[FTHG]],1))</f>
        <v>1</v>
      </c>
      <c r="AP107" s="74">
        <f>IF(A107="","",IFERROR(Tabela1[[#This Row],[p(A)]]/Tabela1[[#This Row],[FTAG]],1))</f>
        <v>1</v>
      </c>
      <c r="AQ107" s="107"/>
      <c r="AR107" s="107"/>
      <c r="AS107" s="107"/>
      <c r="AT107" s="107"/>
      <c r="AU107" s="107"/>
      <c r="AV107" s="107"/>
      <c r="AW107" s="107"/>
      <c r="AX107" s="107"/>
      <c r="AY107" s="107"/>
      <c r="AZ107" s="75"/>
      <c r="BA107" s="75"/>
      <c r="BB107" s="97"/>
      <c r="BC107" s="127"/>
      <c r="BD107" s="125"/>
      <c r="BE107" s="104"/>
      <c r="BF107" s="104"/>
      <c r="BG107" s="119"/>
      <c r="BH107" s="97"/>
      <c r="BI107" s="119"/>
      <c r="BJ107" s="126"/>
      <c r="BK107" s="104"/>
      <c r="BL107" s="104"/>
      <c r="BM107" s="104"/>
      <c r="BN107" s="104"/>
      <c r="BO107" s="104"/>
      <c r="BP107" s="104"/>
      <c r="BQ107" s="104"/>
      <c r="BR107" s="107"/>
      <c r="BS107" s="107"/>
      <c r="BT107" s="107"/>
      <c r="BU107" s="107"/>
      <c r="BV107" s="107"/>
      <c r="BW107" s="107"/>
      <c r="BX107" s="75"/>
      <c r="BY107" s="75"/>
      <c r="BZ107" s="75"/>
      <c r="CA107" s="75"/>
      <c r="CB107" s="75"/>
      <c r="CC107" s="75"/>
      <c r="CD107" s="75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  <c r="DO107" s="102"/>
      <c r="DP107" s="102"/>
    </row>
    <row r="108" spans="1:120" x14ac:dyDescent="0.25">
      <c r="A108" s="4">
        <v>46124</v>
      </c>
      <c r="B108" t="s">
        <v>358</v>
      </c>
      <c r="C108" t="s">
        <v>355</v>
      </c>
      <c r="D108">
        <v>2</v>
      </c>
      <c r="E108">
        <v>1</v>
      </c>
      <c r="F108" t="s">
        <v>347</v>
      </c>
      <c r="G108">
        <v>1.96</v>
      </c>
      <c r="H108">
        <v>3.4</v>
      </c>
      <c r="I108">
        <v>3.9</v>
      </c>
      <c r="J108" s="68">
        <f t="shared" si="42"/>
        <v>3</v>
      </c>
      <c r="K108" s="68">
        <f t="shared" si="43"/>
        <v>0</v>
      </c>
      <c r="L108" s="69">
        <f t="shared" si="44"/>
        <v>0.51282051282051289</v>
      </c>
      <c r="M108" s="69">
        <f t="shared" si="45"/>
        <v>0.51020408163265307</v>
      </c>
      <c r="N108" s="69">
        <f>IF(A108="","",Tabela1[[#This Row],[PTC]]*Tabela1[[#This Row],[ODDC]])</f>
        <v>5.88</v>
      </c>
      <c r="O108" s="69">
        <f>IF(A108="","",Tabela1[[#This Row],[PTV]]*Tabela1[[#This Row],[ODDV]])</f>
        <v>0</v>
      </c>
      <c r="P108" s="68">
        <f t="shared" si="46"/>
        <v>1</v>
      </c>
      <c r="Q108" s="68">
        <f t="shared" si="47"/>
        <v>-1</v>
      </c>
      <c r="R108" s="68">
        <f t="shared" si="48"/>
        <v>0.96</v>
      </c>
      <c r="S108" s="68">
        <f t="shared" si="49"/>
        <v>-1</v>
      </c>
      <c r="T108" s="68">
        <f>IF(A108="","",IF(F108="D",Tabela1[[#This Row],[ODDE]]-1,-1))</f>
        <v>-1</v>
      </c>
      <c r="U108" s="70">
        <f>IF(A108="","",IF(AND(Tabela1[[#This Row],[FTHG]]&gt;3,F108="H"),1,0))</f>
        <v>0</v>
      </c>
      <c r="V108" s="70">
        <f>IF(A108="","",IF(AND(Tabela1[[#This Row],[FTAG]]&gt;3,F108="A"),1,0))</f>
        <v>0</v>
      </c>
      <c r="W108" s="70">
        <f t="shared" si="50"/>
        <v>1</v>
      </c>
      <c r="X108" s="70">
        <f t="shared" si="51"/>
        <v>1</v>
      </c>
      <c r="Y108" s="71">
        <f t="shared" si="52"/>
        <v>1</v>
      </c>
      <c r="Z108" s="70">
        <f t="shared" si="53"/>
        <v>0</v>
      </c>
      <c r="AA108" s="70">
        <f t="shared" si="54"/>
        <v>0</v>
      </c>
      <c r="AB108" s="70">
        <f t="shared" si="55"/>
        <v>0</v>
      </c>
      <c r="AC108" s="71">
        <f t="shared" si="56"/>
        <v>1</v>
      </c>
      <c r="AD108" s="72" t="str">
        <f t="shared" si="57"/>
        <v>ABR</v>
      </c>
      <c r="AE108" s="73">
        <f>IF(A108="","",COUNT($N$2:N108))</f>
        <v>107</v>
      </c>
      <c r="AF108" s="74">
        <f t="shared" si="58"/>
        <v>1</v>
      </c>
      <c r="AG108" s="74">
        <f t="shared" si="59"/>
        <v>0</v>
      </c>
      <c r="AH108" s="74">
        <f t="shared" si="60"/>
        <v>0</v>
      </c>
      <c r="AI108" s="74" t="str">
        <f t="shared" si="61"/>
        <v>1,71-2,0</v>
      </c>
      <c r="AJ108" s="74" t="str">
        <f t="shared" si="62"/>
        <v>3,01-4.0</v>
      </c>
      <c r="AK108" s="74">
        <f>IF(A108="","",1/Tabela1[[#This Row],[ODDC]])</f>
        <v>0.51020408163265307</v>
      </c>
      <c r="AL108" s="74">
        <f>IF(A108="","",1/Tabela1[[#This Row],[ODDE]])</f>
        <v>0.29411764705882354</v>
      </c>
      <c r="AM108" s="74">
        <f>IF(A108="","",1/Tabela1[[#This Row],[ODDV]])</f>
        <v>0.25641025641025644</v>
      </c>
      <c r="AN108" s="74">
        <f>IF(A108="","",1-(Tabela1[[#This Row],[p(H)]]+Tabela1[[#This Row],[p(D)]]+Tabela1[[#This Row],[p(A)]]))</f>
        <v>-6.0731985101732944E-2</v>
      </c>
      <c r="AO108" s="74">
        <f>IF(A108="","",IFERROR(Tabela1[[#This Row],[p(H)]]/Tabela1[[#This Row],[FTHG]],1))</f>
        <v>0.25510204081632654</v>
      </c>
      <c r="AP108" s="74">
        <f>IF(A108="","",IFERROR(Tabela1[[#This Row],[p(A)]]/Tabela1[[#This Row],[FTAG]],1))</f>
        <v>0.25641025641025644</v>
      </c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75"/>
      <c r="BA108" s="75"/>
      <c r="BB108" s="97"/>
      <c r="BC108" s="127"/>
      <c r="BD108" s="125"/>
      <c r="BE108" s="104"/>
      <c r="BF108" s="104"/>
      <c r="BG108" s="119"/>
      <c r="BH108" s="97"/>
      <c r="BI108" s="119"/>
      <c r="BJ108" s="126"/>
      <c r="BK108" s="104"/>
      <c r="BL108" s="104"/>
      <c r="BM108" s="104"/>
      <c r="BN108" s="104"/>
      <c r="BO108" s="104"/>
      <c r="BP108" s="104"/>
      <c r="BQ108" s="104"/>
      <c r="BR108" s="107"/>
      <c r="BS108" s="107"/>
      <c r="BT108" s="107"/>
      <c r="BU108" s="107"/>
      <c r="BV108" s="107"/>
      <c r="BW108" s="107"/>
      <c r="BX108" s="75"/>
      <c r="BY108" s="75"/>
      <c r="BZ108" s="75"/>
      <c r="CA108" s="75"/>
      <c r="CB108" s="75"/>
      <c r="CC108" s="75"/>
      <c r="CD108" s="75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  <c r="DO108" s="102"/>
      <c r="DP108" s="102"/>
    </row>
    <row r="109" spans="1:120" x14ac:dyDescent="0.25">
      <c r="A109" s="4">
        <v>46130</v>
      </c>
      <c r="B109" t="s">
        <v>390</v>
      </c>
      <c r="C109" t="s">
        <v>350</v>
      </c>
      <c r="D109">
        <v>1</v>
      </c>
      <c r="E109">
        <v>4</v>
      </c>
      <c r="F109" t="s">
        <v>346</v>
      </c>
      <c r="G109">
        <v>3.7</v>
      </c>
      <c r="H109">
        <v>3.6</v>
      </c>
      <c r="I109">
        <v>1.96</v>
      </c>
      <c r="J109" s="68">
        <f t="shared" si="42"/>
        <v>0</v>
      </c>
      <c r="K109" s="68">
        <f t="shared" si="43"/>
        <v>3</v>
      </c>
      <c r="L109" s="69">
        <f t="shared" si="44"/>
        <v>0.51020408163265307</v>
      </c>
      <c r="M109" s="69">
        <f t="shared" si="45"/>
        <v>1.0810810810810809</v>
      </c>
      <c r="N109" s="69">
        <f>IF(A109="","",Tabela1[[#This Row],[PTC]]*Tabela1[[#This Row],[ODDC]])</f>
        <v>0</v>
      </c>
      <c r="O109" s="69">
        <f>IF(A109="","",Tabela1[[#This Row],[PTV]]*Tabela1[[#This Row],[ODDV]])</f>
        <v>5.88</v>
      </c>
      <c r="P109" s="68">
        <f t="shared" si="46"/>
        <v>-3</v>
      </c>
      <c r="Q109" s="68">
        <f t="shared" si="47"/>
        <v>3</v>
      </c>
      <c r="R109" s="68">
        <f t="shared" si="48"/>
        <v>-1</v>
      </c>
      <c r="S109" s="68">
        <f t="shared" si="49"/>
        <v>0.96</v>
      </c>
      <c r="T109" s="68">
        <f>IF(A109="","",IF(F109="D",Tabela1[[#This Row],[ODDE]]-1,-1))</f>
        <v>-1</v>
      </c>
      <c r="U109" s="70">
        <f>IF(A109="","",IF(AND(Tabela1[[#This Row],[FTHG]]&gt;3,F109="H"),1,0))</f>
        <v>0</v>
      </c>
      <c r="V109" s="70">
        <f>IF(A109="","",IF(AND(Tabela1[[#This Row],[FTAG]]&gt;3,F109="A"),1,0))</f>
        <v>1</v>
      </c>
      <c r="W109" s="70">
        <f t="shared" si="50"/>
        <v>1</v>
      </c>
      <c r="X109" s="70">
        <f t="shared" si="51"/>
        <v>1</v>
      </c>
      <c r="Y109" s="71">
        <f t="shared" si="52"/>
        <v>1</v>
      </c>
      <c r="Z109" s="70">
        <f t="shared" si="53"/>
        <v>1</v>
      </c>
      <c r="AA109" s="70">
        <f t="shared" si="54"/>
        <v>1</v>
      </c>
      <c r="AB109" s="70">
        <f t="shared" si="55"/>
        <v>0</v>
      </c>
      <c r="AC109" s="71">
        <f t="shared" si="56"/>
        <v>1</v>
      </c>
      <c r="AD109" s="72" t="str">
        <f t="shared" si="57"/>
        <v>ABR</v>
      </c>
      <c r="AE109" s="73">
        <f>IF(A109="","",COUNT($N$2:N109))</f>
        <v>108</v>
      </c>
      <c r="AF109" s="74">
        <f t="shared" si="58"/>
        <v>0</v>
      </c>
      <c r="AG109" s="74">
        <f t="shared" si="59"/>
        <v>0</v>
      </c>
      <c r="AH109" s="74">
        <f t="shared" si="60"/>
        <v>1</v>
      </c>
      <c r="AI109" s="74" t="str">
        <f t="shared" si="61"/>
        <v>3,01-4.0</v>
      </c>
      <c r="AJ109" s="74" t="str">
        <f t="shared" si="62"/>
        <v>1,71-2,0</v>
      </c>
      <c r="AK109" s="74">
        <f>IF(A109="","",1/Tabela1[[#This Row],[ODDC]])</f>
        <v>0.27027027027027023</v>
      </c>
      <c r="AL109" s="74">
        <f>IF(A109="","",1/Tabela1[[#This Row],[ODDE]])</f>
        <v>0.27777777777777779</v>
      </c>
      <c r="AM109" s="74">
        <f>IF(A109="","",1/Tabela1[[#This Row],[ODDV]])</f>
        <v>0.51020408163265307</v>
      </c>
      <c r="AN109" s="74">
        <f>IF(A109="","",1-(Tabela1[[#This Row],[p(H)]]+Tabela1[[#This Row],[p(D)]]+Tabela1[[#This Row],[p(A)]]))</f>
        <v>-5.8252129680701259E-2</v>
      </c>
      <c r="AO109" s="74">
        <f>IF(A109="","",IFERROR(Tabela1[[#This Row],[p(H)]]/Tabela1[[#This Row],[FTHG]],1))</f>
        <v>0.27027027027027023</v>
      </c>
      <c r="AP109" s="74">
        <f>IF(A109="","",IFERROR(Tabela1[[#This Row],[p(A)]]/Tabela1[[#This Row],[FTAG]],1))</f>
        <v>0.12755102040816327</v>
      </c>
      <c r="AQ109" s="107"/>
      <c r="AR109" s="107"/>
      <c r="AS109" s="107"/>
      <c r="AT109" s="107"/>
      <c r="AU109" s="107"/>
      <c r="AV109" s="107"/>
      <c r="AW109" s="107"/>
      <c r="AX109" s="107"/>
      <c r="AY109" s="107"/>
      <c r="AZ109" s="75"/>
      <c r="BA109" s="75"/>
      <c r="BB109" s="97"/>
      <c r="BC109" s="127"/>
      <c r="BD109" s="125"/>
      <c r="BE109" s="104"/>
      <c r="BF109" s="104"/>
      <c r="BG109" s="119"/>
      <c r="BH109" s="97"/>
      <c r="BI109" s="119"/>
      <c r="BJ109" s="126"/>
      <c r="BK109" s="104"/>
      <c r="BL109" s="104"/>
      <c r="BM109" s="104"/>
      <c r="BN109" s="104"/>
      <c r="BO109" s="104"/>
      <c r="BP109" s="104"/>
      <c r="BQ109" s="104"/>
      <c r="BR109" s="107"/>
      <c r="BS109" s="107"/>
      <c r="BT109" s="107"/>
      <c r="BU109" s="107"/>
      <c r="BV109" s="107"/>
      <c r="BW109" s="107"/>
      <c r="BX109" s="75"/>
      <c r="BY109" s="75"/>
      <c r="BZ109" s="75"/>
      <c r="CA109" s="75"/>
      <c r="CB109" s="75"/>
      <c r="CC109" s="75"/>
      <c r="CD109" s="75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  <c r="DH109" s="102"/>
      <c r="DI109" s="102"/>
      <c r="DJ109" s="102"/>
      <c r="DK109" s="102"/>
      <c r="DL109" s="102"/>
      <c r="DM109" s="102"/>
      <c r="DN109" s="102"/>
      <c r="DO109" s="102"/>
      <c r="DP109" s="102"/>
    </row>
    <row r="110" spans="1:120" x14ac:dyDescent="0.25">
      <c r="A110" s="4">
        <v>46130</v>
      </c>
      <c r="B110" t="s">
        <v>360</v>
      </c>
      <c r="C110" t="s">
        <v>351</v>
      </c>
      <c r="D110">
        <v>2</v>
      </c>
      <c r="E110">
        <v>1</v>
      </c>
      <c r="F110" t="s">
        <v>347</v>
      </c>
      <c r="G110">
        <v>2.0099999999999998</v>
      </c>
      <c r="H110">
        <v>3.3</v>
      </c>
      <c r="I110">
        <v>3.6</v>
      </c>
      <c r="J110" s="68">
        <f t="shared" si="42"/>
        <v>3</v>
      </c>
      <c r="K110" s="68">
        <f t="shared" si="43"/>
        <v>0</v>
      </c>
      <c r="L110" s="69">
        <f t="shared" si="44"/>
        <v>0.55555555555555558</v>
      </c>
      <c r="M110" s="69">
        <f t="shared" si="45"/>
        <v>0.49751243781094534</v>
      </c>
      <c r="N110" s="69">
        <f>IF(A110="","",Tabela1[[#This Row],[PTC]]*Tabela1[[#This Row],[ODDC]])</f>
        <v>6.0299999999999994</v>
      </c>
      <c r="O110" s="69">
        <f>IF(A110="","",Tabela1[[#This Row],[PTV]]*Tabela1[[#This Row],[ODDV]])</f>
        <v>0</v>
      </c>
      <c r="P110" s="68">
        <f t="shared" si="46"/>
        <v>1</v>
      </c>
      <c r="Q110" s="68">
        <f t="shared" si="47"/>
        <v>-1</v>
      </c>
      <c r="R110" s="68">
        <f t="shared" si="48"/>
        <v>1.0099999999999998</v>
      </c>
      <c r="S110" s="68">
        <f t="shared" si="49"/>
        <v>-1</v>
      </c>
      <c r="T110" s="68">
        <f>IF(A110="","",IF(F110="D",Tabela1[[#This Row],[ODDE]]-1,-1))</f>
        <v>-1</v>
      </c>
      <c r="U110" s="70">
        <f>IF(A110="","",IF(AND(Tabela1[[#This Row],[FTHG]]&gt;3,F110="H"),1,0))</f>
        <v>0</v>
      </c>
      <c r="V110" s="70">
        <f>IF(A110="","",IF(AND(Tabela1[[#This Row],[FTAG]]&gt;3,F110="A"),1,0))</f>
        <v>0</v>
      </c>
      <c r="W110" s="70">
        <f t="shared" si="50"/>
        <v>1</v>
      </c>
      <c r="X110" s="70">
        <f t="shared" si="51"/>
        <v>1</v>
      </c>
      <c r="Y110" s="71">
        <f t="shared" si="52"/>
        <v>1</v>
      </c>
      <c r="Z110" s="70">
        <f t="shared" si="53"/>
        <v>0</v>
      </c>
      <c r="AA110" s="70">
        <f t="shared" si="54"/>
        <v>0</v>
      </c>
      <c r="AB110" s="70">
        <f t="shared" si="55"/>
        <v>0</v>
      </c>
      <c r="AC110" s="71">
        <f t="shared" si="56"/>
        <v>1</v>
      </c>
      <c r="AD110" s="72" t="str">
        <f t="shared" si="57"/>
        <v>ABR</v>
      </c>
      <c r="AE110" s="73">
        <f>IF(A110="","",COUNT($N$2:N110))</f>
        <v>109</v>
      </c>
      <c r="AF110" s="74">
        <f t="shared" si="58"/>
        <v>1</v>
      </c>
      <c r="AG110" s="74">
        <f t="shared" si="59"/>
        <v>0</v>
      </c>
      <c r="AH110" s="74">
        <f t="shared" si="60"/>
        <v>0</v>
      </c>
      <c r="AI110" s="74" t="str">
        <f t="shared" si="61"/>
        <v>2,01-2,4</v>
      </c>
      <c r="AJ110" s="74" t="str">
        <f t="shared" si="62"/>
        <v>3,01-4.0</v>
      </c>
      <c r="AK110" s="74">
        <f>IF(A110="","",1/Tabela1[[#This Row],[ODDC]])</f>
        <v>0.49751243781094534</v>
      </c>
      <c r="AL110" s="74">
        <f>IF(A110="","",1/Tabela1[[#This Row],[ODDE]])</f>
        <v>0.30303030303030304</v>
      </c>
      <c r="AM110" s="74">
        <f>IF(A110="","",1/Tabela1[[#This Row],[ODDV]])</f>
        <v>0.27777777777777779</v>
      </c>
      <c r="AN110" s="74">
        <f>IF(A110="","",1-(Tabela1[[#This Row],[p(H)]]+Tabela1[[#This Row],[p(D)]]+Tabela1[[#This Row],[p(A)]]))</f>
        <v>-7.8320518619026114E-2</v>
      </c>
      <c r="AO110" s="74">
        <f>IF(A110="","",IFERROR(Tabela1[[#This Row],[p(H)]]/Tabela1[[#This Row],[FTHG]],1))</f>
        <v>0.24875621890547267</v>
      </c>
      <c r="AP110" s="74">
        <f>IF(A110="","",IFERROR(Tabela1[[#This Row],[p(A)]]/Tabela1[[#This Row],[FTAG]],1))</f>
        <v>0.27777777777777779</v>
      </c>
      <c r="AQ110" s="107"/>
      <c r="AR110" s="107"/>
      <c r="AS110" s="107"/>
      <c r="AT110" s="107"/>
      <c r="AU110" s="107"/>
      <c r="AV110" s="107"/>
      <c r="AW110" s="107"/>
      <c r="AX110" s="107"/>
      <c r="AY110" s="107"/>
      <c r="AZ110" s="75"/>
      <c r="BA110" s="75"/>
      <c r="BB110" s="97"/>
      <c r="BC110" s="127"/>
      <c r="BD110" s="125"/>
      <c r="BE110" s="104"/>
      <c r="BF110" s="104"/>
      <c r="BG110" s="119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7"/>
      <c r="BS110" s="107"/>
      <c r="BT110" s="107"/>
      <c r="BU110" s="107"/>
      <c r="BV110" s="107"/>
      <c r="BW110" s="107"/>
      <c r="BX110" s="75"/>
      <c r="BY110" s="75"/>
      <c r="BZ110" s="75"/>
      <c r="CA110" s="75"/>
      <c r="CB110" s="75"/>
      <c r="CC110" s="75"/>
      <c r="CD110" s="75"/>
      <c r="CE110" s="102"/>
      <c r="CF110" s="102"/>
      <c r="CG110" s="102"/>
      <c r="CH110" s="102"/>
      <c r="CI110" s="102"/>
      <c r="CJ110" s="102"/>
      <c r="CK110" s="102"/>
      <c r="CL110" s="102"/>
      <c r="CM110" s="102"/>
      <c r="CN110" s="102"/>
      <c r="CO110" s="102"/>
      <c r="CP110" s="102"/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  <c r="DH110" s="102"/>
      <c r="DI110" s="102"/>
      <c r="DJ110" s="102"/>
      <c r="DK110" s="102"/>
      <c r="DL110" s="102"/>
      <c r="DM110" s="102"/>
      <c r="DN110" s="102"/>
      <c r="DO110" s="102"/>
      <c r="DP110" s="102"/>
    </row>
    <row r="111" spans="1:120" x14ac:dyDescent="0.25">
      <c r="A111" s="4">
        <v>46131</v>
      </c>
      <c r="B111" t="s">
        <v>381</v>
      </c>
      <c r="C111" t="s">
        <v>357</v>
      </c>
      <c r="D111">
        <v>0</v>
      </c>
      <c r="E111">
        <v>0</v>
      </c>
      <c r="F111" t="s">
        <v>348</v>
      </c>
      <c r="G111">
        <v>2.57</v>
      </c>
      <c r="H111">
        <v>3</v>
      </c>
      <c r="I111">
        <v>3</v>
      </c>
      <c r="J111" s="68">
        <f t="shared" si="42"/>
        <v>1</v>
      </c>
      <c r="K111" s="68">
        <f t="shared" si="43"/>
        <v>1</v>
      </c>
      <c r="L111" s="69">
        <f t="shared" si="44"/>
        <v>0</v>
      </c>
      <c r="M111" s="69">
        <f t="shared" si="45"/>
        <v>0</v>
      </c>
      <c r="N111" s="69">
        <f>IF(A111="","",Tabela1[[#This Row],[PTC]]*Tabela1[[#This Row],[ODDC]])</f>
        <v>2.57</v>
      </c>
      <c r="O111" s="69">
        <f>IF(A111="","",Tabela1[[#This Row],[PTV]]*Tabela1[[#This Row],[ODDV]])</f>
        <v>3</v>
      </c>
      <c r="P111" s="68">
        <f t="shared" si="46"/>
        <v>0</v>
      </c>
      <c r="Q111" s="68">
        <f t="shared" si="47"/>
        <v>0</v>
      </c>
      <c r="R111" s="68">
        <f t="shared" si="48"/>
        <v>-1</v>
      </c>
      <c r="S111" s="68">
        <f t="shared" si="49"/>
        <v>-1</v>
      </c>
      <c r="T111" s="68">
        <f>IF(A111="","",IF(F111="D",Tabela1[[#This Row],[ODDE]]-1,-1))</f>
        <v>2</v>
      </c>
      <c r="U111" s="70">
        <f>IF(A111="","",IF(AND(Tabela1[[#This Row],[FTHG]]&gt;3,F111="H"),1,0))</f>
        <v>0</v>
      </c>
      <c r="V111" s="70">
        <f>IF(A111="","",IF(AND(Tabela1[[#This Row],[FTAG]]&gt;3,F111="A"),1,0))</f>
        <v>0</v>
      </c>
      <c r="W111" s="70">
        <f t="shared" si="50"/>
        <v>0</v>
      </c>
      <c r="X111" s="70">
        <f t="shared" si="51"/>
        <v>0</v>
      </c>
      <c r="Y111" s="71">
        <f t="shared" si="52"/>
        <v>0</v>
      </c>
      <c r="Z111" s="70">
        <f t="shared" si="53"/>
        <v>0</v>
      </c>
      <c r="AA111" s="70">
        <f t="shared" si="54"/>
        <v>0</v>
      </c>
      <c r="AB111" s="70">
        <f t="shared" si="55"/>
        <v>0</v>
      </c>
      <c r="AC111" s="71">
        <f t="shared" si="56"/>
        <v>0</v>
      </c>
      <c r="AD111" s="72" t="str">
        <f t="shared" si="57"/>
        <v>ABR</v>
      </c>
      <c r="AE111" s="73">
        <f>IF(A111="","",COUNT($N$2:N111))</f>
        <v>110</v>
      </c>
      <c r="AF111" s="74">
        <f t="shared" si="58"/>
        <v>0</v>
      </c>
      <c r="AG111" s="74">
        <f t="shared" si="59"/>
        <v>1</v>
      </c>
      <c r="AH111" s="74">
        <f t="shared" si="60"/>
        <v>0</v>
      </c>
      <c r="AI111" s="74" t="str">
        <f t="shared" si="61"/>
        <v>2,41-3,0</v>
      </c>
      <c r="AJ111" s="74" t="str">
        <f t="shared" si="62"/>
        <v>2,41-3,0</v>
      </c>
      <c r="AK111" s="74">
        <f>IF(A111="","",1/Tabela1[[#This Row],[ODDC]])</f>
        <v>0.38910505836575876</v>
      </c>
      <c r="AL111" s="74">
        <f>IF(A111="","",1/Tabela1[[#This Row],[ODDE]])</f>
        <v>0.33333333333333331</v>
      </c>
      <c r="AM111" s="74">
        <f>IF(A111="","",1/Tabela1[[#This Row],[ODDV]])</f>
        <v>0.33333333333333331</v>
      </c>
      <c r="AN111" s="74">
        <f>IF(A111="","",1-(Tabela1[[#This Row],[p(H)]]+Tabela1[[#This Row],[p(D)]]+Tabela1[[#This Row],[p(A)]]))</f>
        <v>-5.5771725032425445E-2</v>
      </c>
      <c r="AO111" s="74">
        <f>IF(A111="","",IFERROR(Tabela1[[#This Row],[p(H)]]/Tabela1[[#This Row],[FTHG]],1))</f>
        <v>1</v>
      </c>
      <c r="AP111" s="74">
        <f>IF(A111="","",IFERROR(Tabela1[[#This Row],[p(A)]]/Tabela1[[#This Row],[FTAG]],1))</f>
        <v>1</v>
      </c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75"/>
      <c r="BA111" s="75"/>
      <c r="BB111" s="97"/>
      <c r="BC111" s="127"/>
      <c r="BD111" s="125"/>
      <c r="BE111" s="104"/>
      <c r="BF111" s="104"/>
      <c r="BG111" s="119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7"/>
      <c r="BS111" s="107"/>
      <c r="BT111" s="107"/>
      <c r="BU111" s="107"/>
      <c r="BV111" s="107"/>
      <c r="BW111" s="107"/>
      <c r="BX111" s="75"/>
      <c r="BY111" s="75"/>
      <c r="BZ111" s="75"/>
      <c r="CA111" s="75"/>
      <c r="CB111" s="75"/>
      <c r="CC111" s="75"/>
      <c r="CD111" s="75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</row>
    <row r="112" spans="1:120" x14ac:dyDescent="0.25">
      <c r="A112" s="4">
        <v>46131</v>
      </c>
      <c r="B112" t="s">
        <v>358</v>
      </c>
      <c r="C112" t="s">
        <v>361</v>
      </c>
      <c r="D112">
        <v>2</v>
      </c>
      <c r="E112">
        <v>0</v>
      </c>
      <c r="F112" t="s">
        <v>347</v>
      </c>
      <c r="G112">
        <v>1.62</v>
      </c>
      <c r="H112">
        <v>3.8</v>
      </c>
      <c r="I112">
        <v>5.25</v>
      </c>
      <c r="J112" s="68">
        <f t="shared" si="42"/>
        <v>3</v>
      </c>
      <c r="K112" s="68">
        <f t="shared" si="43"/>
        <v>0</v>
      </c>
      <c r="L112" s="69">
        <f t="shared" si="44"/>
        <v>0.38095238095238093</v>
      </c>
      <c r="M112" s="69">
        <f t="shared" si="45"/>
        <v>0</v>
      </c>
      <c r="N112" s="69">
        <f>IF(A112="","",Tabela1[[#This Row],[PTC]]*Tabela1[[#This Row],[ODDC]])</f>
        <v>4.8600000000000003</v>
      </c>
      <c r="O112" s="69">
        <f>IF(A112="","",Tabela1[[#This Row],[PTV]]*Tabela1[[#This Row],[ODDV]])</f>
        <v>0</v>
      </c>
      <c r="P112" s="68">
        <f t="shared" si="46"/>
        <v>2</v>
      </c>
      <c r="Q112" s="68">
        <f t="shared" si="47"/>
        <v>-2</v>
      </c>
      <c r="R112" s="68">
        <f t="shared" si="48"/>
        <v>0.62000000000000011</v>
      </c>
      <c r="S112" s="68">
        <f t="shared" si="49"/>
        <v>-1</v>
      </c>
      <c r="T112" s="68">
        <f>IF(A112="","",IF(F112="D",Tabela1[[#This Row],[ODDE]]-1,-1))</f>
        <v>-1</v>
      </c>
      <c r="U112" s="70">
        <f>IF(A112="","",IF(AND(Tabela1[[#This Row],[FTHG]]&gt;3,F112="H"),1,0))</f>
        <v>0</v>
      </c>
      <c r="V112" s="70">
        <f>IF(A112="","",IF(AND(Tabela1[[#This Row],[FTAG]]&gt;3,F112="A"),1,0))</f>
        <v>0</v>
      </c>
      <c r="W112" s="70">
        <f t="shared" si="50"/>
        <v>1</v>
      </c>
      <c r="X112" s="70">
        <f t="shared" si="51"/>
        <v>1</v>
      </c>
      <c r="Y112" s="71">
        <f t="shared" si="52"/>
        <v>0</v>
      </c>
      <c r="Z112" s="70">
        <f t="shared" si="53"/>
        <v>0</v>
      </c>
      <c r="AA112" s="70">
        <f t="shared" si="54"/>
        <v>0</v>
      </c>
      <c r="AB112" s="70">
        <f t="shared" si="55"/>
        <v>0</v>
      </c>
      <c r="AC112" s="71">
        <f t="shared" si="56"/>
        <v>0</v>
      </c>
      <c r="AD112" s="72" t="str">
        <f t="shared" si="57"/>
        <v>ABR</v>
      </c>
      <c r="AE112" s="73">
        <f>IF(A112="","",COUNT($N$2:N112))</f>
        <v>111</v>
      </c>
      <c r="AF112" s="74">
        <f t="shared" si="58"/>
        <v>1</v>
      </c>
      <c r="AG112" s="74">
        <f t="shared" si="59"/>
        <v>0</v>
      </c>
      <c r="AH112" s="74">
        <f t="shared" si="60"/>
        <v>0</v>
      </c>
      <c r="AI112" s="74" t="str">
        <f t="shared" si="61"/>
        <v>1,41-1,7</v>
      </c>
      <c r="AJ112" s="74" t="str">
        <f t="shared" si="62"/>
        <v>4,01-5,5</v>
      </c>
      <c r="AK112" s="74">
        <f>IF(A112="","",1/Tabela1[[#This Row],[ODDC]])</f>
        <v>0.61728395061728392</v>
      </c>
      <c r="AL112" s="74">
        <f>IF(A112="","",1/Tabela1[[#This Row],[ODDE]])</f>
        <v>0.26315789473684209</v>
      </c>
      <c r="AM112" s="74">
        <f>IF(A112="","",1/Tabela1[[#This Row],[ODDV]])</f>
        <v>0.19047619047619047</v>
      </c>
      <c r="AN112" s="74">
        <f>IF(A112="","",1-(Tabela1[[#This Row],[p(H)]]+Tabela1[[#This Row],[p(D)]]+Tabela1[[#This Row],[p(A)]]))</f>
        <v>-7.0918035830316528E-2</v>
      </c>
      <c r="AO112" s="74">
        <f>IF(A112="","",IFERROR(Tabela1[[#This Row],[p(H)]]/Tabela1[[#This Row],[FTHG]],1))</f>
        <v>0.30864197530864196</v>
      </c>
      <c r="AP112" s="74">
        <f>IF(A112="","",IFERROR(Tabela1[[#This Row],[p(A)]]/Tabela1[[#This Row],[FTAG]],1))</f>
        <v>1</v>
      </c>
      <c r="AQ112" s="107"/>
      <c r="AR112" s="107"/>
      <c r="AS112" s="107"/>
      <c r="AT112" s="107"/>
      <c r="AU112" s="107"/>
      <c r="AV112" s="107"/>
      <c r="AW112" s="107"/>
      <c r="AX112" s="107"/>
      <c r="AY112" s="107"/>
      <c r="AZ112" s="75"/>
      <c r="BA112" s="75"/>
      <c r="BB112" s="97"/>
      <c r="BC112" s="127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7"/>
      <c r="BS112" s="107"/>
      <c r="BT112" s="107"/>
      <c r="BU112" s="107"/>
      <c r="BV112" s="107"/>
      <c r="BW112" s="107"/>
      <c r="BX112" s="75"/>
      <c r="BY112" s="75"/>
      <c r="BZ112" s="75"/>
      <c r="CA112" s="75"/>
      <c r="CB112" s="75"/>
      <c r="CC112" s="75"/>
      <c r="CD112" s="75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</row>
    <row r="113" spans="1:120" x14ac:dyDescent="0.25">
      <c r="A113" s="4">
        <v>46131</v>
      </c>
      <c r="B113" t="s">
        <v>354</v>
      </c>
      <c r="C113" t="s">
        <v>382</v>
      </c>
      <c r="D113">
        <v>1</v>
      </c>
      <c r="E113">
        <v>2</v>
      </c>
      <c r="F113" t="s">
        <v>346</v>
      </c>
      <c r="G113">
        <v>1.86</v>
      </c>
      <c r="H113">
        <v>3.4</v>
      </c>
      <c r="I113">
        <v>4.0999999999999996</v>
      </c>
      <c r="J113" s="68">
        <f t="shared" si="42"/>
        <v>0</v>
      </c>
      <c r="K113" s="68">
        <f t="shared" si="43"/>
        <v>3</v>
      </c>
      <c r="L113" s="69">
        <f t="shared" si="44"/>
        <v>0.24390243902439027</v>
      </c>
      <c r="M113" s="69">
        <f t="shared" si="45"/>
        <v>1.075268817204301</v>
      </c>
      <c r="N113" s="69">
        <f>IF(A113="","",Tabela1[[#This Row],[PTC]]*Tabela1[[#This Row],[ODDC]])</f>
        <v>0</v>
      </c>
      <c r="O113" s="69">
        <f>IF(A113="","",Tabela1[[#This Row],[PTV]]*Tabela1[[#This Row],[ODDV]])</f>
        <v>12.299999999999999</v>
      </c>
      <c r="P113" s="68">
        <f t="shared" si="46"/>
        <v>-1</v>
      </c>
      <c r="Q113" s="68">
        <f t="shared" si="47"/>
        <v>1</v>
      </c>
      <c r="R113" s="68">
        <f t="shared" si="48"/>
        <v>-1</v>
      </c>
      <c r="S113" s="68">
        <f t="shared" si="49"/>
        <v>3.0999999999999996</v>
      </c>
      <c r="T113" s="68">
        <f>IF(A113="","",IF(F113="D",Tabela1[[#This Row],[ODDE]]-1,-1))</f>
        <v>-1</v>
      </c>
      <c r="U113" s="70">
        <f>IF(A113="","",IF(AND(Tabela1[[#This Row],[FTHG]]&gt;3,F113="H"),1,0))</f>
        <v>0</v>
      </c>
      <c r="V113" s="70">
        <f>IF(A113="","",IF(AND(Tabela1[[#This Row],[FTAG]]&gt;3,F113="A"),1,0))</f>
        <v>0</v>
      </c>
      <c r="W113" s="70">
        <f t="shared" si="50"/>
        <v>1</v>
      </c>
      <c r="X113" s="70">
        <f t="shared" si="51"/>
        <v>1</v>
      </c>
      <c r="Y113" s="71">
        <f t="shared" si="52"/>
        <v>1</v>
      </c>
      <c r="Z113" s="70">
        <f t="shared" si="53"/>
        <v>0</v>
      </c>
      <c r="AA113" s="70">
        <f t="shared" si="54"/>
        <v>0</v>
      </c>
      <c r="AB113" s="70">
        <f t="shared" si="55"/>
        <v>0</v>
      </c>
      <c r="AC113" s="71">
        <f t="shared" si="56"/>
        <v>1</v>
      </c>
      <c r="AD113" s="72" t="str">
        <f t="shared" si="57"/>
        <v>ABR</v>
      </c>
      <c r="AE113" s="73">
        <f>IF(A113="","",COUNT($N$2:N113))</f>
        <v>112</v>
      </c>
      <c r="AF113" s="74">
        <f t="shared" si="58"/>
        <v>0</v>
      </c>
      <c r="AG113" s="74">
        <f t="shared" si="59"/>
        <v>0</v>
      </c>
      <c r="AH113" s="74">
        <f t="shared" si="60"/>
        <v>1</v>
      </c>
      <c r="AI113" s="74" t="str">
        <f t="shared" si="61"/>
        <v>1,71-2,0</v>
      </c>
      <c r="AJ113" s="74" t="str">
        <f t="shared" si="62"/>
        <v>4,01-5,5</v>
      </c>
      <c r="AK113" s="74">
        <f>IF(A113="","",1/Tabela1[[#This Row],[ODDC]])</f>
        <v>0.5376344086021505</v>
      </c>
      <c r="AL113" s="74">
        <f>IF(A113="","",1/Tabela1[[#This Row],[ODDE]])</f>
        <v>0.29411764705882354</v>
      </c>
      <c r="AM113" s="74">
        <f>IF(A113="","",1/Tabela1[[#This Row],[ODDV]])</f>
        <v>0.24390243902439027</v>
      </c>
      <c r="AN113" s="74">
        <f>IF(A113="","",1-(Tabela1[[#This Row],[p(H)]]+Tabela1[[#This Row],[p(D)]]+Tabela1[[#This Row],[p(A)]]))</f>
        <v>-7.5654494685364337E-2</v>
      </c>
      <c r="AO113" s="74">
        <f>IF(A113="","",IFERROR(Tabela1[[#This Row],[p(H)]]/Tabela1[[#This Row],[FTHG]],1))</f>
        <v>0.5376344086021505</v>
      </c>
      <c r="AP113" s="74">
        <f>IF(A113="","",IFERROR(Tabela1[[#This Row],[p(A)]]/Tabela1[[#This Row],[FTAG]],1))</f>
        <v>0.12195121951219513</v>
      </c>
      <c r="AQ113" s="107"/>
      <c r="AR113" s="107"/>
      <c r="AS113" s="107"/>
      <c r="AT113" s="107"/>
      <c r="AU113" s="107"/>
      <c r="AV113" s="107"/>
      <c r="AW113" s="107"/>
      <c r="AX113" s="107"/>
      <c r="AY113" s="107"/>
      <c r="AZ113" s="75"/>
      <c r="BA113" s="75"/>
      <c r="BB113" s="97"/>
      <c r="BC113" s="127"/>
      <c r="BD113" s="118"/>
      <c r="BE113" s="118"/>
      <c r="BF113" s="118"/>
      <c r="BG113" s="118"/>
      <c r="BH113" s="118"/>
      <c r="BI113" s="118"/>
      <c r="BJ113" s="118"/>
      <c r="BK113" s="104"/>
      <c r="BL113" s="104"/>
      <c r="BM113" s="104"/>
      <c r="BN113" s="104"/>
      <c r="BO113" s="104"/>
      <c r="BP113" s="104"/>
      <c r="BQ113" s="104"/>
      <c r="BR113" s="107"/>
      <c r="BS113" s="107"/>
      <c r="BT113" s="107"/>
      <c r="BU113" s="107"/>
      <c r="BV113" s="107"/>
      <c r="BW113" s="107"/>
      <c r="BX113" s="75"/>
      <c r="BY113" s="75"/>
      <c r="BZ113" s="75"/>
      <c r="CA113" s="75"/>
      <c r="CB113" s="75"/>
      <c r="CC113" s="75"/>
      <c r="CD113" s="75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</row>
    <row r="114" spans="1:120" x14ac:dyDescent="0.25">
      <c r="A114" s="4">
        <v>46131</v>
      </c>
      <c r="B114" t="s">
        <v>387</v>
      </c>
      <c r="C114" t="s">
        <v>359</v>
      </c>
      <c r="D114">
        <v>2</v>
      </c>
      <c r="E114">
        <v>0</v>
      </c>
      <c r="F114" t="s">
        <v>347</v>
      </c>
      <c r="G114">
        <v>2.2000000000000002</v>
      </c>
      <c r="H114">
        <v>3.2</v>
      </c>
      <c r="I114">
        <v>3.4</v>
      </c>
      <c r="J114" s="68">
        <f t="shared" si="42"/>
        <v>3</v>
      </c>
      <c r="K114" s="68">
        <f t="shared" si="43"/>
        <v>0</v>
      </c>
      <c r="L114" s="69">
        <f t="shared" si="44"/>
        <v>0.58823529411764708</v>
      </c>
      <c r="M114" s="69">
        <f t="shared" si="45"/>
        <v>0</v>
      </c>
      <c r="N114" s="69">
        <f>IF(A114="","",Tabela1[[#This Row],[PTC]]*Tabela1[[#This Row],[ODDC]])</f>
        <v>6.6000000000000005</v>
      </c>
      <c r="O114" s="69">
        <f>IF(A114="","",Tabela1[[#This Row],[PTV]]*Tabela1[[#This Row],[ODDV]])</f>
        <v>0</v>
      </c>
      <c r="P114" s="68">
        <f t="shared" si="46"/>
        <v>2</v>
      </c>
      <c r="Q114" s="68">
        <f t="shared" si="47"/>
        <v>-2</v>
      </c>
      <c r="R114" s="68">
        <f t="shared" si="48"/>
        <v>1.2000000000000002</v>
      </c>
      <c r="S114" s="68">
        <f t="shared" si="49"/>
        <v>-1</v>
      </c>
      <c r="T114" s="68">
        <f>IF(A114="","",IF(F114="D",Tabela1[[#This Row],[ODDE]]-1,-1))</f>
        <v>-1</v>
      </c>
      <c r="U114" s="70">
        <f>IF(A114="","",IF(AND(Tabela1[[#This Row],[FTHG]]&gt;3,F114="H"),1,0))</f>
        <v>0</v>
      </c>
      <c r="V114" s="70">
        <f>IF(A114="","",IF(AND(Tabela1[[#This Row],[FTAG]]&gt;3,F114="A"),1,0))</f>
        <v>0</v>
      </c>
      <c r="W114" s="70">
        <f t="shared" si="50"/>
        <v>1</v>
      </c>
      <c r="X114" s="70">
        <f t="shared" si="51"/>
        <v>1</v>
      </c>
      <c r="Y114" s="71">
        <f t="shared" si="52"/>
        <v>0</v>
      </c>
      <c r="Z114" s="70">
        <f t="shared" si="53"/>
        <v>0</v>
      </c>
      <c r="AA114" s="70">
        <f t="shared" si="54"/>
        <v>0</v>
      </c>
      <c r="AB114" s="70">
        <f t="shared" si="55"/>
        <v>0</v>
      </c>
      <c r="AC114" s="71">
        <f t="shared" si="56"/>
        <v>0</v>
      </c>
      <c r="AD114" s="72" t="str">
        <f t="shared" si="57"/>
        <v>ABR</v>
      </c>
      <c r="AE114" s="73">
        <f>IF(A114="","",COUNT($N$2:N114))</f>
        <v>113</v>
      </c>
      <c r="AF114" s="74">
        <f t="shared" si="58"/>
        <v>1</v>
      </c>
      <c r="AG114" s="74">
        <f t="shared" si="59"/>
        <v>0</v>
      </c>
      <c r="AH114" s="74">
        <f t="shared" si="60"/>
        <v>0</v>
      </c>
      <c r="AI114" s="74" t="str">
        <f t="shared" si="61"/>
        <v>2,01-2,4</v>
      </c>
      <c r="AJ114" s="74" t="str">
        <f t="shared" si="62"/>
        <v>3,01-4.0</v>
      </c>
      <c r="AK114" s="74">
        <f>IF(A114="","",1/Tabela1[[#This Row],[ODDC]])</f>
        <v>0.45454545454545453</v>
      </c>
      <c r="AL114" s="74">
        <f>IF(A114="","",1/Tabela1[[#This Row],[ODDE]])</f>
        <v>0.3125</v>
      </c>
      <c r="AM114" s="74">
        <f>IF(A114="","",1/Tabela1[[#This Row],[ODDV]])</f>
        <v>0.29411764705882354</v>
      </c>
      <c r="AN114" s="74">
        <f>IF(A114="","",1-(Tabela1[[#This Row],[p(H)]]+Tabela1[[#This Row],[p(D)]]+Tabela1[[#This Row],[p(A)]]))</f>
        <v>-6.1163101604278181E-2</v>
      </c>
      <c r="AO114" s="74">
        <f>IF(A114="","",IFERROR(Tabela1[[#This Row],[p(H)]]/Tabela1[[#This Row],[FTHG]],1))</f>
        <v>0.22727272727272727</v>
      </c>
      <c r="AP114" s="74">
        <f>IF(A114="","",IFERROR(Tabela1[[#This Row],[p(A)]]/Tabela1[[#This Row],[FTAG]],1))</f>
        <v>1</v>
      </c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75"/>
      <c r="BA114" s="75"/>
      <c r="BB114" s="97"/>
      <c r="BC114" s="128"/>
      <c r="BD114" s="129"/>
      <c r="BE114" s="129"/>
      <c r="BF114" s="129"/>
      <c r="BG114" s="129"/>
      <c r="BH114" s="129"/>
      <c r="BI114" s="129"/>
      <c r="BJ114" s="129"/>
      <c r="BK114" s="104"/>
      <c r="BL114" s="104"/>
      <c r="BM114" s="104"/>
      <c r="BN114" s="104"/>
      <c r="BO114" s="104"/>
      <c r="BP114" s="104"/>
      <c r="BQ114" s="104"/>
      <c r="BR114" s="107"/>
      <c r="BS114" s="107"/>
      <c r="BT114" s="107"/>
      <c r="BU114" s="107"/>
      <c r="BV114" s="107"/>
      <c r="BW114" s="107"/>
      <c r="BX114" s="75"/>
      <c r="BY114" s="75"/>
      <c r="BZ114" s="75"/>
      <c r="CA114" s="75"/>
      <c r="CB114" s="75"/>
      <c r="CC114" s="75"/>
      <c r="CD114" s="75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</row>
    <row r="115" spans="1:120" x14ac:dyDescent="0.25">
      <c r="A115" s="4">
        <v>46131</v>
      </c>
      <c r="B115" t="s">
        <v>362</v>
      </c>
      <c r="C115" t="s">
        <v>352</v>
      </c>
      <c r="D115">
        <v>2</v>
      </c>
      <c r="E115">
        <v>3</v>
      </c>
      <c r="F115" t="s">
        <v>346</v>
      </c>
      <c r="G115">
        <v>2.15</v>
      </c>
      <c r="H115">
        <v>3.2</v>
      </c>
      <c r="I115">
        <v>3.5</v>
      </c>
      <c r="J115" s="68">
        <f t="shared" si="42"/>
        <v>0</v>
      </c>
      <c r="K115" s="68">
        <f t="shared" si="43"/>
        <v>3</v>
      </c>
      <c r="L115" s="69">
        <f t="shared" si="44"/>
        <v>0.5714285714285714</v>
      </c>
      <c r="M115" s="69">
        <f t="shared" si="45"/>
        <v>1.3953488372093024</v>
      </c>
      <c r="N115" s="69">
        <f>IF(A115="","",Tabela1[[#This Row],[PTC]]*Tabela1[[#This Row],[ODDC]])</f>
        <v>0</v>
      </c>
      <c r="O115" s="69">
        <f>IF(A115="","",Tabela1[[#This Row],[PTV]]*Tabela1[[#This Row],[ODDV]])</f>
        <v>10.5</v>
      </c>
      <c r="P115" s="68">
        <f t="shared" si="46"/>
        <v>-1</v>
      </c>
      <c r="Q115" s="68">
        <f t="shared" si="47"/>
        <v>1</v>
      </c>
      <c r="R115" s="68">
        <f t="shared" si="48"/>
        <v>-1</v>
      </c>
      <c r="S115" s="68">
        <f t="shared" si="49"/>
        <v>2.5</v>
      </c>
      <c r="T115" s="68">
        <f>IF(A115="","",IF(F115="D",Tabela1[[#This Row],[ODDE]]-1,-1))</f>
        <v>-1</v>
      </c>
      <c r="U115" s="70">
        <f>IF(A115="","",IF(AND(Tabela1[[#This Row],[FTHG]]&gt;3,F115="H"),1,0))</f>
        <v>0</v>
      </c>
      <c r="V115" s="70">
        <f>IF(A115="","",IF(AND(Tabela1[[#This Row],[FTAG]]&gt;3,F115="A"),1,0))</f>
        <v>0</v>
      </c>
      <c r="W115" s="70">
        <f t="shared" si="50"/>
        <v>1</v>
      </c>
      <c r="X115" s="70">
        <f t="shared" si="51"/>
        <v>1</v>
      </c>
      <c r="Y115" s="71">
        <f t="shared" si="52"/>
        <v>1</v>
      </c>
      <c r="Z115" s="70">
        <f t="shared" si="53"/>
        <v>1</v>
      </c>
      <c r="AA115" s="70">
        <f t="shared" si="54"/>
        <v>1</v>
      </c>
      <c r="AB115" s="70">
        <f t="shared" si="55"/>
        <v>0</v>
      </c>
      <c r="AC115" s="71">
        <f t="shared" si="56"/>
        <v>1</v>
      </c>
      <c r="AD115" s="72" t="str">
        <f t="shared" si="57"/>
        <v>ABR</v>
      </c>
      <c r="AE115" s="73">
        <f>IF(A115="","",COUNT($N$2:N115))</f>
        <v>114</v>
      </c>
      <c r="AF115" s="74">
        <f t="shared" si="58"/>
        <v>0</v>
      </c>
      <c r="AG115" s="74">
        <f t="shared" si="59"/>
        <v>0</v>
      </c>
      <c r="AH115" s="74">
        <f t="shared" si="60"/>
        <v>1</v>
      </c>
      <c r="AI115" s="74" t="str">
        <f t="shared" si="61"/>
        <v>2,01-2,4</v>
      </c>
      <c r="AJ115" s="74" t="str">
        <f t="shared" si="62"/>
        <v>3,01-4.0</v>
      </c>
      <c r="AK115" s="74">
        <f>IF(A115="","",1/Tabela1[[#This Row],[ODDC]])</f>
        <v>0.46511627906976744</v>
      </c>
      <c r="AL115" s="74">
        <f>IF(A115="","",1/Tabela1[[#This Row],[ODDE]])</f>
        <v>0.3125</v>
      </c>
      <c r="AM115" s="74">
        <f>IF(A115="","",1/Tabela1[[#This Row],[ODDV]])</f>
        <v>0.2857142857142857</v>
      </c>
      <c r="AN115" s="74">
        <f>IF(A115="","",1-(Tabela1[[#This Row],[p(H)]]+Tabela1[[#This Row],[p(D)]]+Tabela1[[#This Row],[p(A)]]))</f>
        <v>-6.3330564784052967E-2</v>
      </c>
      <c r="AO115" s="74">
        <f>IF(A115="","",IFERROR(Tabela1[[#This Row],[p(H)]]/Tabela1[[#This Row],[FTHG]],1))</f>
        <v>0.23255813953488372</v>
      </c>
      <c r="AP115" s="74">
        <f>IF(A115="","",IFERROR(Tabela1[[#This Row],[p(A)]]/Tabela1[[#This Row],[FTAG]],1))</f>
        <v>9.5238095238095233E-2</v>
      </c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75"/>
      <c r="BA115" s="75"/>
      <c r="BB115" s="97"/>
      <c r="BC115" s="130"/>
      <c r="BD115" s="129"/>
      <c r="BE115" s="129"/>
      <c r="BF115" s="129"/>
      <c r="BG115" s="129"/>
      <c r="BH115" s="129"/>
      <c r="BI115" s="129"/>
      <c r="BJ115" s="129"/>
      <c r="BK115" s="104"/>
      <c r="BL115" s="104"/>
      <c r="BM115" s="104"/>
      <c r="BN115" s="104"/>
      <c r="BO115" s="104"/>
      <c r="BP115" s="104"/>
      <c r="BQ115" s="104"/>
      <c r="BR115" s="107"/>
      <c r="BS115" s="107"/>
      <c r="BT115" s="107"/>
      <c r="BU115" s="107"/>
      <c r="BV115" s="107"/>
      <c r="BW115" s="107"/>
      <c r="BX115" s="75"/>
      <c r="BY115" s="75"/>
      <c r="BZ115" s="75"/>
      <c r="CA115" s="75"/>
      <c r="CB115" s="75"/>
      <c r="CC115" s="75"/>
      <c r="CD115" s="75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</row>
    <row r="116" spans="1:120" x14ac:dyDescent="0.25">
      <c r="A116" s="4">
        <v>46131</v>
      </c>
      <c r="B116" t="s">
        <v>355</v>
      </c>
      <c r="C116" t="s">
        <v>389</v>
      </c>
      <c r="D116">
        <v>4</v>
      </c>
      <c r="E116">
        <v>2</v>
      </c>
      <c r="F116" t="s">
        <v>347</v>
      </c>
      <c r="G116">
        <v>1.49</v>
      </c>
      <c r="H116">
        <v>3.9</v>
      </c>
      <c r="I116">
        <v>6.5</v>
      </c>
      <c r="J116" s="68">
        <f t="shared" si="42"/>
        <v>3</v>
      </c>
      <c r="K116" s="68">
        <f t="shared" si="43"/>
        <v>0</v>
      </c>
      <c r="L116" s="69">
        <f t="shared" si="44"/>
        <v>0.61538461538461542</v>
      </c>
      <c r="M116" s="69">
        <f t="shared" si="45"/>
        <v>1.3422818791946309</v>
      </c>
      <c r="N116" s="69">
        <f>IF(A116="","",Tabela1[[#This Row],[PTC]]*Tabela1[[#This Row],[ODDC]])</f>
        <v>4.47</v>
      </c>
      <c r="O116" s="69">
        <f>IF(A116="","",Tabela1[[#This Row],[PTV]]*Tabela1[[#This Row],[ODDV]])</f>
        <v>0</v>
      </c>
      <c r="P116" s="68">
        <f t="shared" si="46"/>
        <v>2</v>
      </c>
      <c r="Q116" s="68">
        <f t="shared" si="47"/>
        <v>-2</v>
      </c>
      <c r="R116" s="68">
        <f t="shared" si="48"/>
        <v>0.49</v>
      </c>
      <c r="S116" s="68">
        <f t="shared" si="49"/>
        <v>-1</v>
      </c>
      <c r="T116" s="68">
        <f>IF(A116="","",IF(F116="D",Tabela1[[#This Row],[ODDE]]-1,-1))</f>
        <v>-1</v>
      </c>
      <c r="U116" s="70">
        <f>IF(A116="","",IF(AND(Tabela1[[#This Row],[FTHG]]&gt;3,F116="H"),1,0))</f>
        <v>1</v>
      </c>
      <c r="V116" s="70">
        <f>IF(A116="","",IF(AND(Tabela1[[#This Row],[FTAG]]&gt;3,F116="A"),1,0))</f>
        <v>0</v>
      </c>
      <c r="W116" s="70">
        <f t="shared" si="50"/>
        <v>1</v>
      </c>
      <c r="X116" s="70">
        <f t="shared" si="51"/>
        <v>1</v>
      </c>
      <c r="Y116" s="71">
        <f t="shared" si="52"/>
        <v>1</v>
      </c>
      <c r="Z116" s="70">
        <f t="shared" si="53"/>
        <v>1</v>
      </c>
      <c r="AA116" s="70">
        <f t="shared" si="54"/>
        <v>1</v>
      </c>
      <c r="AB116" s="70">
        <f t="shared" si="55"/>
        <v>1</v>
      </c>
      <c r="AC116" s="71">
        <f t="shared" si="56"/>
        <v>1</v>
      </c>
      <c r="AD116" s="72" t="str">
        <f t="shared" si="57"/>
        <v>ABR</v>
      </c>
      <c r="AE116" s="73">
        <f>IF(A116="","",COUNT($N$2:N116))</f>
        <v>115</v>
      </c>
      <c r="AF116" s="74">
        <f t="shared" si="58"/>
        <v>1</v>
      </c>
      <c r="AG116" s="74">
        <f t="shared" si="59"/>
        <v>0</v>
      </c>
      <c r="AH116" s="74">
        <f t="shared" si="60"/>
        <v>0</v>
      </c>
      <c r="AI116" s="74" t="str">
        <f t="shared" si="61"/>
        <v>1,41-1,7</v>
      </c>
      <c r="AJ116" s="74" t="str">
        <f t="shared" si="62"/>
        <v>5,51-9,0</v>
      </c>
      <c r="AK116" s="74">
        <f>IF(A116="","",1/Tabela1[[#This Row],[ODDC]])</f>
        <v>0.67114093959731547</v>
      </c>
      <c r="AL116" s="74">
        <f>IF(A116="","",1/Tabela1[[#This Row],[ODDE]])</f>
        <v>0.25641025641025644</v>
      </c>
      <c r="AM116" s="74">
        <f>IF(A116="","",1/Tabela1[[#This Row],[ODDV]])</f>
        <v>0.15384615384615385</v>
      </c>
      <c r="AN116" s="74">
        <f>IF(A116="","",1-(Tabela1[[#This Row],[p(H)]]+Tabela1[[#This Row],[p(D)]]+Tabela1[[#This Row],[p(A)]]))</f>
        <v>-8.1397349853725931E-2</v>
      </c>
      <c r="AO116" s="74">
        <f>IF(A116="","",IFERROR(Tabela1[[#This Row],[p(H)]]/Tabela1[[#This Row],[FTHG]],1))</f>
        <v>0.16778523489932887</v>
      </c>
      <c r="AP116" s="74">
        <f>IF(A116="","",IFERROR(Tabela1[[#This Row],[p(A)]]/Tabela1[[#This Row],[FTAG]],1))</f>
        <v>7.6923076923076927E-2</v>
      </c>
      <c r="AQ116" s="107"/>
      <c r="AR116" s="107"/>
      <c r="AS116" s="107"/>
      <c r="AT116" s="107"/>
      <c r="AU116" s="107"/>
      <c r="AV116" s="107"/>
      <c r="AW116" s="107"/>
      <c r="AX116" s="107"/>
      <c r="AY116" s="107"/>
      <c r="AZ116" s="75"/>
      <c r="BA116" s="75"/>
      <c r="BB116" s="97"/>
      <c r="BC116" s="130"/>
      <c r="BD116" s="129"/>
      <c r="BE116" s="129"/>
      <c r="BF116" s="129"/>
      <c r="BG116" s="129"/>
      <c r="BH116" s="129"/>
      <c r="BI116" s="129"/>
      <c r="BJ116" s="129"/>
      <c r="BK116" s="104"/>
      <c r="BL116" s="104"/>
      <c r="BM116" s="104"/>
      <c r="BN116" s="104"/>
      <c r="BO116" s="104"/>
      <c r="BP116" s="104"/>
      <c r="BQ116" s="104"/>
      <c r="BR116" s="107"/>
      <c r="BS116" s="107"/>
      <c r="BT116" s="107"/>
      <c r="BU116" s="107"/>
      <c r="BV116" s="107"/>
      <c r="BW116" s="107"/>
      <c r="BX116" s="75"/>
      <c r="BY116" s="75"/>
      <c r="BZ116" s="75"/>
      <c r="CA116" s="75"/>
      <c r="CB116" s="75"/>
      <c r="CC116" s="75"/>
      <c r="CD116" s="75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</row>
    <row r="117" spans="1:120" x14ac:dyDescent="0.25">
      <c r="A117" s="4">
        <v>46131</v>
      </c>
      <c r="B117" t="s">
        <v>353</v>
      </c>
      <c r="C117" t="s">
        <v>388</v>
      </c>
      <c r="D117">
        <v>1</v>
      </c>
      <c r="E117">
        <v>0</v>
      </c>
      <c r="F117" t="s">
        <v>347</v>
      </c>
      <c r="G117">
        <v>1.56</v>
      </c>
      <c r="H117">
        <v>3.6</v>
      </c>
      <c r="I117">
        <v>6.5</v>
      </c>
      <c r="J117" s="68">
        <f t="shared" si="42"/>
        <v>3</v>
      </c>
      <c r="K117" s="68">
        <f t="shared" si="43"/>
        <v>0</v>
      </c>
      <c r="L117" s="69">
        <f t="shared" si="44"/>
        <v>0.15384615384615385</v>
      </c>
      <c r="M117" s="69">
        <f t="shared" si="45"/>
        <v>0</v>
      </c>
      <c r="N117" s="69">
        <f>IF(A117="","",Tabela1[[#This Row],[PTC]]*Tabela1[[#This Row],[ODDC]])</f>
        <v>4.68</v>
      </c>
      <c r="O117" s="69">
        <f>IF(A117="","",Tabela1[[#This Row],[PTV]]*Tabela1[[#This Row],[ODDV]])</f>
        <v>0</v>
      </c>
      <c r="P117" s="68">
        <f t="shared" si="46"/>
        <v>1</v>
      </c>
      <c r="Q117" s="68">
        <f t="shared" si="47"/>
        <v>-1</v>
      </c>
      <c r="R117" s="68">
        <f t="shared" si="48"/>
        <v>0.56000000000000005</v>
      </c>
      <c r="S117" s="68">
        <f t="shared" si="49"/>
        <v>-1</v>
      </c>
      <c r="T117" s="68">
        <f>IF(A117="","",IF(F117="D",Tabela1[[#This Row],[ODDE]]-1,-1))</f>
        <v>-1</v>
      </c>
      <c r="U117" s="70">
        <f>IF(A117="","",IF(AND(Tabela1[[#This Row],[FTHG]]&gt;3,F117="H"),1,0))</f>
        <v>0</v>
      </c>
      <c r="V117" s="70">
        <f>IF(A117="","",IF(AND(Tabela1[[#This Row],[FTAG]]&gt;3,F117="A"),1,0))</f>
        <v>0</v>
      </c>
      <c r="W117" s="70">
        <f t="shared" si="50"/>
        <v>1</v>
      </c>
      <c r="X117" s="70">
        <f t="shared" si="51"/>
        <v>0</v>
      </c>
      <c r="Y117" s="71">
        <f t="shared" si="52"/>
        <v>0</v>
      </c>
      <c r="Z117" s="70">
        <f t="shared" si="53"/>
        <v>0</v>
      </c>
      <c r="AA117" s="70">
        <f t="shared" si="54"/>
        <v>0</v>
      </c>
      <c r="AB117" s="70">
        <f t="shared" si="55"/>
        <v>0</v>
      </c>
      <c r="AC117" s="71">
        <f t="shared" si="56"/>
        <v>0</v>
      </c>
      <c r="AD117" s="72" t="str">
        <f t="shared" si="57"/>
        <v>ABR</v>
      </c>
      <c r="AE117" s="73">
        <f>IF(A117="","",COUNT($N$2:N117))</f>
        <v>116</v>
      </c>
      <c r="AF117" s="74">
        <f t="shared" si="58"/>
        <v>1</v>
      </c>
      <c r="AG117" s="74">
        <f t="shared" si="59"/>
        <v>0</v>
      </c>
      <c r="AH117" s="74">
        <f t="shared" si="60"/>
        <v>0</v>
      </c>
      <c r="AI117" s="74" t="str">
        <f t="shared" si="61"/>
        <v>1,41-1,7</v>
      </c>
      <c r="AJ117" s="74" t="str">
        <f t="shared" si="62"/>
        <v>5,51-9,0</v>
      </c>
      <c r="AK117" s="74">
        <f>IF(A117="","",1/Tabela1[[#This Row],[ODDC]])</f>
        <v>0.64102564102564097</v>
      </c>
      <c r="AL117" s="74">
        <f>IF(A117="","",1/Tabela1[[#This Row],[ODDE]])</f>
        <v>0.27777777777777779</v>
      </c>
      <c r="AM117" s="74">
        <f>IF(A117="","",1/Tabela1[[#This Row],[ODDV]])</f>
        <v>0.15384615384615385</v>
      </c>
      <c r="AN117" s="74">
        <f>IF(A117="","",1-(Tabela1[[#This Row],[p(H)]]+Tabela1[[#This Row],[p(D)]]+Tabela1[[#This Row],[p(A)]]))</f>
        <v>-7.2649572649572614E-2</v>
      </c>
      <c r="AO117" s="74">
        <f>IF(A117="","",IFERROR(Tabela1[[#This Row],[p(H)]]/Tabela1[[#This Row],[FTHG]],1))</f>
        <v>0.64102564102564097</v>
      </c>
      <c r="AP117" s="74">
        <f>IF(A117="","",IFERROR(Tabela1[[#This Row],[p(A)]]/Tabela1[[#This Row],[FTAG]],1))</f>
        <v>1</v>
      </c>
      <c r="AQ117" s="107"/>
      <c r="AR117" s="107"/>
      <c r="AS117" s="107"/>
      <c r="AT117" s="107"/>
      <c r="AU117" s="107"/>
      <c r="AV117" s="107"/>
      <c r="AW117" s="107"/>
      <c r="AX117" s="107"/>
      <c r="AY117" s="107"/>
      <c r="AZ117" s="75"/>
      <c r="BA117" s="75"/>
      <c r="BB117" s="97"/>
      <c r="BC117" s="131"/>
      <c r="BD117" s="129"/>
      <c r="BE117" s="129"/>
      <c r="BF117" s="129"/>
      <c r="BG117" s="129"/>
      <c r="BH117" s="129"/>
      <c r="BI117" s="129"/>
      <c r="BJ117" s="129"/>
      <c r="BK117" s="104"/>
      <c r="BL117" s="104"/>
      <c r="BM117" s="104"/>
      <c r="BN117" s="104"/>
      <c r="BO117" s="104"/>
      <c r="BP117" s="104"/>
      <c r="BQ117" s="104"/>
      <c r="BR117" s="107"/>
      <c r="BS117" s="107"/>
      <c r="BT117" s="107"/>
      <c r="BU117" s="107"/>
      <c r="BV117" s="107"/>
      <c r="BW117" s="107"/>
      <c r="BX117" s="75"/>
      <c r="BY117" s="75"/>
      <c r="BZ117" s="75"/>
      <c r="CA117" s="75"/>
      <c r="CB117" s="75"/>
      <c r="CC117" s="75"/>
      <c r="CD117" s="75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</row>
    <row r="118" spans="1:120" x14ac:dyDescent="0.25">
      <c r="A118" s="4">
        <v>46131</v>
      </c>
      <c r="B118" t="s">
        <v>363</v>
      </c>
      <c r="C118" t="s">
        <v>356</v>
      </c>
      <c r="D118">
        <v>2</v>
      </c>
      <c r="E118">
        <v>0</v>
      </c>
      <c r="F118" t="s">
        <v>347</v>
      </c>
      <c r="G118">
        <v>1.42</v>
      </c>
      <c r="H118">
        <v>4.5</v>
      </c>
      <c r="I118">
        <v>6.5</v>
      </c>
      <c r="J118" s="68">
        <f t="shared" si="42"/>
        <v>3</v>
      </c>
      <c r="K118" s="68">
        <f t="shared" si="43"/>
        <v>0</v>
      </c>
      <c r="L118" s="69">
        <f t="shared" si="44"/>
        <v>0.30769230769230771</v>
      </c>
      <c r="M118" s="69">
        <f t="shared" si="45"/>
        <v>0</v>
      </c>
      <c r="N118" s="69">
        <f>IF(A118="","",Tabela1[[#This Row],[PTC]]*Tabela1[[#This Row],[ODDC]])</f>
        <v>4.26</v>
      </c>
      <c r="O118" s="69">
        <f>IF(A118="","",Tabela1[[#This Row],[PTV]]*Tabela1[[#This Row],[ODDV]])</f>
        <v>0</v>
      </c>
      <c r="P118" s="68">
        <f t="shared" si="46"/>
        <v>2</v>
      </c>
      <c r="Q118" s="68">
        <f t="shared" si="47"/>
        <v>-2</v>
      </c>
      <c r="R118" s="68">
        <f t="shared" si="48"/>
        <v>0.41999999999999993</v>
      </c>
      <c r="S118" s="68">
        <f t="shared" si="49"/>
        <v>-1</v>
      </c>
      <c r="T118" s="68">
        <f>IF(A118="","",IF(F118="D",Tabela1[[#This Row],[ODDE]]-1,-1))</f>
        <v>-1</v>
      </c>
      <c r="U118" s="70">
        <f>IF(A118="","",IF(AND(Tabela1[[#This Row],[FTHG]]&gt;3,F118="H"),1,0))</f>
        <v>0</v>
      </c>
      <c r="V118" s="70">
        <f>IF(A118="","",IF(AND(Tabela1[[#This Row],[FTAG]]&gt;3,F118="A"),1,0))</f>
        <v>0</v>
      </c>
      <c r="W118" s="70">
        <f t="shared" si="50"/>
        <v>1</v>
      </c>
      <c r="X118" s="70">
        <f t="shared" si="51"/>
        <v>1</v>
      </c>
      <c r="Y118" s="71">
        <f t="shared" si="52"/>
        <v>0</v>
      </c>
      <c r="Z118" s="70">
        <f t="shared" si="53"/>
        <v>0</v>
      </c>
      <c r="AA118" s="70">
        <f t="shared" si="54"/>
        <v>0</v>
      </c>
      <c r="AB118" s="70">
        <f t="shared" si="55"/>
        <v>0</v>
      </c>
      <c r="AC118" s="71">
        <f t="shared" si="56"/>
        <v>0</v>
      </c>
      <c r="AD118" s="72" t="str">
        <f t="shared" si="57"/>
        <v>ABR</v>
      </c>
      <c r="AE118" s="73">
        <f>IF(A118="","",COUNT($N$2:N118))</f>
        <v>117</v>
      </c>
      <c r="AF118" s="74">
        <f t="shared" si="58"/>
        <v>1</v>
      </c>
      <c r="AG118" s="74">
        <f t="shared" si="59"/>
        <v>0</v>
      </c>
      <c r="AH118" s="74">
        <f t="shared" si="60"/>
        <v>0</v>
      </c>
      <c r="AI118" s="74" t="str">
        <f t="shared" si="61"/>
        <v>1,41-1,7</v>
      </c>
      <c r="AJ118" s="74" t="str">
        <f t="shared" si="62"/>
        <v>5,51-9,0</v>
      </c>
      <c r="AK118" s="74">
        <f>IF(A118="","",1/Tabela1[[#This Row],[ODDC]])</f>
        <v>0.70422535211267612</v>
      </c>
      <c r="AL118" s="74">
        <f>IF(A118="","",1/Tabela1[[#This Row],[ODDE]])</f>
        <v>0.22222222222222221</v>
      </c>
      <c r="AM118" s="74">
        <f>IF(A118="","",1/Tabela1[[#This Row],[ODDV]])</f>
        <v>0.15384615384615385</v>
      </c>
      <c r="AN118" s="74">
        <f>IF(A118="","",1-(Tabela1[[#This Row],[p(H)]]+Tabela1[[#This Row],[p(D)]]+Tabela1[[#This Row],[p(A)]]))</f>
        <v>-8.0293728181052071E-2</v>
      </c>
      <c r="AO118" s="74">
        <f>IF(A118="","",IFERROR(Tabela1[[#This Row],[p(H)]]/Tabela1[[#This Row],[FTHG]],1))</f>
        <v>0.35211267605633806</v>
      </c>
      <c r="AP118" s="74">
        <f>IF(A118="","",IFERROR(Tabela1[[#This Row],[p(A)]]/Tabela1[[#This Row],[FTAG]],1))</f>
        <v>1</v>
      </c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75"/>
      <c r="BA118" s="75"/>
      <c r="BB118" s="97"/>
      <c r="BC118" s="128"/>
      <c r="BD118" s="129"/>
      <c r="BE118" s="129"/>
      <c r="BF118" s="129"/>
      <c r="BG118" s="129"/>
      <c r="BH118" s="129"/>
      <c r="BI118" s="129"/>
      <c r="BJ118" s="129"/>
      <c r="BK118" s="104"/>
      <c r="BL118" s="104"/>
      <c r="BM118" s="104"/>
      <c r="BN118" s="104"/>
      <c r="BO118" s="104"/>
      <c r="BP118" s="104"/>
      <c r="BQ118" s="104"/>
      <c r="BR118" s="107"/>
      <c r="BS118" s="107"/>
      <c r="BT118" s="107"/>
      <c r="BU118" s="107"/>
      <c r="BV118" s="107"/>
      <c r="BW118" s="107"/>
      <c r="BX118" s="75"/>
      <c r="BY118" s="75"/>
      <c r="BZ118" s="75"/>
      <c r="CA118" s="75"/>
      <c r="CB118" s="75"/>
      <c r="CC118" s="75"/>
      <c r="CD118" s="75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</row>
    <row r="119" spans="1:120" x14ac:dyDescent="0.25">
      <c r="A119" s="4"/>
      <c r="D119"/>
      <c r="E119"/>
      <c r="F119"/>
      <c r="J119" s="68" t="str">
        <f t="shared" si="42"/>
        <v/>
      </c>
      <c r="K119" s="68" t="str">
        <f t="shared" si="43"/>
        <v/>
      </c>
      <c r="L119" s="69" t="str">
        <f t="shared" si="44"/>
        <v/>
      </c>
      <c r="M119" s="69" t="str">
        <f t="shared" si="45"/>
        <v/>
      </c>
      <c r="N119" s="69" t="str">
        <f>IF(A119="","",Tabela1[[#This Row],[PTC]]*Tabela1[[#This Row],[ODDC]])</f>
        <v/>
      </c>
      <c r="O119" s="69" t="str">
        <f>IF(A119="","",Tabela1[[#This Row],[PTV]]*Tabela1[[#This Row],[ODDV]])</f>
        <v/>
      </c>
      <c r="P119" s="68" t="str">
        <f t="shared" si="46"/>
        <v/>
      </c>
      <c r="Q119" s="68" t="str">
        <f t="shared" si="47"/>
        <v/>
      </c>
      <c r="R119" s="68" t="str">
        <f t="shared" si="48"/>
        <v/>
      </c>
      <c r="S119" s="68" t="str">
        <f t="shared" si="49"/>
        <v/>
      </c>
      <c r="T119" s="68" t="str">
        <f>IF(A119="","",IF(F119="D",Tabela1[[#This Row],[ODDE]]-1,-1))</f>
        <v/>
      </c>
      <c r="U119" s="70" t="str">
        <f>IF(A119="","",IF(AND(Tabela1[[#This Row],[FTHG]]&gt;3,F119="H"),1,0))</f>
        <v/>
      </c>
      <c r="V119" s="70" t="str">
        <f>IF(A119="","",IF(AND(Tabela1[[#This Row],[FTAG]]&gt;3,F119="A"),1,0))</f>
        <v/>
      </c>
      <c r="W119" s="70" t="str">
        <f t="shared" si="50"/>
        <v/>
      </c>
      <c r="X119" s="70" t="str">
        <f t="shared" si="51"/>
        <v/>
      </c>
      <c r="Y119" s="71" t="str">
        <f t="shared" si="52"/>
        <v/>
      </c>
      <c r="Z119" s="70" t="str">
        <f t="shared" si="53"/>
        <v/>
      </c>
      <c r="AA119" s="70" t="str">
        <f t="shared" si="54"/>
        <v/>
      </c>
      <c r="AB119" s="70" t="str">
        <f t="shared" si="55"/>
        <v/>
      </c>
      <c r="AC119" s="71" t="str">
        <f t="shared" si="56"/>
        <v/>
      </c>
      <c r="AD119" s="72" t="str">
        <f t="shared" si="57"/>
        <v/>
      </c>
      <c r="AE119" s="73" t="str">
        <f>IF(A119="","",COUNT($N$2:N119))</f>
        <v/>
      </c>
      <c r="AF119" s="74" t="str">
        <f t="shared" si="58"/>
        <v/>
      </c>
      <c r="AG119" s="74" t="str">
        <f t="shared" si="59"/>
        <v/>
      </c>
      <c r="AH119" s="74" t="str">
        <f t="shared" si="60"/>
        <v/>
      </c>
      <c r="AI119" s="74" t="str">
        <f t="shared" si="61"/>
        <v/>
      </c>
      <c r="AJ119" s="74" t="str">
        <f t="shared" si="62"/>
        <v/>
      </c>
      <c r="AK119" s="74" t="str">
        <f>IF(A119="","",1/Tabela1[[#This Row],[ODDC]])</f>
        <v/>
      </c>
      <c r="AL119" s="74" t="str">
        <f>IF(A119="","",1/Tabela1[[#This Row],[ODDE]])</f>
        <v/>
      </c>
      <c r="AM119" s="74" t="str">
        <f>IF(A119="","",1/Tabela1[[#This Row],[ODDV]])</f>
        <v/>
      </c>
      <c r="AN119" s="74" t="str">
        <f>IF(A119="","",1-(Tabela1[[#This Row],[p(H)]]+Tabela1[[#This Row],[p(D)]]+Tabela1[[#This Row],[p(A)]]))</f>
        <v/>
      </c>
      <c r="AO119" s="74" t="str">
        <f>IF(A119="","",IFERROR(Tabela1[[#This Row],[p(H)]]/Tabela1[[#This Row],[FTHG]],1))</f>
        <v/>
      </c>
      <c r="AP119" s="74" t="str">
        <f>IF(A119="","",IFERROR(Tabela1[[#This Row],[p(A)]]/Tabela1[[#This Row],[FTAG]],1))</f>
        <v/>
      </c>
      <c r="AQ119" s="107"/>
      <c r="AR119" s="107"/>
      <c r="AS119" s="107"/>
      <c r="AT119" s="107"/>
      <c r="AU119" s="107"/>
      <c r="AV119" s="107"/>
      <c r="AW119" s="107"/>
      <c r="AX119" s="107"/>
      <c r="AY119" s="107"/>
      <c r="AZ119" s="75"/>
      <c r="BA119" s="75"/>
      <c r="BB119" s="97"/>
      <c r="BC119" s="132"/>
      <c r="BD119" s="129"/>
      <c r="BE119" s="129"/>
      <c r="BF119" s="129"/>
      <c r="BG119" s="129"/>
      <c r="BH119" s="129"/>
      <c r="BI119" s="129"/>
      <c r="BJ119" s="129"/>
      <c r="BK119" s="104"/>
      <c r="BL119" s="104"/>
      <c r="BM119" s="104"/>
      <c r="BN119" s="104"/>
      <c r="BO119" s="104"/>
      <c r="BP119" s="104"/>
      <c r="BQ119" s="104"/>
      <c r="BR119" s="107"/>
      <c r="BS119" s="107"/>
      <c r="BT119" s="107"/>
      <c r="BU119" s="107"/>
      <c r="BV119" s="107"/>
      <c r="BW119" s="107"/>
      <c r="BX119" s="75"/>
      <c r="BY119" s="75"/>
      <c r="BZ119" s="75"/>
      <c r="CA119" s="75"/>
      <c r="CB119" s="75"/>
      <c r="CC119" s="75"/>
      <c r="CD119" s="75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</row>
    <row r="120" spans="1:120" x14ac:dyDescent="0.25">
      <c r="A120" s="4"/>
      <c r="D120"/>
      <c r="E120"/>
      <c r="F120"/>
      <c r="J120" s="68" t="str">
        <f t="shared" si="42"/>
        <v/>
      </c>
      <c r="K120" s="68" t="str">
        <f t="shared" si="43"/>
        <v/>
      </c>
      <c r="L120" s="69" t="str">
        <f t="shared" si="44"/>
        <v/>
      </c>
      <c r="M120" s="69" t="str">
        <f t="shared" si="45"/>
        <v/>
      </c>
      <c r="N120" s="69" t="str">
        <f>IF(A120="","",Tabela1[[#This Row],[PTC]]*Tabela1[[#This Row],[ODDC]])</f>
        <v/>
      </c>
      <c r="O120" s="69" t="str">
        <f>IF(A120="","",Tabela1[[#This Row],[PTV]]*Tabela1[[#This Row],[ODDV]])</f>
        <v/>
      </c>
      <c r="P120" s="68" t="str">
        <f t="shared" si="46"/>
        <v/>
      </c>
      <c r="Q120" s="68" t="str">
        <f t="shared" si="47"/>
        <v/>
      </c>
      <c r="R120" s="68" t="str">
        <f t="shared" si="48"/>
        <v/>
      </c>
      <c r="S120" s="68" t="str">
        <f t="shared" si="49"/>
        <v/>
      </c>
      <c r="T120" s="68" t="str">
        <f>IF(A120="","",IF(F120="D",Tabela1[[#This Row],[ODDE]]-1,-1))</f>
        <v/>
      </c>
      <c r="U120" s="70" t="str">
        <f>IF(A120="","",IF(AND(Tabela1[[#This Row],[FTHG]]&gt;3,F120="H"),1,0))</f>
        <v/>
      </c>
      <c r="V120" s="70" t="str">
        <f>IF(A120="","",IF(AND(Tabela1[[#This Row],[FTAG]]&gt;3,F120="A"),1,0))</f>
        <v/>
      </c>
      <c r="W120" s="70" t="str">
        <f t="shared" si="50"/>
        <v/>
      </c>
      <c r="X120" s="70" t="str">
        <f t="shared" si="51"/>
        <v/>
      </c>
      <c r="Y120" s="71" t="str">
        <f t="shared" si="52"/>
        <v/>
      </c>
      <c r="Z120" s="70" t="str">
        <f t="shared" si="53"/>
        <v/>
      </c>
      <c r="AA120" s="70" t="str">
        <f t="shared" si="54"/>
        <v/>
      </c>
      <c r="AB120" s="70" t="str">
        <f t="shared" si="55"/>
        <v/>
      </c>
      <c r="AC120" s="71" t="str">
        <f t="shared" si="56"/>
        <v/>
      </c>
      <c r="AD120" s="72" t="str">
        <f t="shared" si="57"/>
        <v/>
      </c>
      <c r="AE120" s="73" t="str">
        <f>IF(A120="","",COUNT($N$2:N120))</f>
        <v/>
      </c>
      <c r="AF120" s="74" t="str">
        <f t="shared" si="58"/>
        <v/>
      </c>
      <c r="AG120" s="74" t="str">
        <f t="shared" si="59"/>
        <v/>
      </c>
      <c r="AH120" s="74" t="str">
        <f t="shared" si="60"/>
        <v/>
      </c>
      <c r="AI120" s="74" t="str">
        <f t="shared" si="61"/>
        <v/>
      </c>
      <c r="AJ120" s="74" t="str">
        <f t="shared" si="62"/>
        <v/>
      </c>
      <c r="AK120" s="74" t="str">
        <f>IF(A120="","",1/Tabela1[[#This Row],[ODDC]])</f>
        <v/>
      </c>
      <c r="AL120" s="74" t="str">
        <f>IF(A120="","",1/Tabela1[[#This Row],[ODDE]])</f>
        <v/>
      </c>
      <c r="AM120" s="74" t="str">
        <f>IF(A120="","",1/Tabela1[[#This Row],[ODDV]])</f>
        <v/>
      </c>
      <c r="AN120" s="74" t="str">
        <f>IF(A120="","",1-(Tabela1[[#This Row],[p(H)]]+Tabela1[[#This Row],[p(D)]]+Tabela1[[#This Row],[p(A)]]))</f>
        <v/>
      </c>
      <c r="AO120" s="74" t="str">
        <f>IF(A120="","",IFERROR(Tabela1[[#This Row],[p(H)]]/Tabela1[[#This Row],[FTHG]],1))</f>
        <v/>
      </c>
      <c r="AP120" s="74" t="str">
        <f>IF(A120="","",IFERROR(Tabela1[[#This Row],[p(A)]]/Tabela1[[#This Row],[FTAG]],1))</f>
        <v/>
      </c>
      <c r="AQ120" s="107"/>
      <c r="AR120" s="107"/>
      <c r="AS120" s="107"/>
      <c r="AT120" s="107"/>
      <c r="AU120" s="107"/>
      <c r="AV120" s="107"/>
      <c r="AW120" s="107"/>
      <c r="AX120" s="107"/>
      <c r="AY120" s="107"/>
      <c r="AZ120" s="75"/>
      <c r="BA120" s="75"/>
      <c r="BB120" s="97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7"/>
      <c r="BS120" s="107"/>
      <c r="BT120" s="107"/>
      <c r="BU120" s="107"/>
      <c r="BV120" s="107"/>
      <c r="BW120" s="107"/>
      <c r="BX120" s="75"/>
      <c r="BY120" s="75"/>
      <c r="BZ120" s="75"/>
      <c r="CA120" s="75"/>
      <c r="CB120" s="75"/>
      <c r="CC120" s="75"/>
      <c r="CD120" s="75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</row>
    <row r="121" spans="1:120" x14ac:dyDescent="0.25">
      <c r="A121" s="4"/>
      <c r="D121"/>
      <c r="E121"/>
      <c r="F121"/>
      <c r="J121" s="68" t="str">
        <f t="shared" si="42"/>
        <v/>
      </c>
      <c r="K121" s="68" t="str">
        <f t="shared" si="43"/>
        <v/>
      </c>
      <c r="L121" s="69" t="str">
        <f t="shared" si="44"/>
        <v/>
      </c>
      <c r="M121" s="69" t="str">
        <f t="shared" si="45"/>
        <v/>
      </c>
      <c r="N121" s="69" t="str">
        <f>IF(A121="","",Tabela1[[#This Row],[PTC]]*Tabela1[[#This Row],[ODDC]])</f>
        <v/>
      </c>
      <c r="O121" s="69" t="str">
        <f>IF(A121="","",Tabela1[[#This Row],[PTV]]*Tabela1[[#This Row],[ODDV]])</f>
        <v/>
      </c>
      <c r="P121" s="68" t="str">
        <f t="shared" si="46"/>
        <v/>
      </c>
      <c r="Q121" s="68" t="str">
        <f t="shared" si="47"/>
        <v/>
      </c>
      <c r="R121" s="68" t="str">
        <f t="shared" si="48"/>
        <v/>
      </c>
      <c r="S121" s="68" t="str">
        <f t="shared" si="49"/>
        <v/>
      </c>
      <c r="T121" s="68" t="str">
        <f>IF(A121="","",IF(F121="D",Tabela1[[#This Row],[ODDE]]-1,-1))</f>
        <v/>
      </c>
      <c r="U121" s="70" t="str">
        <f>IF(A121="","",IF(AND(Tabela1[[#This Row],[FTHG]]&gt;3,F121="H"),1,0))</f>
        <v/>
      </c>
      <c r="V121" s="70" t="str">
        <f>IF(A121="","",IF(AND(Tabela1[[#This Row],[FTAG]]&gt;3,F121="A"),1,0))</f>
        <v/>
      </c>
      <c r="W121" s="70" t="str">
        <f t="shared" si="50"/>
        <v/>
      </c>
      <c r="X121" s="70" t="str">
        <f t="shared" si="51"/>
        <v/>
      </c>
      <c r="Y121" s="71" t="str">
        <f t="shared" si="52"/>
        <v/>
      </c>
      <c r="Z121" s="70" t="str">
        <f t="shared" si="53"/>
        <v/>
      </c>
      <c r="AA121" s="70" t="str">
        <f t="shared" si="54"/>
        <v/>
      </c>
      <c r="AB121" s="70" t="str">
        <f t="shared" si="55"/>
        <v/>
      </c>
      <c r="AC121" s="71" t="str">
        <f t="shared" si="56"/>
        <v/>
      </c>
      <c r="AD121" s="72" t="str">
        <f t="shared" si="57"/>
        <v/>
      </c>
      <c r="AE121" s="73" t="str">
        <f>IF(A121="","",COUNT($N$2:N121))</f>
        <v/>
      </c>
      <c r="AF121" s="74" t="str">
        <f t="shared" si="58"/>
        <v/>
      </c>
      <c r="AG121" s="74" t="str">
        <f t="shared" si="59"/>
        <v/>
      </c>
      <c r="AH121" s="74" t="str">
        <f t="shared" si="60"/>
        <v/>
      </c>
      <c r="AI121" s="74" t="str">
        <f t="shared" si="61"/>
        <v/>
      </c>
      <c r="AJ121" s="74" t="str">
        <f t="shared" si="62"/>
        <v/>
      </c>
      <c r="AK121" s="74" t="str">
        <f>IF(A121="","",1/Tabela1[[#This Row],[ODDC]])</f>
        <v/>
      </c>
      <c r="AL121" s="74" t="str">
        <f>IF(A121="","",1/Tabela1[[#This Row],[ODDE]])</f>
        <v/>
      </c>
      <c r="AM121" s="74" t="str">
        <f>IF(A121="","",1/Tabela1[[#This Row],[ODDV]])</f>
        <v/>
      </c>
      <c r="AN121" s="74" t="str">
        <f>IF(A121="","",1-(Tabela1[[#This Row],[p(H)]]+Tabela1[[#This Row],[p(D)]]+Tabela1[[#This Row],[p(A)]]))</f>
        <v/>
      </c>
      <c r="AO121" s="74" t="str">
        <f>IF(A121="","",IFERROR(Tabela1[[#This Row],[p(H)]]/Tabela1[[#This Row],[FTHG]],1))</f>
        <v/>
      </c>
      <c r="AP121" s="74" t="str">
        <f>IF(A121="","",IFERROR(Tabela1[[#This Row],[p(A)]]/Tabela1[[#This Row],[FTAG]],1))</f>
        <v/>
      </c>
      <c r="AQ121" s="107"/>
      <c r="AR121" s="107"/>
      <c r="AS121" s="107"/>
      <c r="AT121" s="107"/>
      <c r="AU121" s="107"/>
      <c r="AV121" s="107"/>
      <c r="AW121" s="107"/>
      <c r="AX121" s="107"/>
      <c r="AY121" s="107"/>
      <c r="AZ121" s="75"/>
      <c r="BA121" s="75"/>
      <c r="BB121" s="97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7"/>
      <c r="BS121" s="107"/>
      <c r="BT121" s="107"/>
      <c r="BU121" s="107"/>
      <c r="BV121" s="107"/>
      <c r="BW121" s="107"/>
      <c r="BX121" s="75"/>
      <c r="BY121" s="75"/>
      <c r="BZ121" s="75"/>
      <c r="CA121" s="75"/>
      <c r="CB121" s="75"/>
      <c r="CC121" s="75"/>
      <c r="CD121" s="75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</row>
    <row r="122" spans="1:120" x14ac:dyDescent="0.25">
      <c r="A122" s="4"/>
      <c r="D122"/>
      <c r="E122"/>
      <c r="F122"/>
      <c r="J122" s="68" t="str">
        <f t="shared" si="42"/>
        <v/>
      </c>
      <c r="K122" s="68" t="str">
        <f t="shared" si="43"/>
        <v/>
      </c>
      <c r="L122" s="69" t="str">
        <f t="shared" si="44"/>
        <v/>
      </c>
      <c r="M122" s="69" t="str">
        <f t="shared" si="45"/>
        <v/>
      </c>
      <c r="N122" s="69" t="str">
        <f>IF(A122="","",Tabela1[[#This Row],[PTC]]*Tabela1[[#This Row],[ODDC]])</f>
        <v/>
      </c>
      <c r="O122" s="69" t="str">
        <f>IF(A122="","",Tabela1[[#This Row],[PTV]]*Tabela1[[#This Row],[ODDV]])</f>
        <v/>
      </c>
      <c r="P122" s="68" t="str">
        <f t="shared" si="46"/>
        <v/>
      </c>
      <c r="Q122" s="68" t="str">
        <f t="shared" si="47"/>
        <v/>
      </c>
      <c r="R122" s="68" t="str">
        <f t="shared" si="48"/>
        <v/>
      </c>
      <c r="S122" s="68" t="str">
        <f t="shared" si="49"/>
        <v/>
      </c>
      <c r="T122" s="68" t="str">
        <f>IF(A122="","",IF(F122="D",Tabela1[[#This Row],[ODDE]]-1,-1))</f>
        <v/>
      </c>
      <c r="U122" s="70" t="str">
        <f>IF(A122="","",IF(AND(Tabela1[[#This Row],[FTHG]]&gt;3,F122="H"),1,0))</f>
        <v/>
      </c>
      <c r="V122" s="70" t="str">
        <f>IF(A122="","",IF(AND(Tabela1[[#This Row],[FTAG]]&gt;3,F122="A"),1,0))</f>
        <v/>
      </c>
      <c r="W122" s="70" t="str">
        <f t="shared" si="50"/>
        <v/>
      </c>
      <c r="X122" s="70" t="str">
        <f t="shared" si="51"/>
        <v/>
      </c>
      <c r="Y122" s="71" t="str">
        <f t="shared" si="52"/>
        <v/>
      </c>
      <c r="Z122" s="70" t="str">
        <f t="shared" si="53"/>
        <v/>
      </c>
      <c r="AA122" s="70" t="str">
        <f t="shared" si="54"/>
        <v/>
      </c>
      <c r="AB122" s="70" t="str">
        <f t="shared" si="55"/>
        <v/>
      </c>
      <c r="AC122" s="71" t="str">
        <f t="shared" si="56"/>
        <v/>
      </c>
      <c r="AD122" s="72" t="str">
        <f t="shared" si="57"/>
        <v/>
      </c>
      <c r="AE122" s="73" t="str">
        <f>IF(A122="","",COUNT($N$2:N122))</f>
        <v/>
      </c>
      <c r="AF122" s="74" t="str">
        <f t="shared" si="58"/>
        <v/>
      </c>
      <c r="AG122" s="74" t="str">
        <f t="shared" si="59"/>
        <v/>
      </c>
      <c r="AH122" s="74" t="str">
        <f t="shared" si="60"/>
        <v/>
      </c>
      <c r="AI122" s="74" t="str">
        <f t="shared" si="61"/>
        <v/>
      </c>
      <c r="AJ122" s="74" t="str">
        <f t="shared" si="62"/>
        <v/>
      </c>
      <c r="AK122" s="74" t="str">
        <f>IF(A122="","",1/Tabela1[[#This Row],[ODDC]])</f>
        <v/>
      </c>
      <c r="AL122" s="74" t="str">
        <f>IF(A122="","",1/Tabela1[[#This Row],[ODDE]])</f>
        <v/>
      </c>
      <c r="AM122" s="74" t="str">
        <f>IF(A122="","",1/Tabela1[[#This Row],[ODDV]])</f>
        <v/>
      </c>
      <c r="AN122" s="74" t="str">
        <f>IF(A122="","",1-(Tabela1[[#This Row],[p(H)]]+Tabela1[[#This Row],[p(D)]]+Tabela1[[#This Row],[p(A)]]))</f>
        <v/>
      </c>
      <c r="AO122" s="74" t="str">
        <f>IF(A122="","",IFERROR(Tabela1[[#This Row],[p(H)]]/Tabela1[[#This Row],[FTHG]],1))</f>
        <v/>
      </c>
      <c r="AP122" s="74" t="str">
        <f>IF(A122="","",IFERROR(Tabela1[[#This Row],[p(A)]]/Tabela1[[#This Row],[FTAG]],1))</f>
        <v/>
      </c>
      <c r="AQ122" s="107"/>
      <c r="AR122" s="107"/>
      <c r="AS122" s="107"/>
      <c r="AT122" s="107"/>
      <c r="AU122" s="107"/>
      <c r="AV122" s="107"/>
      <c r="AW122" s="107"/>
      <c r="AX122" s="107"/>
      <c r="AY122" s="107"/>
      <c r="AZ122" s="75"/>
      <c r="BA122" s="75"/>
      <c r="BB122" s="97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7"/>
      <c r="BS122" s="107"/>
      <c r="BT122" s="107"/>
      <c r="BU122" s="107"/>
      <c r="BV122" s="107"/>
      <c r="BW122" s="107"/>
      <c r="BX122" s="75"/>
      <c r="BY122" s="75"/>
      <c r="BZ122" s="75"/>
      <c r="CA122" s="75"/>
      <c r="CB122" s="75"/>
      <c r="CC122" s="75"/>
      <c r="CD122" s="75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</row>
    <row r="123" spans="1:120" x14ac:dyDescent="0.25">
      <c r="A123" s="4"/>
      <c r="D123"/>
      <c r="E123"/>
      <c r="F123"/>
      <c r="J123" s="68" t="str">
        <f t="shared" si="42"/>
        <v/>
      </c>
      <c r="K123" s="68" t="str">
        <f t="shared" si="43"/>
        <v/>
      </c>
      <c r="L123" s="69" t="str">
        <f t="shared" si="44"/>
        <v/>
      </c>
      <c r="M123" s="69" t="str">
        <f t="shared" si="45"/>
        <v/>
      </c>
      <c r="N123" s="69" t="str">
        <f>IF(A123="","",Tabela1[[#This Row],[PTC]]*Tabela1[[#This Row],[ODDC]])</f>
        <v/>
      </c>
      <c r="O123" s="69" t="str">
        <f>IF(A123="","",Tabela1[[#This Row],[PTV]]*Tabela1[[#This Row],[ODDV]])</f>
        <v/>
      </c>
      <c r="P123" s="68" t="str">
        <f t="shared" si="46"/>
        <v/>
      </c>
      <c r="Q123" s="68" t="str">
        <f t="shared" si="47"/>
        <v/>
      </c>
      <c r="R123" s="68" t="str">
        <f t="shared" si="48"/>
        <v/>
      </c>
      <c r="S123" s="68" t="str">
        <f t="shared" si="49"/>
        <v/>
      </c>
      <c r="T123" s="68" t="str">
        <f>IF(A123="","",IF(F123="D",Tabela1[[#This Row],[ODDE]]-1,-1))</f>
        <v/>
      </c>
      <c r="U123" s="70" t="str">
        <f>IF(A123="","",IF(AND(Tabela1[[#This Row],[FTHG]]&gt;3,F123="H"),1,0))</f>
        <v/>
      </c>
      <c r="V123" s="70" t="str">
        <f>IF(A123="","",IF(AND(Tabela1[[#This Row],[FTAG]]&gt;3,F123="A"),1,0))</f>
        <v/>
      </c>
      <c r="W123" s="70" t="str">
        <f t="shared" si="50"/>
        <v/>
      </c>
      <c r="X123" s="70" t="str">
        <f t="shared" si="51"/>
        <v/>
      </c>
      <c r="Y123" s="71" t="str">
        <f t="shared" si="52"/>
        <v/>
      </c>
      <c r="Z123" s="70" t="str">
        <f t="shared" si="53"/>
        <v/>
      </c>
      <c r="AA123" s="70" t="str">
        <f t="shared" si="54"/>
        <v/>
      </c>
      <c r="AB123" s="70" t="str">
        <f t="shared" si="55"/>
        <v/>
      </c>
      <c r="AC123" s="71" t="str">
        <f t="shared" si="56"/>
        <v/>
      </c>
      <c r="AD123" s="72" t="str">
        <f t="shared" si="57"/>
        <v/>
      </c>
      <c r="AE123" s="73" t="str">
        <f>IF(A123="","",COUNT($N$2:N123))</f>
        <v/>
      </c>
      <c r="AF123" s="74" t="str">
        <f t="shared" si="58"/>
        <v/>
      </c>
      <c r="AG123" s="74" t="str">
        <f t="shared" si="59"/>
        <v/>
      </c>
      <c r="AH123" s="74" t="str">
        <f t="shared" si="60"/>
        <v/>
      </c>
      <c r="AI123" s="74" t="str">
        <f t="shared" si="61"/>
        <v/>
      </c>
      <c r="AJ123" s="74" t="str">
        <f t="shared" si="62"/>
        <v/>
      </c>
      <c r="AK123" s="74" t="str">
        <f>IF(A123="","",1/Tabela1[[#This Row],[ODDC]])</f>
        <v/>
      </c>
      <c r="AL123" s="74" t="str">
        <f>IF(A123="","",1/Tabela1[[#This Row],[ODDE]])</f>
        <v/>
      </c>
      <c r="AM123" s="74" t="str">
        <f>IF(A123="","",1/Tabela1[[#This Row],[ODDV]])</f>
        <v/>
      </c>
      <c r="AN123" s="74" t="str">
        <f>IF(A123="","",1-(Tabela1[[#This Row],[p(H)]]+Tabela1[[#This Row],[p(D)]]+Tabela1[[#This Row],[p(A)]]))</f>
        <v/>
      </c>
      <c r="AO123" s="74" t="str">
        <f>IF(A123="","",IFERROR(Tabela1[[#This Row],[p(H)]]/Tabela1[[#This Row],[FTHG]],1))</f>
        <v/>
      </c>
      <c r="AP123" s="74" t="str">
        <f>IF(A123="","",IFERROR(Tabela1[[#This Row],[p(A)]]/Tabela1[[#This Row],[FTAG]],1))</f>
        <v/>
      </c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75"/>
      <c r="BA123" s="75"/>
      <c r="BB123" s="97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7"/>
      <c r="BS123" s="107"/>
      <c r="BT123" s="107"/>
      <c r="BU123" s="107"/>
      <c r="BV123" s="107"/>
      <c r="BW123" s="107"/>
      <c r="BX123" s="75"/>
      <c r="BY123" s="75"/>
      <c r="BZ123" s="75"/>
      <c r="CA123" s="75"/>
      <c r="CB123" s="75"/>
      <c r="CC123" s="75"/>
      <c r="CD123" s="75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</row>
    <row r="124" spans="1:120" x14ac:dyDescent="0.25">
      <c r="A124" s="4"/>
      <c r="D124"/>
      <c r="E124"/>
      <c r="F124"/>
      <c r="J124" s="68" t="str">
        <f t="shared" si="42"/>
        <v/>
      </c>
      <c r="K124" s="68" t="str">
        <f t="shared" si="43"/>
        <v/>
      </c>
      <c r="L124" s="69" t="str">
        <f t="shared" si="44"/>
        <v/>
      </c>
      <c r="M124" s="69" t="str">
        <f t="shared" si="45"/>
        <v/>
      </c>
      <c r="N124" s="69" t="str">
        <f>IF(A124="","",Tabela1[[#This Row],[PTC]]*Tabela1[[#This Row],[ODDC]])</f>
        <v/>
      </c>
      <c r="O124" s="69" t="str">
        <f>IF(A124="","",Tabela1[[#This Row],[PTV]]*Tabela1[[#This Row],[ODDV]])</f>
        <v/>
      </c>
      <c r="P124" s="68" t="str">
        <f t="shared" si="46"/>
        <v/>
      </c>
      <c r="Q124" s="68" t="str">
        <f t="shared" si="47"/>
        <v/>
      </c>
      <c r="R124" s="68" t="str">
        <f t="shared" si="48"/>
        <v/>
      </c>
      <c r="S124" s="68" t="str">
        <f t="shared" si="49"/>
        <v/>
      </c>
      <c r="T124" s="68" t="str">
        <f>IF(A124="","",IF(F124="D",Tabela1[[#This Row],[ODDE]]-1,-1))</f>
        <v/>
      </c>
      <c r="U124" s="70" t="str">
        <f>IF(A124="","",IF(AND(Tabela1[[#This Row],[FTHG]]&gt;3,F124="H"),1,0))</f>
        <v/>
      </c>
      <c r="V124" s="70" t="str">
        <f>IF(A124="","",IF(AND(Tabela1[[#This Row],[FTAG]]&gt;3,F124="A"),1,0))</f>
        <v/>
      </c>
      <c r="W124" s="70" t="str">
        <f t="shared" si="50"/>
        <v/>
      </c>
      <c r="X124" s="70" t="str">
        <f t="shared" si="51"/>
        <v/>
      </c>
      <c r="Y124" s="71" t="str">
        <f t="shared" si="52"/>
        <v/>
      </c>
      <c r="Z124" s="70" t="str">
        <f t="shared" si="53"/>
        <v/>
      </c>
      <c r="AA124" s="70" t="str">
        <f t="shared" si="54"/>
        <v/>
      </c>
      <c r="AB124" s="70" t="str">
        <f t="shared" si="55"/>
        <v/>
      </c>
      <c r="AC124" s="71" t="str">
        <f t="shared" si="56"/>
        <v/>
      </c>
      <c r="AD124" s="72" t="str">
        <f t="shared" si="57"/>
        <v/>
      </c>
      <c r="AE124" s="73" t="str">
        <f>IF(A124="","",COUNT($N$2:N124))</f>
        <v/>
      </c>
      <c r="AF124" s="74" t="str">
        <f t="shared" si="58"/>
        <v/>
      </c>
      <c r="AG124" s="74" t="str">
        <f t="shared" si="59"/>
        <v/>
      </c>
      <c r="AH124" s="74" t="str">
        <f t="shared" si="60"/>
        <v/>
      </c>
      <c r="AI124" s="74" t="str">
        <f t="shared" si="61"/>
        <v/>
      </c>
      <c r="AJ124" s="74" t="str">
        <f t="shared" si="62"/>
        <v/>
      </c>
      <c r="AK124" s="74" t="str">
        <f>IF(A124="","",1/Tabela1[[#This Row],[ODDC]])</f>
        <v/>
      </c>
      <c r="AL124" s="74" t="str">
        <f>IF(A124="","",1/Tabela1[[#This Row],[ODDE]])</f>
        <v/>
      </c>
      <c r="AM124" s="74" t="str">
        <f>IF(A124="","",1/Tabela1[[#This Row],[ODDV]])</f>
        <v/>
      </c>
      <c r="AN124" s="74" t="str">
        <f>IF(A124="","",1-(Tabela1[[#This Row],[p(H)]]+Tabela1[[#This Row],[p(D)]]+Tabela1[[#This Row],[p(A)]]))</f>
        <v/>
      </c>
      <c r="AO124" s="74" t="str">
        <f>IF(A124="","",IFERROR(Tabela1[[#This Row],[p(H)]]/Tabela1[[#This Row],[FTHG]],1))</f>
        <v/>
      </c>
      <c r="AP124" s="74" t="str">
        <f>IF(A124="","",IFERROR(Tabela1[[#This Row],[p(A)]]/Tabela1[[#This Row],[FTAG]],1))</f>
        <v/>
      </c>
      <c r="AQ124" s="107"/>
      <c r="AR124" s="107"/>
      <c r="AS124" s="107"/>
      <c r="AT124" s="107"/>
      <c r="AU124" s="107"/>
      <c r="AV124" s="107"/>
      <c r="AW124" s="107"/>
      <c r="AX124" s="107"/>
      <c r="AY124" s="107"/>
      <c r="AZ124" s="75"/>
      <c r="BA124" s="75"/>
      <c r="BB124" s="97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7"/>
      <c r="BS124" s="107"/>
      <c r="BT124" s="107"/>
      <c r="BU124" s="107"/>
      <c r="BV124" s="107"/>
      <c r="BW124" s="107"/>
      <c r="BX124" s="75"/>
      <c r="BY124" s="75"/>
      <c r="BZ124" s="75"/>
      <c r="CA124" s="75"/>
      <c r="CB124" s="75"/>
      <c r="CC124" s="75"/>
      <c r="CD124" s="75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</row>
    <row r="125" spans="1:120" x14ac:dyDescent="0.25">
      <c r="A125" s="4"/>
      <c r="D125"/>
      <c r="E125"/>
      <c r="F125"/>
      <c r="J125" s="68" t="str">
        <f t="shared" si="42"/>
        <v/>
      </c>
      <c r="K125" s="68" t="str">
        <f t="shared" si="43"/>
        <v/>
      </c>
      <c r="L125" s="69" t="str">
        <f t="shared" si="44"/>
        <v/>
      </c>
      <c r="M125" s="69" t="str">
        <f t="shared" si="45"/>
        <v/>
      </c>
      <c r="N125" s="69" t="str">
        <f>IF(A125="","",Tabela1[[#This Row],[PTC]]*Tabela1[[#This Row],[ODDC]])</f>
        <v/>
      </c>
      <c r="O125" s="69" t="str">
        <f>IF(A125="","",Tabela1[[#This Row],[PTV]]*Tabela1[[#This Row],[ODDV]])</f>
        <v/>
      </c>
      <c r="P125" s="68" t="str">
        <f t="shared" si="46"/>
        <v/>
      </c>
      <c r="Q125" s="68" t="str">
        <f t="shared" si="47"/>
        <v/>
      </c>
      <c r="R125" s="68" t="str">
        <f t="shared" si="48"/>
        <v/>
      </c>
      <c r="S125" s="68" t="str">
        <f t="shared" si="49"/>
        <v/>
      </c>
      <c r="T125" s="68" t="str">
        <f>IF(A125="","",IF(F125="D",Tabela1[[#This Row],[ODDE]]-1,-1))</f>
        <v/>
      </c>
      <c r="U125" s="70" t="str">
        <f>IF(A125="","",IF(AND(Tabela1[[#This Row],[FTHG]]&gt;3,F125="H"),1,0))</f>
        <v/>
      </c>
      <c r="V125" s="70" t="str">
        <f>IF(A125="","",IF(AND(Tabela1[[#This Row],[FTAG]]&gt;3,F125="A"),1,0))</f>
        <v/>
      </c>
      <c r="W125" s="70" t="str">
        <f t="shared" si="50"/>
        <v/>
      </c>
      <c r="X125" s="70" t="str">
        <f t="shared" si="51"/>
        <v/>
      </c>
      <c r="Y125" s="71" t="str">
        <f t="shared" si="52"/>
        <v/>
      </c>
      <c r="Z125" s="70" t="str">
        <f t="shared" si="53"/>
        <v/>
      </c>
      <c r="AA125" s="70" t="str">
        <f t="shared" si="54"/>
        <v/>
      </c>
      <c r="AB125" s="70" t="str">
        <f t="shared" si="55"/>
        <v/>
      </c>
      <c r="AC125" s="71" t="str">
        <f t="shared" si="56"/>
        <v/>
      </c>
      <c r="AD125" s="72" t="str">
        <f t="shared" si="57"/>
        <v/>
      </c>
      <c r="AE125" s="73" t="str">
        <f>IF(A125="","",COUNT($N$2:N125))</f>
        <v/>
      </c>
      <c r="AF125" s="74" t="str">
        <f t="shared" si="58"/>
        <v/>
      </c>
      <c r="AG125" s="74" t="str">
        <f t="shared" si="59"/>
        <v/>
      </c>
      <c r="AH125" s="74" t="str">
        <f t="shared" si="60"/>
        <v/>
      </c>
      <c r="AI125" s="74" t="str">
        <f t="shared" si="61"/>
        <v/>
      </c>
      <c r="AJ125" s="74" t="str">
        <f t="shared" si="62"/>
        <v/>
      </c>
      <c r="AK125" s="74" t="str">
        <f>IF(A125="","",1/Tabela1[[#This Row],[ODDC]])</f>
        <v/>
      </c>
      <c r="AL125" s="74" t="str">
        <f>IF(A125="","",1/Tabela1[[#This Row],[ODDE]])</f>
        <v/>
      </c>
      <c r="AM125" s="74" t="str">
        <f>IF(A125="","",1/Tabela1[[#This Row],[ODDV]])</f>
        <v/>
      </c>
      <c r="AN125" s="74" t="str">
        <f>IF(A125="","",1-(Tabela1[[#This Row],[p(H)]]+Tabela1[[#This Row],[p(D)]]+Tabela1[[#This Row],[p(A)]]))</f>
        <v/>
      </c>
      <c r="AO125" s="74" t="str">
        <f>IF(A125="","",IFERROR(Tabela1[[#This Row],[p(H)]]/Tabela1[[#This Row],[FTHG]],1))</f>
        <v/>
      </c>
      <c r="AP125" s="74" t="str">
        <f>IF(A125="","",IFERROR(Tabela1[[#This Row],[p(A)]]/Tabela1[[#This Row],[FTAG]],1))</f>
        <v/>
      </c>
      <c r="AQ125" s="107"/>
      <c r="AR125" s="107"/>
      <c r="AS125" s="107"/>
      <c r="AT125" s="107"/>
      <c r="AU125" s="107"/>
      <c r="AV125" s="107"/>
      <c r="AW125" s="107"/>
      <c r="AX125" s="107"/>
      <c r="AY125" s="107"/>
      <c r="AZ125" s="75"/>
      <c r="BA125" s="75"/>
      <c r="BB125" s="97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7"/>
      <c r="BS125" s="107"/>
      <c r="BT125" s="107"/>
      <c r="BU125" s="107"/>
      <c r="BV125" s="107"/>
      <c r="BW125" s="107"/>
      <c r="BX125" s="75"/>
      <c r="BY125" s="75"/>
      <c r="BZ125" s="75"/>
      <c r="CA125" s="75"/>
      <c r="CB125" s="75"/>
      <c r="CC125" s="75"/>
      <c r="CD125" s="75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  <c r="DH125" s="102"/>
      <c r="DI125" s="102"/>
      <c r="DJ125" s="102"/>
      <c r="DK125" s="102"/>
      <c r="DL125" s="102"/>
      <c r="DM125" s="102"/>
      <c r="DN125" s="102"/>
      <c r="DO125" s="102"/>
      <c r="DP125" s="102"/>
    </row>
    <row r="126" spans="1:120" x14ac:dyDescent="0.25">
      <c r="A126" s="4"/>
      <c r="D126"/>
      <c r="E126"/>
      <c r="F126"/>
      <c r="J126" s="68" t="str">
        <f t="shared" si="42"/>
        <v/>
      </c>
      <c r="K126" s="68" t="str">
        <f t="shared" si="43"/>
        <v/>
      </c>
      <c r="L126" s="69" t="str">
        <f t="shared" si="44"/>
        <v/>
      </c>
      <c r="M126" s="69" t="str">
        <f t="shared" si="45"/>
        <v/>
      </c>
      <c r="N126" s="69" t="str">
        <f>IF(A126="","",Tabela1[[#This Row],[PTC]]*Tabela1[[#This Row],[ODDC]])</f>
        <v/>
      </c>
      <c r="O126" s="69" t="str">
        <f>IF(A126="","",Tabela1[[#This Row],[PTV]]*Tabela1[[#This Row],[ODDV]])</f>
        <v/>
      </c>
      <c r="P126" s="68" t="str">
        <f t="shared" si="46"/>
        <v/>
      </c>
      <c r="Q126" s="68" t="str">
        <f t="shared" si="47"/>
        <v/>
      </c>
      <c r="R126" s="68" t="str">
        <f t="shared" si="48"/>
        <v/>
      </c>
      <c r="S126" s="68" t="str">
        <f t="shared" si="49"/>
        <v/>
      </c>
      <c r="T126" s="68" t="str">
        <f>IF(A126="","",IF(F126="D",Tabela1[[#This Row],[ODDE]]-1,-1))</f>
        <v/>
      </c>
      <c r="U126" s="70" t="str">
        <f>IF(A126="","",IF(AND(Tabela1[[#This Row],[FTHG]]&gt;3,F126="H"),1,0))</f>
        <v/>
      </c>
      <c r="V126" s="70" t="str">
        <f>IF(A126="","",IF(AND(Tabela1[[#This Row],[FTAG]]&gt;3,F126="A"),1,0))</f>
        <v/>
      </c>
      <c r="W126" s="70" t="str">
        <f t="shared" si="50"/>
        <v/>
      </c>
      <c r="X126" s="70" t="str">
        <f t="shared" si="51"/>
        <v/>
      </c>
      <c r="Y126" s="71" t="str">
        <f t="shared" si="52"/>
        <v/>
      </c>
      <c r="Z126" s="70" t="str">
        <f t="shared" si="53"/>
        <v/>
      </c>
      <c r="AA126" s="70" t="str">
        <f t="shared" si="54"/>
        <v/>
      </c>
      <c r="AB126" s="70" t="str">
        <f t="shared" si="55"/>
        <v/>
      </c>
      <c r="AC126" s="71" t="str">
        <f t="shared" si="56"/>
        <v/>
      </c>
      <c r="AD126" s="72" t="str">
        <f t="shared" si="57"/>
        <v/>
      </c>
      <c r="AE126" s="73" t="str">
        <f>IF(A126="","",COUNT($N$2:N126))</f>
        <v/>
      </c>
      <c r="AF126" s="74" t="str">
        <f t="shared" si="58"/>
        <v/>
      </c>
      <c r="AG126" s="74" t="str">
        <f t="shared" si="59"/>
        <v/>
      </c>
      <c r="AH126" s="74" t="str">
        <f t="shared" si="60"/>
        <v/>
      </c>
      <c r="AI126" s="74" t="str">
        <f t="shared" si="61"/>
        <v/>
      </c>
      <c r="AJ126" s="74" t="str">
        <f t="shared" si="62"/>
        <v/>
      </c>
      <c r="AK126" s="74" t="str">
        <f>IF(A126="","",1/Tabela1[[#This Row],[ODDC]])</f>
        <v/>
      </c>
      <c r="AL126" s="74" t="str">
        <f>IF(A126="","",1/Tabela1[[#This Row],[ODDE]])</f>
        <v/>
      </c>
      <c r="AM126" s="74" t="str">
        <f>IF(A126="","",1/Tabela1[[#This Row],[ODDV]])</f>
        <v/>
      </c>
      <c r="AN126" s="74" t="str">
        <f>IF(A126="","",1-(Tabela1[[#This Row],[p(H)]]+Tabela1[[#This Row],[p(D)]]+Tabela1[[#This Row],[p(A)]]))</f>
        <v/>
      </c>
      <c r="AO126" s="74" t="str">
        <f>IF(A126="","",IFERROR(Tabela1[[#This Row],[p(H)]]/Tabela1[[#This Row],[FTHG]],1))</f>
        <v/>
      </c>
      <c r="AP126" s="74" t="str">
        <f>IF(A126="","",IFERROR(Tabela1[[#This Row],[p(A)]]/Tabela1[[#This Row],[FTAG]],1))</f>
        <v/>
      </c>
      <c r="AQ126" s="107"/>
      <c r="AR126" s="107"/>
      <c r="AS126" s="107"/>
      <c r="AT126" s="107"/>
      <c r="AU126" s="107"/>
      <c r="AV126" s="107"/>
      <c r="AW126" s="107"/>
      <c r="AX126" s="107"/>
      <c r="AY126" s="107"/>
      <c r="AZ126" s="75"/>
      <c r="BA126" s="75"/>
      <c r="BB126" s="97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7"/>
      <c r="BS126" s="107"/>
      <c r="BT126" s="107"/>
      <c r="BU126" s="107"/>
      <c r="BV126" s="107"/>
      <c r="BW126" s="107"/>
      <c r="BX126" s="75"/>
      <c r="BY126" s="75"/>
      <c r="BZ126" s="75"/>
      <c r="CA126" s="75"/>
      <c r="CB126" s="75"/>
      <c r="CC126" s="75"/>
      <c r="CD126" s="75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</row>
    <row r="127" spans="1:120" x14ac:dyDescent="0.25">
      <c r="A127" s="4"/>
      <c r="D127"/>
      <c r="E127"/>
      <c r="F127"/>
      <c r="J127" s="68" t="str">
        <f t="shared" si="42"/>
        <v/>
      </c>
      <c r="K127" s="68" t="str">
        <f t="shared" si="43"/>
        <v/>
      </c>
      <c r="L127" s="69" t="str">
        <f t="shared" si="44"/>
        <v/>
      </c>
      <c r="M127" s="69" t="str">
        <f t="shared" si="45"/>
        <v/>
      </c>
      <c r="N127" s="69" t="str">
        <f>IF(A127="","",Tabela1[[#This Row],[PTC]]*Tabela1[[#This Row],[ODDC]])</f>
        <v/>
      </c>
      <c r="O127" s="69" t="str">
        <f>IF(A127="","",Tabela1[[#This Row],[PTV]]*Tabela1[[#This Row],[ODDV]])</f>
        <v/>
      </c>
      <c r="P127" s="68" t="str">
        <f t="shared" si="46"/>
        <v/>
      </c>
      <c r="Q127" s="68" t="str">
        <f t="shared" si="47"/>
        <v/>
      </c>
      <c r="R127" s="68" t="str">
        <f t="shared" si="48"/>
        <v/>
      </c>
      <c r="S127" s="68" t="str">
        <f t="shared" si="49"/>
        <v/>
      </c>
      <c r="T127" s="68" t="str">
        <f>IF(A127="","",IF(F127="D",Tabela1[[#This Row],[ODDE]]-1,-1))</f>
        <v/>
      </c>
      <c r="U127" s="70" t="str">
        <f>IF(A127="","",IF(AND(Tabela1[[#This Row],[FTHG]]&gt;3,F127="H"),1,0))</f>
        <v/>
      </c>
      <c r="V127" s="70" t="str">
        <f>IF(A127="","",IF(AND(Tabela1[[#This Row],[FTAG]]&gt;3,F127="A"),1,0))</f>
        <v/>
      </c>
      <c r="W127" s="70" t="str">
        <f t="shared" si="50"/>
        <v/>
      </c>
      <c r="X127" s="70" t="str">
        <f t="shared" si="51"/>
        <v/>
      </c>
      <c r="Y127" s="71" t="str">
        <f t="shared" si="52"/>
        <v/>
      </c>
      <c r="Z127" s="70" t="str">
        <f t="shared" si="53"/>
        <v/>
      </c>
      <c r="AA127" s="70" t="str">
        <f t="shared" si="54"/>
        <v/>
      </c>
      <c r="AB127" s="70" t="str">
        <f t="shared" si="55"/>
        <v/>
      </c>
      <c r="AC127" s="71" t="str">
        <f t="shared" si="56"/>
        <v/>
      </c>
      <c r="AD127" s="72" t="str">
        <f t="shared" si="57"/>
        <v/>
      </c>
      <c r="AE127" s="73" t="str">
        <f>IF(A127="","",COUNT($N$2:N127))</f>
        <v/>
      </c>
      <c r="AF127" s="74" t="str">
        <f t="shared" si="58"/>
        <v/>
      </c>
      <c r="AG127" s="74" t="str">
        <f t="shared" si="59"/>
        <v/>
      </c>
      <c r="AH127" s="74" t="str">
        <f t="shared" si="60"/>
        <v/>
      </c>
      <c r="AI127" s="74" t="str">
        <f t="shared" si="61"/>
        <v/>
      </c>
      <c r="AJ127" s="74" t="str">
        <f t="shared" si="62"/>
        <v/>
      </c>
      <c r="AK127" s="74" t="str">
        <f>IF(A127="","",1/Tabela1[[#This Row],[ODDC]])</f>
        <v/>
      </c>
      <c r="AL127" s="74" t="str">
        <f>IF(A127="","",1/Tabela1[[#This Row],[ODDE]])</f>
        <v/>
      </c>
      <c r="AM127" s="74" t="str">
        <f>IF(A127="","",1/Tabela1[[#This Row],[ODDV]])</f>
        <v/>
      </c>
      <c r="AN127" s="74" t="str">
        <f>IF(A127="","",1-(Tabela1[[#This Row],[p(H)]]+Tabela1[[#This Row],[p(D)]]+Tabela1[[#This Row],[p(A)]]))</f>
        <v/>
      </c>
      <c r="AO127" s="74" t="str">
        <f>IF(A127="","",IFERROR(Tabela1[[#This Row],[p(H)]]/Tabela1[[#This Row],[FTHG]],1))</f>
        <v/>
      </c>
      <c r="AP127" s="74" t="str">
        <f>IF(A127="","",IFERROR(Tabela1[[#This Row],[p(A)]]/Tabela1[[#This Row],[FTAG]],1))</f>
        <v/>
      </c>
      <c r="AQ127" s="107"/>
      <c r="AR127" s="107"/>
      <c r="AS127" s="107"/>
      <c r="AT127" s="107"/>
      <c r="AU127" s="107"/>
      <c r="AV127" s="107"/>
      <c r="AW127" s="107"/>
      <c r="AX127" s="107"/>
      <c r="AY127" s="107"/>
      <c r="AZ127" s="75"/>
      <c r="BA127" s="75"/>
      <c r="BB127" s="97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7"/>
      <c r="BS127" s="107"/>
      <c r="BT127" s="107"/>
      <c r="BU127" s="107"/>
      <c r="BV127" s="107"/>
      <c r="BW127" s="107"/>
      <c r="BX127" s="75"/>
      <c r="BY127" s="75"/>
      <c r="BZ127" s="75"/>
      <c r="CA127" s="75"/>
      <c r="CB127" s="75"/>
      <c r="CC127" s="75"/>
      <c r="CD127" s="75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</row>
    <row r="128" spans="1:120" x14ac:dyDescent="0.25">
      <c r="A128" s="4"/>
      <c r="D128"/>
      <c r="E128"/>
      <c r="F128"/>
      <c r="J128" s="68" t="str">
        <f t="shared" si="42"/>
        <v/>
      </c>
      <c r="K128" s="68" t="str">
        <f t="shared" si="43"/>
        <v/>
      </c>
      <c r="L128" s="69" t="str">
        <f t="shared" si="44"/>
        <v/>
      </c>
      <c r="M128" s="69" t="str">
        <f t="shared" si="45"/>
        <v/>
      </c>
      <c r="N128" s="69" t="str">
        <f>IF(A128="","",Tabela1[[#This Row],[PTC]]*Tabela1[[#This Row],[ODDC]])</f>
        <v/>
      </c>
      <c r="O128" s="69" t="str">
        <f>IF(A128="","",Tabela1[[#This Row],[PTV]]*Tabela1[[#This Row],[ODDV]])</f>
        <v/>
      </c>
      <c r="P128" s="68" t="str">
        <f t="shared" si="46"/>
        <v/>
      </c>
      <c r="Q128" s="68" t="str">
        <f t="shared" si="47"/>
        <v/>
      </c>
      <c r="R128" s="68" t="str">
        <f t="shared" si="48"/>
        <v/>
      </c>
      <c r="S128" s="68" t="str">
        <f t="shared" si="49"/>
        <v/>
      </c>
      <c r="T128" s="68" t="str">
        <f>IF(A128="","",IF(F128="D",Tabela1[[#This Row],[ODDE]]-1,-1))</f>
        <v/>
      </c>
      <c r="U128" s="70" t="str">
        <f>IF(A128="","",IF(AND(Tabela1[[#This Row],[FTHG]]&gt;3,F128="H"),1,0))</f>
        <v/>
      </c>
      <c r="V128" s="70" t="str">
        <f>IF(A128="","",IF(AND(Tabela1[[#This Row],[FTAG]]&gt;3,F128="A"),1,0))</f>
        <v/>
      </c>
      <c r="W128" s="70" t="str">
        <f t="shared" si="50"/>
        <v/>
      </c>
      <c r="X128" s="70" t="str">
        <f t="shared" si="51"/>
        <v/>
      </c>
      <c r="Y128" s="71" t="str">
        <f t="shared" si="52"/>
        <v/>
      </c>
      <c r="Z128" s="70" t="str">
        <f t="shared" si="53"/>
        <v/>
      </c>
      <c r="AA128" s="70" t="str">
        <f t="shared" si="54"/>
        <v/>
      </c>
      <c r="AB128" s="70" t="str">
        <f t="shared" si="55"/>
        <v/>
      </c>
      <c r="AC128" s="71" t="str">
        <f t="shared" si="56"/>
        <v/>
      </c>
      <c r="AD128" s="72" t="str">
        <f t="shared" si="57"/>
        <v/>
      </c>
      <c r="AE128" s="73" t="str">
        <f>IF(A128="","",COUNT($N$2:N128))</f>
        <v/>
      </c>
      <c r="AF128" s="74" t="str">
        <f t="shared" si="58"/>
        <v/>
      </c>
      <c r="AG128" s="74" t="str">
        <f t="shared" si="59"/>
        <v/>
      </c>
      <c r="AH128" s="74" t="str">
        <f t="shared" si="60"/>
        <v/>
      </c>
      <c r="AI128" s="74" t="str">
        <f t="shared" si="61"/>
        <v/>
      </c>
      <c r="AJ128" s="74" t="str">
        <f t="shared" si="62"/>
        <v/>
      </c>
      <c r="AK128" s="74" t="str">
        <f>IF(A128="","",1/Tabela1[[#This Row],[ODDC]])</f>
        <v/>
      </c>
      <c r="AL128" s="74" t="str">
        <f>IF(A128="","",1/Tabela1[[#This Row],[ODDE]])</f>
        <v/>
      </c>
      <c r="AM128" s="74" t="str">
        <f>IF(A128="","",1/Tabela1[[#This Row],[ODDV]])</f>
        <v/>
      </c>
      <c r="AN128" s="74" t="str">
        <f>IF(A128="","",1-(Tabela1[[#This Row],[p(H)]]+Tabela1[[#This Row],[p(D)]]+Tabela1[[#This Row],[p(A)]]))</f>
        <v/>
      </c>
      <c r="AO128" s="74" t="str">
        <f>IF(A128="","",IFERROR(Tabela1[[#This Row],[p(H)]]/Tabela1[[#This Row],[FTHG]],1))</f>
        <v/>
      </c>
      <c r="AP128" s="74" t="str">
        <f>IF(A128="","",IFERROR(Tabela1[[#This Row],[p(A)]]/Tabela1[[#This Row],[FTAG]],1))</f>
        <v/>
      </c>
      <c r="AQ128" s="107"/>
      <c r="AR128" s="107"/>
      <c r="AS128" s="107"/>
      <c r="AT128" s="107"/>
      <c r="AU128" s="107"/>
      <c r="AV128" s="107"/>
      <c r="AW128" s="107"/>
      <c r="AX128" s="107"/>
      <c r="AY128" s="107"/>
      <c r="AZ128" s="75"/>
      <c r="BA128" s="75"/>
      <c r="BB128" s="97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7"/>
      <c r="BS128" s="107"/>
      <c r="BT128" s="107"/>
      <c r="BU128" s="107"/>
      <c r="BV128" s="107"/>
      <c r="BW128" s="107"/>
      <c r="BX128" s="75"/>
      <c r="BY128" s="75"/>
      <c r="BZ128" s="75"/>
      <c r="CA128" s="75"/>
      <c r="CB128" s="75"/>
      <c r="CC128" s="75"/>
      <c r="CD128" s="75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</row>
    <row r="129" spans="1:120" x14ac:dyDescent="0.25">
      <c r="A129" s="4"/>
      <c r="D129"/>
      <c r="E129"/>
      <c r="F129"/>
      <c r="J129" s="68" t="str">
        <f t="shared" si="42"/>
        <v/>
      </c>
      <c r="K129" s="68" t="str">
        <f t="shared" si="43"/>
        <v/>
      </c>
      <c r="L129" s="69" t="str">
        <f t="shared" si="44"/>
        <v/>
      </c>
      <c r="M129" s="69" t="str">
        <f t="shared" si="45"/>
        <v/>
      </c>
      <c r="N129" s="69" t="str">
        <f>IF(A129="","",Tabela1[[#This Row],[PTC]]*Tabela1[[#This Row],[ODDC]])</f>
        <v/>
      </c>
      <c r="O129" s="69" t="str">
        <f>IF(A129="","",Tabela1[[#This Row],[PTV]]*Tabela1[[#This Row],[ODDV]])</f>
        <v/>
      </c>
      <c r="P129" s="68" t="str">
        <f t="shared" si="46"/>
        <v/>
      </c>
      <c r="Q129" s="68" t="str">
        <f t="shared" si="47"/>
        <v/>
      </c>
      <c r="R129" s="68" t="str">
        <f t="shared" si="48"/>
        <v/>
      </c>
      <c r="S129" s="68" t="str">
        <f t="shared" si="49"/>
        <v/>
      </c>
      <c r="T129" s="68" t="str">
        <f>IF(A129="","",IF(F129="D",Tabela1[[#This Row],[ODDE]]-1,-1))</f>
        <v/>
      </c>
      <c r="U129" s="70" t="str">
        <f>IF(A129="","",IF(AND(Tabela1[[#This Row],[FTHG]]&gt;3,F129="H"),1,0))</f>
        <v/>
      </c>
      <c r="V129" s="70" t="str">
        <f>IF(A129="","",IF(AND(Tabela1[[#This Row],[FTAG]]&gt;3,F129="A"),1,0))</f>
        <v/>
      </c>
      <c r="W129" s="70" t="str">
        <f t="shared" si="50"/>
        <v/>
      </c>
      <c r="X129" s="70" t="str">
        <f t="shared" si="51"/>
        <v/>
      </c>
      <c r="Y129" s="71" t="str">
        <f t="shared" si="52"/>
        <v/>
      </c>
      <c r="Z129" s="70" t="str">
        <f t="shared" si="53"/>
        <v/>
      </c>
      <c r="AA129" s="70" t="str">
        <f t="shared" si="54"/>
        <v/>
      </c>
      <c r="AB129" s="70" t="str">
        <f t="shared" si="55"/>
        <v/>
      </c>
      <c r="AC129" s="71" t="str">
        <f t="shared" si="56"/>
        <v/>
      </c>
      <c r="AD129" s="72" t="str">
        <f t="shared" si="57"/>
        <v/>
      </c>
      <c r="AE129" s="73" t="str">
        <f>IF(A129="","",COUNT($N$2:N129))</f>
        <v/>
      </c>
      <c r="AF129" s="74" t="str">
        <f t="shared" si="58"/>
        <v/>
      </c>
      <c r="AG129" s="74" t="str">
        <f t="shared" si="59"/>
        <v/>
      </c>
      <c r="AH129" s="74" t="str">
        <f t="shared" si="60"/>
        <v/>
      </c>
      <c r="AI129" s="74" t="str">
        <f t="shared" si="61"/>
        <v/>
      </c>
      <c r="AJ129" s="74" t="str">
        <f t="shared" si="62"/>
        <v/>
      </c>
      <c r="AK129" s="74" t="str">
        <f>IF(A129="","",1/Tabela1[[#This Row],[ODDC]])</f>
        <v/>
      </c>
      <c r="AL129" s="74" t="str">
        <f>IF(A129="","",1/Tabela1[[#This Row],[ODDE]])</f>
        <v/>
      </c>
      <c r="AM129" s="74" t="str">
        <f>IF(A129="","",1/Tabela1[[#This Row],[ODDV]])</f>
        <v/>
      </c>
      <c r="AN129" s="74" t="str">
        <f>IF(A129="","",1-(Tabela1[[#This Row],[p(H)]]+Tabela1[[#This Row],[p(D)]]+Tabela1[[#This Row],[p(A)]]))</f>
        <v/>
      </c>
      <c r="AO129" s="74" t="str">
        <f>IF(A129="","",IFERROR(Tabela1[[#This Row],[p(H)]]/Tabela1[[#This Row],[FTHG]],1))</f>
        <v/>
      </c>
      <c r="AP129" s="74" t="str">
        <f>IF(A129="","",IFERROR(Tabela1[[#This Row],[p(A)]]/Tabela1[[#This Row],[FTAG]],1))</f>
        <v/>
      </c>
      <c r="AQ129" s="107"/>
      <c r="AR129" s="107"/>
      <c r="AS129" s="107"/>
      <c r="AT129" s="107"/>
      <c r="AU129" s="107"/>
      <c r="AV129" s="107"/>
      <c r="AW129" s="107"/>
      <c r="AX129" s="107"/>
      <c r="AY129" s="107"/>
      <c r="AZ129" s="75"/>
      <c r="BA129" s="75"/>
      <c r="BB129" s="97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7"/>
      <c r="BS129" s="107"/>
      <c r="BT129" s="107"/>
      <c r="BU129" s="107"/>
      <c r="BV129" s="107"/>
      <c r="BW129" s="107"/>
      <c r="BX129" s="75"/>
      <c r="BY129" s="75"/>
      <c r="BZ129" s="75"/>
      <c r="CA129" s="75"/>
      <c r="CB129" s="75"/>
      <c r="CC129" s="75"/>
      <c r="CD129" s="75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</row>
    <row r="130" spans="1:120" x14ac:dyDescent="0.25">
      <c r="A130" s="4"/>
      <c r="D130"/>
      <c r="E130"/>
      <c r="F130"/>
      <c r="J130" s="68" t="str">
        <f t="shared" si="42"/>
        <v/>
      </c>
      <c r="K130" s="68" t="str">
        <f t="shared" si="43"/>
        <v/>
      </c>
      <c r="L130" s="69" t="str">
        <f t="shared" si="44"/>
        <v/>
      </c>
      <c r="M130" s="69" t="str">
        <f t="shared" si="45"/>
        <v/>
      </c>
      <c r="N130" s="69" t="str">
        <f>IF(A130="","",Tabela1[[#This Row],[PTC]]*Tabela1[[#This Row],[ODDC]])</f>
        <v/>
      </c>
      <c r="O130" s="69" t="str">
        <f>IF(A130="","",Tabela1[[#This Row],[PTV]]*Tabela1[[#This Row],[ODDV]])</f>
        <v/>
      </c>
      <c r="P130" s="68" t="str">
        <f t="shared" si="46"/>
        <v/>
      </c>
      <c r="Q130" s="68" t="str">
        <f t="shared" si="47"/>
        <v/>
      </c>
      <c r="R130" s="68" t="str">
        <f t="shared" si="48"/>
        <v/>
      </c>
      <c r="S130" s="68" t="str">
        <f t="shared" si="49"/>
        <v/>
      </c>
      <c r="T130" s="68" t="str">
        <f>IF(A130="","",IF(F130="D",Tabela1[[#This Row],[ODDE]]-1,-1))</f>
        <v/>
      </c>
      <c r="U130" s="70" t="str">
        <f>IF(A130="","",IF(AND(Tabela1[[#This Row],[FTHG]]&gt;3,F130="H"),1,0))</f>
        <v/>
      </c>
      <c r="V130" s="70" t="str">
        <f>IF(A130="","",IF(AND(Tabela1[[#This Row],[FTAG]]&gt;3,F130="A"),1,0))</f>
        <v/>
      </c>
      <c r="W130" s="70" t="str">
        <f t="shared" si="50"/>
        <v/>
      </c>
      <c r="X130" s="70" t="str">
        <f t="shared" si="51"/>
        <v/>
      </c>
      <c r="Y130" s="71" t="str">
        <f t="shared" si="52"/>
        <v/>
      </c>
      <c r="Z130" s="70" t="str">
        <f t="shared" si="53"/>
        <v/>
      </c>
      <c r="AA130" s="70" t="str">
        <f t="shared" si="54"/>
        <v/>
      </c>
      <c r="AB130" s="70" t="str">
        <f t="shared" si="55"/>
        <v/>
      </c>
      <c r="AC130" s="71" t="str">
        <f t="shared" si="56"/>
        <v/>
      </c>
      <c r="AD130" s="72" t="str">
        <f t="shared" si="57"/>
        <v/>
      </c>
      <c r="AE130" s="73" t="str">
        <f>IF(A130="","",COUNT($N$2:N130))</f>
        <v/>
      </c>
      <c r="AF130" s="74" t="str">
        <f t="shared" si="58"/>
        <v/>
      </c>
      <c r="AG130" s="74" t="str">
        <f t="shared" si="59"/>
        <v/>
      </c>
      <c r="AH130" s="74" t="str">
        <f t="shared" si="60"/>
        <v/>
      </c>
      <c r="AI130" s="74" t="str">
        <f t="shared" si="61"/>
        <v/>
      </c>
      <c r="AJ130" s="74" t="str">
        <f t="shared" si="62"/>
        <v/>
      </c>
      <c r="AK130" s="74" t="str">
        <f>IF(A130="","",1/Tabela1[[#This Row],[ODDC]])</f>
        <v/>
      </c>
      <c r="AL130" s="74" t="str">
        <f>IF(A130="","",1/Tabela1[[#This Row],[ODDE]])</f>
        <v/>
      </c>
      <c r="AM130" s="74" t="str">
        <f>IF(A130="","",1/Tabela1[[#This Row],[ODDV]])</f>
        <v/>
      </c>
      <c r="AN130" s="74" t="str">
        <f>IF(A130="","",1-(Tabela1[[#This Row],[p(H)]]+Tabela1[[#This Row],[p(D)]]+Tabela1[[#This Row],[p(A)]]))</f>
        <v/>
      </c>
      <c r="AO130" s="74" t="str">
        <f>IF(A130="","",IFERROR(Tabela1[[#This Row],[p(H)]]/Tabela1[[#This Row],[FTHG]],1))</f>
        <v/>
      </c>
      <c r="AP130" s="74" t="str">
        <f>IF(A130="","",IFERROR(Tabela1[[#This Row],[p(A)]]/Tabela1[[#This Row],[FTAG]],1))</f>
        <v/>
      </c>
      <c r="AQ130" s="107"/>
      <c r="AR130" s="107"/>
      <c r="AS130" s="107"/>
      <c r="AT130" s="107"/>
      <c r="AU130" s="107"/>
      <c r="AV130" s="107"/>
      <c r="AW130" s="107"/>
      <c r="AX130" s="107"/>
      <c r="AY130" s="107"/>
      <c r="AZ130" s="75"/>
      <c r="BA130" s="75"/>
      <c r="BB130" s="97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7"/>
      <c r="BS130" s="107"/>
      <c r="BT130" s="107"/>
      <c r="BU130" s="107"/>
      <c r="BV130" s="107"/>
      <c r="BW130" s="107"/>
      <c r="BX130" s="75"/>
      <c r="BY130" s="75"/>
      <c r="BZ130" s="75"/>
      <c r="CA130" s="75"/>
      <c r="CB130" s="75"/>
      <c r="CC130" s="75"/>
      <c r="CD130" s="75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</row>
    <row r="131" spans="1:120" x14ac:dyDescent="0.25">
      <c r="A131" s="4"/>
      <c r="D131"/>
      <c r="E131"/>
      <c r="F131"/>
      <c r="J131" s="68" t="str">
        <f t="shared" ref="J131:J194" si="63">IF(A131="","",IF(F131="H",3,IF(F131="D",1,0)))</f>
        <v/>
      </c>
      <c r="K131" s="68" t="str">
        <f t="shared" ref="K131:K194" si="64">IF(A131="","",IF(F131="H",0,IF(F131="D",1,3)))</f>
        <v/>
      </c>
      <c r="L131" s="69" t="str">
        <f t="shared" ref="L131:L194" si="65">IF(A131="","",D131/I131)</f>
        <v/>
      </c>
      <c r="M131" s="69" t="str">
        <f t="shared" ref="M131:M194" si="66">IF(A131="","",E131/G131)</f>
        <v/>
      </c>
      <c r="N131" s="69" t="str">
        <f>IF(A131="","",Tabela1[[#This Row],[PTC]]*Tabela1[[#This Row],[ODDC]])</f>
        <v/>
      </c>
      <c r="O131" s="69" t="str">
        <f>IF(A131="","",Tabela1[[#This Row],[PTV]]*Tabela1[[#This Row],[ODDV]])</f>
        <v/>
      </c>
      <c r="P131" s="68" t="str">
        <f t="shared" ref="P131:P194" si="67">IF(A131="","",D131-E131)</f>
        <v/>
      </c>
      <c r="Q131" s="68" t="str">
        <f t="shared" ref="Q131:Q194" si="68">IF(A131="","",E131-D131)</f>
        <v/>
      </c>
      <c r="R131" s="68" t="str">
        <f t="shared" ref="R131:R194" si="69">IF(A131="","",IF(F131="H",G131-1,-1))</f>
        <v/>
      </c>
      <c r="S131" s="68" t="str">
        <f t="shared" ref="S131:S194" si="70">IF(A131="","",IF(F131="A",I131-1,-1))</f>
        <v/>
      </c>
      <c r="T131" s="68" t="str">
        <f>IF(A131="","",IF(F131="D",Tabela1[[#This Row],[ODDE]]-1,-1))</f>
        <v/>
      </c>
      <c r="U131" s="70" t="str">
        <f>IF(A131="","",IF(AND(Tabela1[[#This Row],[FTHG]]&gt;3,F131="H"),1,0))</f>
        <v/>
      </c>
      <c r="V131" s="70" t="str">
        <f>IF(A131="","",IF(AND(Tabela1[[#This Row],[FTAG]]&gt;3,F131="A"),1,0))</f>
        <v/>
      </c>
      <c r="W131" s="70" t="str">
        <f t="shared" ref="W131:W194" si="71">IF(A131="","",IF(D131+E131&gt;0,1,0))</f>
        <v/>
      </c>
      <c r="X131" s="70" t="str">
        <f t="shared" ref="X131:X194" si="72">IF(A131="","",IF(D131+E131&gt;1,1,0))</f>
        <v/>
      </c>
      <c r="Y131" s="71" t="str">
        <f t="shared" ref="Y131:Y194" si="73">IF(A131="","",IF(D131+E131&gt;2,1,0))</f>
        <v/>
      </c>
      <c r="Z131" s="70" t="str">
        <f t="shared" ref="Z131:Z194" si="74">IF(A131="","",IF(D131+E131&gt;3,1,0))</f>
        <v/>
      </c>
      <c r="AA131" s="70" t="str">
        <f t="shared" ref="AA131:AA194" si="75">IF(A131="","",IF(D131+E131&gt;4,1,0))</f>
        <v/>
      </c>
      <c r="AB131" s="70" t="str">
        <f t="shared" ref="AB131:AB194" si="76">IF(A131="","",IF(D131+E131&gt;5,1,0))</f>
        <v/>
      </c>
      <c r="AC131" s="71" t="str">
        <f t="shared" ref="AC131:AC194" si="77">IF(A131="","",IFERROR(IF(AND(D131&gt;0,E131&gt;0),1,0),0))</f>
        <v/>
      </c>
      <c r="AD131" s="72" t="str">
        <f t="shared" ref="AD131:AD194" si="78">IF(A131="","",UPPER(TEXT(A131,"MMM")))</f>
        <v/>
      </c>
      <c r="AE131" s="73" t="str">
        <f>IF(A131="","",COUNT($N$2:N131))</f>
        <v/>
      </c>
      <c r="AF131" s="74" t="str">
        <f t="shared" ref="AF131:AF194" si="79">IF(A131="","",IF(F131="H",1,0))</f>
        <v/>
      </c>
      <c r="AG131" s="74" t="str">
        <f t="shared" ref="AG131:AG194" si="80">IF(A131="","",IF(F131="D",1,0))</f>
        <v/>
      </c>
      <c r="AH131" s="74" t="str">
        <f t="shared" ref="AH131:AH194" si="81">IF(A131="","",IF(F131="A",1,0))</f>
        <v/>
      </c>
      <c r="AI131" s="74" t="str">
        <f t="shared" ref="AI131:AI194" si="82">IF(A131="","",IF(G131&lt;1.21,"1,01-1,2",IF(G131&lt;1.41,"1,21-1,4",IF(G131&lt;1.71,"1,41-1,7",IF(G131&lt;2.01,"1,71-2,0",IF(G131&lt;2.41,"2,01-2,4",IF(G131&lt;3.01,"2,41-3,0",IF(G131&lt;4.01,"3,01-4.0",IF(G131&lt;5.51,"4,01-5,5",IF(G131&lt;9.01,"5,51-9,0",IF(G131&lt;16.01,"9,01-16","Z16-99")))))))))))</f>
        <v/>
      </c>
      <c r="AJ131" s="74" t="str">
        <f t="shared" ref="AJ131:AJ194" si="83">IF(A131="","",IF(I131&lt;1.21,"1,01-1,2",IF(I131&lt;1.41,"1,21-1,4",IF(I131&lt;1.71,"1,41-1,7",IF(I131&lt;2.01,"1,71-2,0",IF(I131&lt;2.41,"2,01-2,4",IF(I131&lt;3.01,"2,41-3,0",IF(I131&lt;4.01,"3,01-4.0",IF(I131&lt;5.51,"4,01-5,5",IF(I131&lt;9.01,"5,51-9,0",IF(I131&lt;16.01,"9,01-16","Z16-99")))))))))))</f>
        <v/>
      </c>
      <c r="AK131" s="74" t="str">
        <f>IF(A131="","",1/Tabela1[[#This Row],[ODDC]])</f>
        <v/>
      </c>
      <c r="AL131" s="74" t="str">
        <f>IF(A131="","",1/Tabela1[[#This Row],[ODDE]])</f>
        <v/>
      </c>
      <c r="AM131" s="74" t="str">
        <f>IF(A131="","",1/Tabela1[[#This Row],[ODDV]])</f>
        <v/>
      </c>
      <c r="AN131" s="74" t="str">
        <f>IF(A131="","",1-(Tabela1[[#This Row],[p(H)]]+Tabela1[[#This Row],[p(D)]]+Tabela1[[#This Row],[p(A)]]))</f>
        <v/>
      </c>
      <c r="AO131" s="74" t="str">
        <f>IF(A131="","",IFERROR(Tabela1[[#This Row],[p(H)]]/Tabela1[[#This Row],[FTHG]],1))</f>
        <v/>
      </c>
      <c r="AP131" s="74" t="str">
        <f>IF(A131="","",IFERROR(Tabela1[[#This Row],[p(A)]]/Tabela1[[#This Row],[FTAG]],1))</f>
        <v/>
      </c>
      <c r="AQ131" s="107"/>
      <c r="AR131" s="107"/>
      <c r="AS131" s="107"/>
      <c r="AT131" s="107"/>
      <c r="AU131" s="107"/>
      <c r="AV131" s="107"/>
      <c r="AW131" s="107"/>
      <c r="AX131" s="107"/>
      <c r="AY131" s="107"/>
      <c r="AZ131" s="75"/>
      <c r="BA131" s="75"/>
      <c r="BB131" s="97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7"/>
      <c r="BS131" s="107"/>
      <c r="BT131" s="107"/>
      <c r="BU131" s="107"/>
      <c r="BV131" s="107"/>
      <c r="BW131" s="107"/>
      <c r="BX131" s="75"/>
      <c r="BY131" s="75"/>
      <c r="BZ131" s="75"/>
      <c r="CA131" s="75"/>
      <c r="CB131" s="75"/>
      <c r="CC131" s="75"/>
      <c r="CD131" s="75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</row>
    <row r="132" spans="1:120" x14ac:dyDescent="0.25">
      <c r="A132" s="4"/>
      <c r="D132"/>
      <c r="E132"/>
      <c r="F132"/>
      <c r="J132" s="68" t="str">
        <f t="shared" si="63"/>
        <v/>
      </c>
      <c r="K132" s="68" t="str">
        <f t="shared" si="64"/>
        <v/>
      </c>
      <c r="L132" s="69" t="str">
        <f t="shared" si="65"/>
        <v/>
      </c>
      <c r="M132" s="69" t="str">
        <f t="shared" si="66"/>
        <v/>
      </c>
      <c r="N132" s="69" t="str">
        <f>IF(A132="","",Tabela1[[#This Row],[PTC]]*Tabela1[[#This Row],[ODDC]])</f>
        <v/>
      </c>
      <c r="O132" s="69" t="str">
        <f>IF(A132="","",Tabela1[[#This Row],[PTV]]*Tabela1[[#This Row],[ODDV]])</f>
        <v/>
      </c>
      <c r="P132" s="68" t="str">
        <f t="shared" si="67"/>
        <v/>
      </c>
      <c r="Q132" s="68" t="str">
        <f t="shared" si="68"/>
        <v/>
      </c>
      <c r="R132" s="68" t="str">
        <f t="shared" si="69"/>
        <v/>
      </c>
      <c r="S132" s="68" t="str">
        <f t="shared" si="70"/>
        <v/>
      </c>
      <c r="T132" s="68" t="str">
        <f>IF(A132="","",IF(F132="D",Tabela1[[#This Row],[ODDE]]-1,-1))</f>
        <v/>
      </c>
      <c r="U132" s="70" t="str">
        <f>IF(A132="","",IF(AND(Tabela1[[#This Row],[FTHG]]&gt;3,F132="H"),1,0))</f>
        <v/>
      </c>
      <c r="V132" s="70" t="str">
        <f>IF(A132="","",IF(AND(Tabela1[[#This Row],[FTAG]]&gt;3,F132="A"),1,0))</f>
        <v/>
      </c>
      <c r="W132" s="70" t="str">
        <f t="shared" si="71"/>
        <v/>
      </c>
      <c r="X132" s="70" t="str">
        <f t="shared" si="72"/>
        <v/>
      </c>
      <c r="Y132" s="71" t="str">
        <f t="shared" si="73"/>
        <v/>
      </c>
      <c r="Z132" s="70" t="str">
        <f t="shared" si="74"/>
        <v/>
      </c>
      <c r="AA132" s="70" t="str">
        <f t="shared" si="75"/>
        <v/>
      </c>
      <c r="AB132" s="70" t="str">
        <f t="shared" si="76"/>
        <v/>
      </c>
      <c r="AC132" s="71" t="str">
        <f t="shared" si="77"/>
        <v/>
      </c>
      <c r="AD132" s="72" t="str">
        <f t="shared" si="78"/>
        <v/>
      </c>
      <c r="AE132" s="73" t="str">
        <f>IF(A132="","",COUNT($N$2:N132))</f>
        <v/>
      </c>
      <c r="AF132" s="74" t="str">
        <f t="shared" si="79"/>
        <v/>
      </c>
      <c r="AG132" s="74" t="str">
        <f t="shared" si="80"/>
        <v/>
      </c>
      <c r="AH132" s="74" t="str">
        <f t="shared" si="81"/>
        <v/>
      </c>
      <c r="AI132" s="74" t="str">
        <f t="shared" si="82"/>
        <v/>
      </c>
      <c r="AJ132" s="74" t="str">
        <f t="shared" si="83"/>
        <v/>
      </c>
      <c r="AK132" s="74" t="str">
        <f>IF(A132="","",1/Tabela1[[#This Row],[ODDC]])</f>
        <v/>
      </c>
      <c r="AL132" s="74" t="str">
        <f>IF(A132="","",1/Tabela1[[#This Row],[ODDE]])</f>
        <v/>
      </c>
      <c r="AM132" s="74" t="str">
        <f>IF(A132="","",1/Tabela1[[#This Row],[ODDV]])</f>
        <v/>
      </c>
      <c r="AN132" s="74" t="str">
        <f>IF(A132="","",1-(Tabela1[[#This Row],[p(H)]]+Tabela1[[#This Row],[p(D)]]+Tabela1[[#This Row],[p(A)]]))</f>
        <v/>
      </c>
      <c r="AO132" s="74" t="str">
        <f>IF(A132="","",IFERROR(Tabela1[[#This Row],[p(H)]]/Tabela1[[#This Row],[FTHG]],1))</f>
        <v/>
      </c>
      <c r="AP132" s="74" t="str">
        <f>IF(A132="","",IFERROR(Tabela1[[#This Row],[p(A)]]/Tabela1[[#This Row],[FTAG]],1))</f>
        <v/>
      </c>
      <c r="AQ132" s="107"/>
      <c r="AR132" s="107"/>
      <c r="AS132" s="107"/>
      <c r="AT132" s="107"/>
      <c r="AU132" s="107"/>
      <c r="AV132" s="107"/>
      <c r="AW132" s="107"/>
      <c r="AX132" s="107"/>
      <c r="AY132" s="107"/>
      <c r="AZ132" s="75"/>
      <c r="BA132" s="75"/>
      <c r="BB132" s="97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7"/>
      <c r="BS132" s="107"/>
      <c r="BT132" s="107"/>
      <c r="BU132" s="107"/>
      <c r="BV132" s="107"/>
      <c r="BW132" s="107"/>
      <c r="BX132" s="75"/>
      <c r="BY132" s="75"/>
      <c r="BZ132" s="75"/>
      <c r="CA132" s="75"/>
      <c r="CB132" s="75"/>
      <c r="CC132" s="75"/>
      <c r="CD132" s="75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</row>
    <row r="133" spans="1:120" x14ac:dyDescent="0.25">
      <c r="A133" s="4"/>
      <c r="D133"/>
      <c r="E133"/>
      <c r="F133"/>
      <c r="J133" s="68" t="str">
        <f t="shared" si="63"/>
        <v/>
      </c>
      <c r="K133" s="68" t="str">
        <f t="shared" si="64"/>
        <v/>
      </c>
      <c r="L133" s="69" t="str">
        <f t="shared" si="65"/>
        <v/>
      </c>
      <c r="M133" s="69" t="str">
        <f t="shared" si="66"/>
        <v/>
      </c>
      <c r="N133" s="69" t="str">
        <f>IF(A133="","",Tabela1[[#This Row],[PTC]]*Tabela1[[#This Row],[ODDC]])</f>
        <v/>
      </c>
      <c r="O133" s="69" t="str">
        <f>IF(A133="","",Tabela1[[#This Row],[PTV]]*Tabela1[[#This Row],[ODDV]])</f>
        <v/>
      </c>
      <c r="P133" s="68" t="str">
        <f t="shared" si="67"/>
        <v/>
      </c>
      <c r="Q133" s="68" t="str">
        <f t="shared" si="68"/>
        <v/>
      </c>
      <c r="R133" s="68" t="str">
        <f t="shared" si="69"/>
        <v/>
      </c>
      <c r="S133" s="68" t="str">
        <f t="shared" si="70"/>
        <v/>
      </c>
      <c r="T133" s="68" t="str">
        <f>IF(A133="","",IF(F133="D",Tabela1[[#This Row],[ODDE]]-1,-1))</f>
        <v/>
      </c>
      <c r="U133" s="70" t="str">
        <f>IF(A133="","",IF(AND(Tabela1[[#This Row],[FTHG]]&gt;3,F133="H"),1,0))</f>
        <v/>
      </c>
      <c r="V133" s="70" t="str">
        <f>IF(A133="","",IF(AND(Tabela1[[#This Row],[FTAG]]&gt;3,F133="A"),1,0))</f>
        <v/>
      </c>
      <c r="W133" s="70" t="str">
        <f t="shared" si="71"/>
        <v/>
      </c>
      <c r="X133" s="70" t="str">
        <f t="shared" si="72"/>
        <v/>
      </c>
      <c r="Y133" s="71" t="str">
        <f t="shared" si="73"/>
        <v/>
      </c>
      <c r="Z133" s="70" t="str">
        <f t="shared" si="74"/>
        <v/>
      </c>
      <c r="AA133" s="70" t="str">
        <f t="shared" si="75"/>
        <v/>
      </c>
      <c r="AB133" s="70" t="str">
        <f t="shared" si="76"/>
        <v/>
      </c>
      <c r="AC133" s="71" t="str">
        <f t="shared" si="77"/>
        <v/>
      </c>
      <c r="AD133" s="72" t="str">
        <f t="shared" si="78"/>
        <v/>
      </c>
      <c r="AE133" s="73" t="str">
        <f>IF(A133="","",COUNT($N$2:N133))</f>
        <v/>
      </c>
      <c r="AF133" s="74" t="str">
        <f t="shared" si="79"/>
        <v/>
      </c>
      <c r="AG133" s="74" t="str">
        <f t="shared" si="80"/>
        <v/>
      </c>
      <c r="AH133" s="74" t="str">
        <f t="shared" si="81"/>
        <v/>
      </c>
      <c r="AI133" s="74" t="str">
        <f t="shared" si="82"/>
        <v/>
      </c>
      <c r="AJ133" s="74" t="str">
        <f t="shared" si="83"/>
        <v/>
      </c>
      <c r="AK133" s="74" t="str">
        <f>IF(A133="","",1/Tabela1[[#This Row],[ODDC]])</f>
        <v/>
      </c>
      <c r="AL133" s="74" t="str">
        <f>IF(A133="","",1/Tabela1[[#This Row],[ODDE]])</f>
        <v/>
      </c>
      <c r="AM133" s="74" t="str">
        <f>IF(A133="","",1/Tabela1[[#This Row],[ODDV]])</f>
        <v/>
      </c>
      <c r="AN133" s="74" t="str">
        <f>IF(A133="","",1-(Tabela1[[#This Row],[p(H)]]+Tabela1[[#This Row],[p(D)]]+Tabela1[[#This Row],[p(A)]]))</f>
        <v/>
      </c>
      <c r="AO133" s="74" t="str">
        <f>IF(A133="","",IFERROR(Tabela1[[#This Row],[p(H)]]/Tabela1[[#This Row],[FTHG]],1))</f>
        <v/>
      </c>
      <c r="AP133" s="74" t="str">
        <f>IF(A133="","",IFERROR(Tabela1[[#This Row],[p(A)]]/Tabela1[[#This Row],[FTAG]],1))</f>
        <v/>
      </c>
      <c r="AQ133" s="107"/>
      <c r="AR133" s="107"/>
      <c r="AS133" s="107"/>
      <c r="AT133" s="107"/>
      <c r="AU133" s="107"/>
      <c r="AV133" s="107"/>
      <c r="AW133" s="107"/>
      <c r="AX133" s="107"/>
      <c r="AY133" s="107"/>
      <c r="AZ133" s="75"/>
      <c r="BA133" s="75"/>
      <c r="BB133" s="97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7"/>
      <c r="BS133" s="107"/>
      <c r="BT133" s="107"/>
      <c r="BU133" s="107"/>
      <c r="BV133" s="107"/>
      <c r="BW133" s="107"/>
      <c r="BX133" s="75"/>
      <c r="BY133" s="75"/>
      <c r="BZ133" s="75"/>
      <c r="CA133" s="75"/>
      <c r="CB133" s="75"/>
      <c r="CC133" s="75"/>
      <c r="CD133" s="75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</row>
    <row r="134" spans="1:120" x14ac:dyDescent="0.25">
      <c r="A134" s="4"/>
      <c r="D134"/>
      <c r="E134"/>
      <c r="F134"/>
      <c r="J134" s="68" t="str">
        <f t="shared" si="63"/>
        <v/>
      </c>
      <c r="K134" s="68" t="str">
        <f t="shared" si="64"/>
        <v/>
      </c>
      <c r="L134" s="69" t="str">
        <f t="shared" si="65"/>
        <v/>
      </c>
      <c r="M134" s="69" t="str">
        <f t="shared" si="66"/>
        <v/>
      </c>
      <c r="N134" s="69" t="str">
        <f>IF(A134="","",Tabela1[[#This Row],[PTC]]*Tabela1[[#This Row],[ODDC]])</f>
        <v/>
      </c>
      <c r="O134" s="69" t="str">
        <f>IF(A134="","",Tabela1[[#This Row],[PTV]]*Tabela1[[#This Row],[ODDV]])</f>
        <v/>
      </c>
      <c r="P134" s="68" t="str">
        <f t="shared" si="67"/>
        <v/>
      </c>
      <c r="Q134" s="68" t="str">
        <f t="shared" si="68"/>
        <v/>
      </c>
      <c r="R134" s="68" t="str">
        <f t="shared" si="69"/>
        <v/>
      </c>
      <c r="S134" s="68" t="str">
        <f t="shared" si="70"/>
        <v/>
      </c>
      <c r="T134" s="68" t="str">
        <f>IF(A134="","",IF(F134="D",Tabela1[[#This Row],[ODDE]]-1,-1))</f>
        <v/>
      </c>
      <c r="U134" s="70" t="str">
        <f>IF(A134="","",IF(AND(Tabela1[[#This Row],[FTHG]]&gt;3,F134="H"),1,0))</f>
        <v/>
      </c>
      <c r="V134" s="70" t="str">
        <f>IF(A134="","",IF(AND(Tabela1[[#This Row],[FTAG]]&gt;3,F134="A"),1,0))</f>
        <v/>
      </c>
      <c r="W134" s="70" t="str">
        <f t="shared" si="71"/>
        <v/>
      </c>
      <c r="X134" s="70" t="str">
        <f t="shared" si="72"/>
        <v/>
      </c>
      <c r="Y134" s="71" t="str">
        <f t="shared" si="73"/>
        <v/>
      </c>
      <c r="Z134" s="70" t="str">
        <f t="shared" si="74"/>
        <v/>
      </c>
      <c r="AA134" s="70" t="str">
        <f t="shared" si="75"/>
        <v/>
      </c>
      <c r="AB134" s="70" t="str">
        <f t="shared" si="76"/>
        <v/>
      </c>
      <c r="AC134" s="71" t="str">
        <f t="shared" si="77"/>
        <v/>
      </c>
      <c r="AD134" s="72" t="str">
        <f t="shared" si="78"/>
        <v/>
      </c>
      <c r="AE134" s="73" t="str">
        <f>IF(A134="","",COUNT($N$2:N134))</f>
        <v/>
      </c>
      <c r="AF134" s="74" t="str">
        <f t="shared" si="79"/>
        <v/>
      </c>
      <c r="AG134" s="74" t="str">
        <f t="shared" si="80"/>
        <v/>
      </c>
      <c r="AH134" s="74" t="str">
        <f t="shared" si="81"/>
        <v/>
      </c>
      <c r="AI134" s="74" t="str">
        <f t="shared" si="82"/>
        <v/>
      </c>
      <c r="AJ134" s="74" t="str">
        <f t="shared" si="83"/>
        <v/>
      </c>
      <c r="AK134" s="74" t="str">
        <f>IF(A134="","",1/Tabela1[[#This Row],[ODDC]])</f>
        <v/>
      </c>
      <c r="AL134" s="74" t="str">
        <f>IF(A134="","",1/Tabela1[[#This Row],[ODDE]])</f>
        <v/>
      </c>
      <c r="AM134" s="74" t="str">
        <f>IF(A134="","",1/Tabela1[[#This Row],[ODDV]])</f>
        <v/>
      </c>
      <c r="AN134" s="74" t="str">
        <f>IF(A134="","",1-(Tabela1[[#This Row],[p(H)]]+Tabela1[[#This Row],[p(D)]]+Tabela1[[#This Row],[p(A)]]))</f>
        <v/>
      </c>
      <c r="AO134" s="74" t="str">
        <f>IF(A134="","",IFERROR(Tabela1[[#This Row],[p(H)]]/Tabela1[[#This Row],[FTHG]],1))</f>
        <v/>
      </c>
      <c r="AP134" s="74" t="str">
        <f>IF(A134="","",IFERROR(Tabela1[[#This Row],[p(A)]]/Tabela1[[#This Row],[FTAG]],1))</f>
        <v/>
      </c>
      <c r="AQ134" s="107"/>
      <c r="AR134" s="107"/>
      <c r="AS134" s="107"/>
      <c r="AT134" s="107"/>
      <c r="AU134" s="107"/>
      <c r="AV134" s="107"/>
      <c r="AW134" s="107"/>
      <c r="AX134" s="107"/>
      <c r="AY134" s="107"/>
      <c r="AZ134" s="75"/>
      <c r="BA134" s="75"/>
      <c r="BB134" s="97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7"/>
      <c r="BS134" s="107"/>
      <c r="BT134" s="107"/>
      <c r="BU134" s="107"/>
      <c r="BV134" s="107"/>
      <c r="BW134" s="107"/>
      <c r="BX134" s="75"/>
      <c r="BY134" s="75"/>
      <c r="BZ134" s="75"/>
      <c r="CA134" s="75"/>
      <c r="CB134" s="75"/>
      <c r="CC134" s="75"/>
      <c r="CD134" s="75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</row>
    <row r="135" spans="1:120" x14ac:dyDescent="0.25">
      <c r="A135" s="4"/>
      <c r="D135"/>
      <c r="E135"/>
      <c r="F135"/>
      <c r="J135" s="68" t="str">
        <f t="shared" si="63"/>
        <v/>
      </c>
      <c r="K135" s="68" t="str">
        <f t="shared" si="64"/>
        <v/>
      </c>
      <c r="L135" s="69" t="str">
        <f t="shared" si="65"/>
        <v/>
      </c>
      <c r="M135" s="69" t="str">
        <f t="shared" si="66"/>
        <v/>
      </c>
      <c r="N135" s="69" t="str">
        <f>IF(A135="","",Tabela1[[#This Row],[PTC]]*Tabela1[[#This Row],[ODDC]])</f>
        <v/>
      </c>
      <c r="O135" s="69" t="str">
        <f>IF(A135="","",Tabela1[[#This Row],[PTV]]*Tabela1[[#This Row],[ODDV]])</f>
        <v/>
      </c>
      <c r="P135" s="68" t="str">
        <f t="shared" si="67"/>
        <v/>
      </c>
      <c r="Q135" s="68" t="str">
        <f t="shared" si="68"/>
        <v/>
      </c>
      <c r="R135" s="68" t="str">
        <f t="shared" si="69"/>
        <v/>
      </c>
      <c r="S135" s="68" t="str">
        <f t="shared" si="70"/>
        <v/>
      </c>
      <c r="T135" s="68" t="str">
        <f>IF(A135="","",IF(F135="D",Tabela1[[#This Row],[ODDE]]-1,-1))</f>
        <v/>
      </c>
      <c r="U135" s="70" t="str">
        <f>IF(A135="","",IF(AND(Tabela1[[#This Row],[FTHG]]&gt;3,F135="H"),1,0))</f>
        <v/>
      </c>
      <c r="V135" s="70" t="str">
        <f>IF(A135="","",IF(AND(Tabela1[[#This Row],[FTAG]]&gt;3,F135="A"),1,0))</f>
        <v/>
      </c>
      <c r="W135" s="70" t="str">
        <f t="shared" si="71"/>
        <v/>
      </c>
      <c r="X135" s="70" t="str">
        <f t="shared" si="72"/>
        <v/>
      </c>
      <c r="Y135" s="71" t="str">
        <f t="shared" si="73"/>
        <v/>
      </c>
      <c r="Z135" s="70" t="str">
        <f t="shared" si="74"/>
        <v/>
      </c>
      <c r="AA135" s="70" t="str">
        <f t="shared" si="75"/>
        <v/>
      </c>
      <c r="AB135" s="70" t="str">
        <f t="shared" si="76"/>
        <v/>
      </c>
      <c r="AC135" s="71" t="str">
        <f t="shared" si="77"/>
        <v/>
      </c>
      <c r="AD135" s="72" t="str">
        <f t="shared" si="78"/>
        <v/>
      </c>
      <c r="AE135" s="73" t="str">
        <f>IF(A135="","",COUNT($N$2:N135))</f>
        <v/>
      </c>
      <c r="AF135" s="74" t="str">
        <f t="shared" si="79"/>
        <v/>
      </c>
      <c r="AG135" s="74" t="str">
        <f t="shared" si="80"/>
        <v/>
      </c>
      <c r="AH135" s="74" t="str">
        <f t="shared" si="81"/>
        <v/>
      </c>
      <c r="AI135" s="74" t="str">
        <f t="shared" si="82"/>
        <v/>
      </c>
      <c r="AJ135" s="74" t="str">
        <f t="shared" si="83"/>
        <v/>
      </c>
      <c r="AK135" s="74" t="str">
        <f>IF(A135="","",1/Tabela1[[#This Row],[ODDC]])</f>
        <v/>
      </c>
      <c r="AL135" s="74" t="str">
        <f>IF(A135="","",1/Tabela1[[#This Row],[ODDE]])</f>
        <v/>
      </c>
      <c r="AM135" s="74" t="str">
        <f>IF(A135="","",1/Tabela1[[#This Row],[ODDV]])</f>
        <v/>
      </c>
      <c r="AN135" s="74" t="str">
        <f>IF(A135="","",1-(Tabela1[[#This Row],[p(H)]]+Tabela1[[#This Row],[p(D)]]+Tabela1[[#This Row],[p(A)]]))</f>
        <v/>
      </c>
      <c r="AO135" s="74" t="str">
        <f>IF(A135="","",IFERROR(Tabela1[[#This Row],[p(H)]]/Tabela1[[#This Row],[FTHG]],1))</f>
        <v/>
      </c>
      <c r="AP135" s="74" t="str">
        <f>IF(A135="","",IFERROR(Tabela1[[#This Row],[p(A)]]/Tabela1[[#This Row],[FTAG]],1))</f>
        <v/>
      </c>
      <c r="AQ135" s="107"/>
      <c r="AR135" s="107"/>
      <c r="AS135" s="107"/>
      <c r="AT135" s="107"/>
      <c r="AU135" s="107"/>
      <c r="AV135" s="107"/>
      <c r="AW135" s="107"/>
      <c r="AX135" s="107"/>
      <c r="AY135" s="107"/>
      <c r="AZ135" s="75"/>
      <c r="BA135" s="75"/>
      <c r="BB135" s="97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7"/>
      <c r="BS135" s="107"/>
      <c r="BT135" s="107"/>
      <c r="BU135" s="107"/>
      <c r="BV135" s="107"/>
      <c r="BW135" s="107"/>
      <c r="BX135" s="75"/>
      <c r="BY135" s="75"/>
      <c r="BZ135" s="75"/>
      <c r="CA135" s="75"/>
      <c r="CB135" s="75"/>
      <c r="CC135" s="75"/>
      <c r="CD135" s="75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</row>
    <row r="136" spans="1:120" x14ac:dyDescent="0.25">
      <c r="A136" s="4"/>
      <c r="D136"/>
      <c r="E136"/>
      <c r="F136"/>
      <c r="J136" s="68" t="str">
        <f t="shared" si="63"/>
        <v/>
      </c>
      <c r="K136" s="68" t="str">
        <f t="shared" si="64"/>
        <v/>
      </c>
      <c r="L136" s="69" t="str">
        <f t="shared" si="65"/>
        <v/>
      </c>
      <c r="M136" s="69" t="str">
        <f t="shared" si="66"/>
        <v/>
      </c>
      <c r="N136" s="69" t="str">
        <f>IF(A136="","",Tabela1[[#This Row],[PTC]]*Tabela1[[#This Row],[ODDC]])</f>
        <v/>
      </c>
      <c r="O136" s="69" t="str">
        <f>IF(A136="","",Tabela1[[#This Row],[PTV]]*Tabela1[[#This Row],[ODDV]])</f>
        <v/>
      </c>
      <c r="P136" s="68" t="str">
        <f t="shared" si="67"/>
        <v/>
      </c>
      <c r="Q136" s="68" t="str">
        <f t="shared" si="68"/>
        <v/>
      </c>
      <c r="R136" s="68" t="str">
        <f t="shared" si="69"/>
        <v/>
      </c>
      <c r="S136" s="68" t="str">
        <f t="shared" si="70"/>
        <v/>
      </c>
      <c r="T136" s="68" t="str">
        <f>IF(A136="","",IF(F136="D",Tabela1[[#This Row],[ODDE]]-1,-1))</f>
        <v/>
      </c>
      <c r="U136" s="70" t="str">
        <f>IF(A136="","",IF(AND(Tabela1[[#This Row],[FTHG]]&gt;3,F136="H"),1,0))</f>
        <v/>
      </c>
      <c r="V136" s="70" t="str">
        <f>IF(A136="","",IF(AND(Tabela1[[#This Row],[FTAG]]&gt;3,F136="A"),1,0))</f>
        <v/>
      </c>
      <c r="W136" s="70" t="str">
        <f t="shared" si="71"/>
        <v/>
      </c>
      <c r="X136" s="70" t="str">
        <f t="shared" si="72"/>
        <v/>
      </c>
      <c r="Y136" s="71" t="str">
        <f t="shared" si="73"/>
        <v/>
      </c>
      <c r="Z136" s="70" t="str">
        <f t="shared" si="74"/>
        <v/>
      </c>
      <c r="AA136" s="70" t="str">
        <f t="shared" si="75"/>
        <v/>
      </c>
      <c r="AB136" s="70" t="str">
        <f t="shared" si="76"/>
        <v/>
      </c>
      <c r="AC136" s="71" t="str">
        <f t="shared" si="77"/>
        <v/>
      </c>
      <c r="AD136" s="72" t="str">
        <f t="shared" si="78"/>
        <v/>
      </c>
      <c r="AE136" s="73" t="str">
        <f>IF(A136="","",COUNT($N$2:N136))</f>
        <v/>
      </c>
      <c r="AF136" s="74" t="str">
        <f t="shared" si="79"/>
        <v/>
      </c>
      <c r="AG136" s="74" t="str">
        <f t="shared" si="80"/>
        <v/>
      </c>
      <c r="AH136" s="74" t="str">
        <f t="shared" si="81"/>
        <v/>
      </c>
      <c r="AI136" s="74" t="str">
        <f t="shared" si="82"/>
        <v/>
      </c>
      <c r="AJ136" s="74" t="str">
        <f t="shared" si="83"/>
        <v/>
      </c>
      <c r="AK136" s="74" t="str">
        <f>IF(A136="","",1/Tabela1[[#This Row],[ODDC]])</f>
        <v/>
      </c>
      <c r="AL136" s="74" t="str">
        <f>IF(A136="","",1/Tabela1[[#This Row],[ODDE]])</f>
        <v/>
      </c>
      <c r="AM136" s="74" t="str">
        <f>IF(A136="","",1/Tabela1[[#This Row],[ODDV]])</f>
        <v/>
      </c>
      <c r="AN136" s="74" t="str">
        <f>IF(A136="","",1-(Tabela1[[#This Row],[p(H)]]+Tabela1[[#This Row],[p(D)]]+Tabela1[[#This Row],[p(A)]]))</f>
        <v/>
      </c>
      <c r="AO136" s="74" t="str">
        <f>IF(A136="","",IFERROR(Tabela1[[#This Row],[p(H)]]/Tabela1[[#This Row],[FTHG]],1))</f>
        <v/>
      </c>
      <c r="AP136" s="74" t="str">
        <f>IF(A136="","",IFERROR(Tabela1[[#This Row],[p(A)]]/Tabela1[[#This Row],[FTAG]],1))</f>
        <v/>
      </c>
      <c r="AQ136" s="107"/>
      <c r="AR136" s="107"/>
      <c r="AS136" s="107"/>
      <c r="AT136" s="107"/>
      <c r="AU136" s="107"/>
      <c r="AV136" s="107"/>
      <c r="AW136" s="107"/>
      <c r="AX136" s="107"/>
      <c r="AY136" s="107"/>
      <c r="AZ136" s="75"/>
      <c r="BA136" s="75"/>
      <c r="BB136" s="97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7"/>
      <c r="BS136" s="107"/>
      <c r="BT136" s="107"/>
      <c r="BU136" s="107"/>
      <c r="BV136" s="107"/>
      <c r="BW136" s="107"/>
      <c r="BX136" s="75"/>
      <c r="BY136" s="75"/>
      <c r="BZ136" s="75"/>
      <c r="CA136" s="75"/>
      <c r="CB136" s="75"/>
      <c r="CC136" s="75"/>
      <c r="CD136" s="75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</row>
    <row r="137" spans="1:120" x14ac:dyDescent="0.25">
      <c r="A137" s="4"/>
      <c r="D137"/>
      <c r="E137"/>
      <c r="F137"/>
      <c r="J137" s="68" t="str">
        <f t="shared" si="63"/>
        <v/>
      </c>
      <c r="K137" s="68" t="str">
        <f t="shared" si="64"/>
        <v/>
      </c>
      <c r="L137" s="69" t="str">
        <f t="shared" si="65"/>
        <v/>
      </c>
      <c r="M137" s="69" t="str">
        <f t="shared" si="66"/>
        <v/>
      </c>
      <c r="N137" s="69" t="str">
        <f>IF(A137="","",Tabela1[[#This Row],[PTC]]*Tabela1[[#This Row],[ODDC]])</f>
        <v/>
      </c>
      <c r="O137" s="69" t="str">
        <f>IF(A137="","",Tabela1[[#This Row],[PTV]]*Tabela1[[#This Row],[ODDV]])</f>
        <v/>
      </c>
      <c r="P137" s="68" t="str">
        <f t="shared" si="67"/>
        <v/>
      </c>
      <c r="Q137" s="68" t="str">
        <f t="shared" si="68"/>
        <v/>
      </c>
      <c r="R137" s="68" t="str">
        <f t="shared" si="69"/>
        <v/>
      </c>
      <c r="S137" s="68" t="str">
        <f t="shared" si="70"/>
        <v/>
      </c>
      <c r="T137" s="68" t="str">
        <f>IF(A137="","",IF(F137="D",Tabela1[[#This Row],[ODDE]]-1,-1))</f>
        <v/>
      </c>
      <c r="U137" s="70" t="str">
        <f>IF(A137="","",IF(AND(Tabela1[[#This Row],[FTHG]]&gt;3,F137="H"),1,0))</f>
        <v/>
      </c>
      <c r="V137" s="70" t="str">
        <f>IF(A137="","",IF(AND(Tabela1[[#This Row],[FTAG]]&gt;3,F137="A"),1,0))</f>
        <v/>
      </c>
      <c r="W137" s="70" t="str">
        <f t="shared" si="71"/>
        <v/>
      </c>
      <c r="X137" s="70" t="str">
        <f t="shared" si="72"/>
        <v/>
      </c>
      <c r="Y137" s="71" t="str">
        <f t="shared" si="73"/>
        <v/>
      </c>
      <c r="Z137" s="70" t="str">
        <f t="shared" si="74"/>
        <v/>
      </c>
      <c r="AA137" s="70" t="str">
        <f t="shared" si="75"/>
        <v/>
      </c>
      <c r="AB137" s="70" t="str">
        <f t="shared" si="76"/>
        <v/>
      </c>
      <c r="AC137" s="71" t="str">
        <f t="shared" si="77"/>
        <v/>
      </c>
      <c r="AD137" s="72" t="str">
        <f t="shared" si="78"/>
        <v/>
      </c>
      <c r="AE137" s="73" t="str">
        <f>IF(A137="","",COUNT($N$2:N137))</f>
        <v/>
      </c>
      <c r="AF137" s="74" t="str">
        <f t="shared" si="79"/>
        <v/>
      </c>
      <c r="AG137" s="74" t="str">
        <f t="shared" si="80"/>
        <v/>
      </c>
      <c r="AH137" s="74" t="str">
        <f t="shared" si="81"/>
        <v/>
      </c>
      <c r="AI137" s="74" t="str">
        <f t="shared" si="82"/>
        <v/>
      </c>
      <c r="AJ137" s="74" t="str">
        <f t="shared" si="83"/>
        <v/>
      </c>
      <c r="AK137" s="74" t="str">
        <f>IF(A137="","",1/Tabela1[[#This Row],[ODDC]])</f>
        <v/>
      </c>
      <c r="AL137" s="74" t="str">
        <f>IF(A137="","",1/Tabela1[[#This Row],[ODDE]])</f>
        <v/>
      </c>
      <c r="AM137" s="74" t="str">
        <f>IF(A137="","",1/Tabela1[[#This Row],[ODDV]])</f>
        <v/>
      </c>
      <c r="AN137" s="74" t="str">
        <f>IF(A137="","",1-(Tabela1[[#This Row],[p(H)]]+Tabela1[[#This Row],[p(D)]]+Tabela1[[#This Row],[p(A)]]))</f>
        <v/>
      </c>
      <c r="AO137" s="74" t="str">
        <f>IF(A137="","",IFERROR(Tabela1[[#This Row],[p(H)]]/Tabela1[[#This Row],[FTHG]],1))</f>
        <v/>
      </c>
      <c r="AP137" s="74" t="str">
        <f>IF(A137="","",IFERROR(Tabela1[[#This Row],[p(A)]]/Tabela1[[#This Row],[FTAG]],1))</f>
        <v/>
      </c>
      <c r="AQ137" s="107"/>
      <c r="AR137" s="107"/>
      <c r="AS137" s="107"/>
      <c r="AT137" s="107"/>
      <c r="AU137" s="107"/>
      <c r="AV137" s="107"/>
      <c r="AW137" s="107"/>
      <c r="AX137" s="107"/>
      <c r="AY137" s="107"/>
      <c r="AZ137" s="75"/>
      <c r="BA137" s="75"/>
      <c r="BB137" s="97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7"/>
      <c r="BS137" s="107"/>
      <c r="BT137" s="107"/>
      <c r="BU137" s="107"/>
      <c r="BV137" s="107"/>
      <c r="BW137" s="107"/>
      <c r="BX137" s="75"/>
      <c r="BY137" s="75"/>
      <c r="BZ137" s="75"/>
      <c r="CA137" s="75"/>
      <c r="CB137" s="75"/>
      <c r="CC137" s="75"/>
      <c r="CD137" s="75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</row>
    <row r="138" spans="1:120" x14ac:dyDescent="0.25">
      <c r="A138" s="4"/>
      <c r="D138"/>
      <c r="E138"/>
      <c r="F138"/>
      <c r="J138" s="68" t="str">
        <f t="shared" si="63"/>
        <v/>
      </c>
      <c r="K138" s="68" t="str">
        <f t="shared" si="64"/>
        <v/>
      </c>
      <c r="L138" s="69" t="str">
        <f t="shared" si="65"/>
        <v/>
      </c>
      <c r="M138" s="69" t="str">
        <f t="shared" si="66"/>
        <v/>
      </c>
      <c r="N138" s="69" t="str">
        <f>IF(A138="","",Tabela1[[#This Row],[PTC]]*Tabela1[[#This Row],[ODDC]])</f>
        <v/>
      </c>
      <c r="O138" s="69" t="str">
        <f>IF(A138="","",Tabela1[[#This Row],[PTV]]*Tabela1[[#This Row],[ODDV]])</f>
        <v/>
      </c>
      <c r="P138" s="68" t="str">
        <f t="shared" si="67"/>
        <v/>
      </c>
      <c r="Q138" s="68" t="str">
        <f t="shared" si="68"/>
        <v/>
      </c>
      <c r="R138" s="68" t="str">
        <f t="shared" si="69"/>
        <v/>
      </c>
      <c r="S138" s="68" t="str">
        <f t="shared" si="70"/>
        <v/>
      </c>
      <c r="T138" s="68" t="str">
        <f>IF(A138="","",IF(F138="D",Tabela1[[#This Row],[ODDE]]-1,-1))</f>
        <v/>
      </c>
      <c r="U138" s="70" t="str">
        <f>IF(A138="","",IF(AND(Tabela1[[#This Row],[FTHG]]&gt;3,F138="H"),1,0))</f>
        <v/>
      </c>
      <c r="V138" s="70" t="str">
        <f>IF(A138="","",IF(AND(Tabela1[[#This Row],[FTAG]]&gt;3,F138="A"),1,0))</f>
        <v/>
      </c>
      <c r="W138" s="70" t="str">
        <f t="shared" si="71"/>
        <v/>
      </c>
      <c r="X138" s="70" t="str">
        <f t="shared" si="72"/>
        <v/>
      </c>
      <c r="Y138" s="71" t="str">
        <f t="shared" si="73"/>
        <v/>
      </c>
      <c r="Z138" s="70" t="str">
        <f t="shared" si="74"/>
        <v/>
      </c>
      <c r="AA138" s="70" t="str">
        <f t="shared" si="75"/>
        <v/>
      </c>
      <c r="AB138" s="70" t="str">
        <f t="shared" si="76"/>
        <v/>
      </c>
      <c r="AC138" s="71" t="str">
        <f t="shared" si="77"/>
        <v/>
      </c>
      <c r="AD138" s="72" t="str">
        <f t="shared" si="78"/>
        <v/>
      </c>
      <c r="AE138" s="73" t="str">
        <f>IF(A138="","",COUNT($N$2:N138))</f>
        <v/>
      </c>
      <c r="AF138" s="74" t="str">
        <f t="shared" si="79"/>
        <v/>
      </c>
      <c r="AG138" s="74" t="str">
        <f t="shared" si="80"/>
        <v/>
      </c>
      <c r="AH138" s="74" t="str">
        <f t="shared" si="81"/>
        <v/>
      </c>
      <c r="AI138" s="74" t="str">
        <f t="shared" si="82"/>
        <v/>
      </c>
      <c r="AJ138" s="74" t="str">
        <f t="shared" si="83"/>
        <v/>
      </c>
      <c r="AK138" s="74" t="str">
        <f>IF(A138="","",1/Tabela1[[#This Row],[ODDC]])</f>
        <v/>
      </c>
      <c r="AL138" s="74" t="str">
        <f>IF(A138="","",1/Tabela1[[#This Row],[ODDE]])</f>
        <v/>
      </c>
      <c r="AM138" s="74" t="str">
        <f>IF(A138="","",1/Tabela1[[#This Row],[ODDV]])</f>
        <v/>
      </c>
      <c r="AN138" s="74" t="str">
        <f>IF(A138="","",1-(Tabela1[[#This Row],[p(H)]]+Tabela1[[#This Row],[p(D)]]+Tabela1[[#This Row],[p(A)]]))</f>
        <v/>
      </c>
      <c r="AO138" s="74" t="str">
        <f>IF(A138="","",IFERROR(Tabela1[[#This Row],[p(H)]]/Tabela1[[#This Row],[FTHG]],1))</f>
        <v/>
      </c>
      <c r="AP138" s="74" t="str">
        <f>IF(A138="","",IFERROR(Tabela1[[#This Row],[p(A)]]/Tabela1[[#This Row],[FTAG]],1))</f>
        <v/>
      </c>
      <c r="AQ138" s="107"/>
      <c r="AR138" s="107"/>
      <c r="AS138" s="107"/>
      <c r="AT138" s="107"/>
      <c r="AU138" s="107"/>
      <c r="AV138" s="107"/>
      <c r="AW138" s="107"/>
      <c r="AX138" s="107"/>
      <c r="AY138" s="107"/>
      <c r="AZ138" s="75"/>
      <c r="BA138" s="75"/>
      <c r="BB138" s="97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7"/>
      <c r="BS138" s="107"/>
      <c r="BT138" s="107"/>
      <c r="BU138" s="107"/>
      <c r="BV138" s="107"/>
      <c r="BW138" s="107"/>
      <c r="BX138" s="75"/>
      <c r="BY138" s="75"/>
      <c r="BZ138" s="75"/>
      <c r="CA138" s="75"/>
      <c r="CB138" s="75"/>
      <c r="CC138" s="75"/>
      <c r="CD138" s="75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</row>
    <row r="139" spans="1:120" x14ac:dyDescent="0.25">
      <c r="A139" s="4"/>
      <c r="D139"/>
      <c r="E139"/>
      <c r="F139"/>
      <c r="J139" s="68" t="str">
        <f t="shared" si="63"/>
        <v/>
      </c>
      <c r="K139" s="68" t="str">
        <f t="shared" si="64"/>
        <v/>
      </c>
      <c r="L139" s="69" t="str">
        <f t="shared" si="65"/>
        <v/>
      </c>
      <c r="M139" s="69" t="str">
        <f t="shared" si="66"/>
        <v/>
      </c>
      <c r="N139" s="69" t="str">
        <f>IF(A139="","",Tabela1[[#This Row],[PTC]]*Tabela1[[#This Row],[ODDC]])</f>
        <v/>
      </c>
      <c r="O139" s="69" t="str">
        <f>IF(A139="","",Tabela1[[#This Row],[PTV]]*Tabela1[[#This Row],[ODDV]])</f>
        <v/>
      </c>
      <c r="P139" s="68" t="str">
        <f t="shared" si="67"/>
        <v/>
      </c>
      <c r="Q139" s="68" t="str">
        <f t="shared" si="68"/>
        <v/>
      </c>
      <c r="R139" s="68" t="str">
        <f t="shared" si="69"/>
        <v/>
      </c>
      <c r="S139" s="68" t="str">
        <f t="shared" si="70"/>
        <v/>
      </c>
      <c r="T139" s="68" t="str">
        <f>IF(A139="","",IF(F139="D",Tabela1[[#This Row],[ODDE]]-1,-1))</f>
        <v/>
      </c>
      <c r="U139" s="70" t="str">
        <f>IF(A139="","",IF(AND(Tabela1[[#This Row],[FTHG]]&gt;3,F139="H"),1,0))</f>
        <v/>
      </c>
      <c r="V139" s="70" t="str">
        <f>IF(A139="","",IF(AND(Tabela1[[#This Row],[FTAG]]&gt;3,F139="A"),1,0))</f>
        <v/>
      </c>
      <c r="W139" s="70" t="str">
        <f t="shared" si="71"/>
        <v/>
      </c>
      <c r="X139" s="70" t="str">
        <f t="shared" si="72"/>
        <v/>
      </c>
      <c r="Y139" s="71" t="str">
        <f t="shared" si="73"/>
        <v/>
      </c>
      <c r="Z139" s="70" t="str">
        <f t="shared" si="74"/>
        <v/>
      </c>
      <c r="AA139" s="70" t="str">
        <f t="shared" si="75"/>
        <v/>
      </c>
      <c r="AB139" s="70" t="str">
        <f t="shared" si="76"/>
        <v/>
      </c>
      <c r="AC139" s="71" t="str">
        <f t="shared" si="77"/>
        <v/>
      </c>
      <c r="AD139" s="72" t="str">
        <f t="shared" si="78"/>
        <v/>
      </c>
      <c r="AE139" s="73" t="str">
        <f>IF(A139="","",COUNT($N$2:N139))</f>
        <v/>
      </c>
      <c r="AF139" s="74" t="str">
        <f t="shared" si="79"/>
        <v/>
      </c>
      <c r="AG139" s="74" t="str">
        <f t="shared" si="80"/>
        <v/>
      </c>
      <c r="AH139" s="74" t="str">
        <f t="shared" si="81"/>
        <v/>
      </c>
      <c r="AI139" s="74" t="str">
        <f t="shared" si="82"/>
        <v/>
      </c>
      <c r="AJ139" s="74" t="str">
        <f t="shared" si="83"/>
        <v/>
      </c>
      <c r="AK139" s="74" t="str">
        <f>IF(A139="","",1/Tabela1[[#This Row],[ODDC]])</f>
        <v/>
      </c>
      <c r="AL139" s="74" t="str">
        <f>IF(A139="","",1/Tabela1[[#This Row],[ODDE]])</f>
        <v/>
      </c>
      <c r="AM139" s="74" t="str">
        <f>IF(A139="","",1/Tabela1[[#This Row],[ODDV]])</f>
        <v/>
      </c>
      <c r="AN139" s="74" t="str">
        <f>IF(A139="","",1-(Tabela1[[#This Row],[p(H)]]+Tabela1[[#This Row],[p(D)]]+Tabela1[[#This Row],[p(A)]]))</f>
        <v/>
      </c>
      <c r="AO139" s="74" t="str">
        <f>IF(A139="","",IFERROR(Tabela1[[#This Row],[p(H)]]/Tabela1[[#This Row],[FTHG]],1))</f>
        <v/>
      </c>
      <c r="AP139" s="74" t="str">
        <f>IF(A139="","",IFERROR(Tabela1[[#This Row],[p(A)]]/Tabela1[[#This Row],[FTAG]],1))</f>
        <v/>
      </c>
      <c r="AQ139" s="107"/>
      <c r="AR139" s="107"/>
      <c r="AS139" s="107"/>
      <c r="AT139" s="107"/>
      <c r="AU139" s="107"/>
      <c r="AV139" s="107"/>
      <c r="AW139" s="107"/>
      <c r="AX139" s="107"/>
      <c r="AY139" s="107"/>
      <c r="AZ139" s="75"/>
      <c r="BA139" s="75"/>
      <c r="BB139" s="97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7"/>
      <c r="BS139" s="107"/>
      <c r="BT139" s="107"/>
      <c r="BU139" s="107"/>
      <c r="BV139" s="107"/>
      <c r="BW139" s="107"/>
      <c r="BX139" s="75"/>
      <c r="BY139" s="75"/>
      <c r="BZ139" s="75"/>
      <c r="CA139" s="75"/>
      <c r="CB139" s="75"/>
      <c r="CC139" s="75"/>
      <c r="CD139" s="75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</row>
    <row r="140" spans="1:120" x14ac:dyDescent="0.25">
      <c r="A140" s="4"/>
      <c r="D140"/>
      <c r="E140"/>
      <c r="F140"/>
      <c r="J140" s="68" t="str">
        <f t="shared" si="63"/>
        <v/>
      </c>
      <c r="K140" s="68" t="str">
        <f t="shared" si="64"/>
        <v/>
      </c>
      <c r="L140" s="69" t="str">
        <f t="shared" si="65"/>
        <v/>
      </c>
      <c r="M140" s="69" t="str">
        <f t="shared" si="66"/>
        <v/>
      </c>
      <c r="N140" s="69" t="str">
        <f>IF(A140="","",Tabela1[[#This Row],[PTC]]*Tabela1[[#This Row],[ODDC]])</f>
        <v/>
      </c>
      <c r="O140" s="69" t="str">
        <f>IF(A140="","",Tabela1[[#This Row],[PTV]]*Tabela1[[#This Row],[ODDV]])</f>
        <v/>
      </c>
      <c r="P140" s="68" t="str">
        <f t="shared" si="67"/>
        <v/>
      </c>
      <c r="Q140" s="68" t="str">
        <f t="shared" si="68"/>
        <v/>
      </c>
      <c r="R140" s="68" t="str">
        <f t="shared" si="69"/>
        <v/>
      </c>
      <c r="S140" s="68" t="str">
        <f t="shared" si="70"/>
        <v/>
      </c>
      <c r="T140" s="68" t="str">
        <f>IF(A140="","",IF(F140="D",Tabela1[[#This Row],[ODDE]]-1,-1))</f>
        <v/>
      </c>
      <c r="U140" s="70" t="str">
        <f>IF(A140="","",IF(AND(Tabela1[[#This Row],[FTHG]]&gt;3,F140="H"),1,0))</f>
        <v/>
      </c>
      <c r="V140" s="70" t="str">
        <f>IF(A140="","",IF(AND(Tabela1[[#This Row],[FTAG]]&gt;3,F140="A"),1,0))</f>
        <v/>
      </c>
      <c r="W140" s="70" t="str">
        <f t="shared" si="71"/>
        <v/>
      </c>
      <c r="X140" s="70" t="str">
        <f t="shared" si="72"/>
        <v/>
      </c>
      <c r="Y140" s="71" t="str">
        <f t="shared" si="73"/>
        <v/>
      </c>
      <c r="Z140" s="70" t="str">
        <f t="shared" si="74"/>
        <v/>
      </c>
      <c r="AA140" s="70" t="str">
        <f t="shared" si="75"/>
        <v/>
      </c>
      <c r="AB140" s="70" t="str">
        <f t="shared" si="76"/>
        <v/>
      </c>
      <c r="AC140" s="71" t="str">
        <f t="shared" si="77"/>
        <v/>
      </c>
      <c r="AD140" s="72" t="str">
        <f t="shared" si="78"/>
        <v/>
      </c>
      <c r="AE140" s="73" t="str">
        <f>IF(A140="","",COUNT($N$2:N140))</f>
        <v/>
      </c>
      <c r="AF140" s="74" t="str">
        <f t="shared" si="79"/>
        <v/>
      </c>
      <c r="AG140" s="74" t="str">
        <f t="shared" si="80"/>
        <v/>
      </c>
      <c r="AH140" s="74" t="str">
        <f t="shared" si="81"/>
        <v/>
      </c>
      <c r="AI140" s="74" t="str">
        <f t="shared" si="82"/>
        <v/>
      </c>
      <c r="AJ140" s="74" t="str">
        <f t="shared" si="83"/>
        <v/>
      </c>
      <c r="AK140" s="74" t="str">
        <f>IF(A140="","",1/Tabela1[[#This Row],[ODDC]])</f>
        <v/>
      </c>
      <c r="AL140" s="74" t="str">
        <f>IF(A140="","",1/Tabela1[[#This Row],[ODDE]])</f>
        <v/>
      </c>
      <c r="AM140" s="74" t="str">
        <f>IF(A140="","",1/Tabela1[[#This Row],[ODDV]])</f>
        <v/>
      </c>
      <c r="AN140" s="74" t="str">
        <f>IF(A140="","",1-(Tabela1[[#This Row],[p(H)]]+Tabela1[[#This Row],[p(D)]]+Tabela1[[#This Row],[p(A)]]))</f>
        <v/>
      </c>
      <c r="AO140" s="74" t="str">
        <f>IF(A140="","",IFERROR(Tabela1[[#This Row],[p(H)]]/Tabela1[[#This Row],[FTHG]],1))</f>
        <v/>
      </c>
      <c r="AP140" s="74" t="str">
        <f>IF(A140="","",IFERROR(Tabela1[[#This Row],[p(A)]]/Tabela1[[#This Row],[FTAG]],1))</f>
        <v/>
      </c>
      <c r="AQ140" s="107"/>
      <c r="AR140" s="107"/>
      <c r="AS140" s="107"/>
      <c r="AT140" s="107"/>
      <c r="AU140" s="107"/>
      <c r="AV140" s="107"/>
      <c r="AW140" s="107"/>
      <c r="AX140" s="107"/>
      <c r="AY140" s="107"/>
      <c r="AZ140" s="75"/>
      <c r="BA140" s="75"/>
      <c r="BB140" s="97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7"/>
      <c r="BS140" s="107"/>
      <c r="BT140" s="107"/>
      <c r="BU140" s="107"/>
      <c r="BV140" s="107"/>
      <c r="BW140" s="107"/>
      <c r="BX140" s="75"/>
      <c r="BY140" s="75"/>
      <c r="BZ140" s="75"/>
      <c r="CA140" s="75"/>
      <c r="CB140" s="75"/>
      <c r="CC140" s="75"/>
      <c r="CD140" s="75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</row>
    <row r="141" spans="1:120" x14ac:dyDescent="0.25">
      <c r="A141" s="4"/>
      <c r="D141"/>
      <c r="E141"/>
      <c r="F141"/>
      <c r="J141" s="68" t="str">
        <f t="shared" si="63"/>
        <v/>
      </c>
      <c r="K141" s="68" t="str">
        <f t="shared" si="64"/>
        <v/>
      </c>
      <c r="L141" s="69" t="str">
        <f t="shared" si="65"/>
        <v/>
      </c>
      <c r="M141" s="69" t="str">
        <f t="shared" si="66"/>
        <v/>
      </c>
      <c r="N141" s="69" t="str">
        <f>IF(A141="","",Tabela1[[#This Row],[PTC]]*Tabela1[[#This Row],[ODDC]])</f>
        <v/>
      </c>
      <c r="O141" s="69" t="str">
        <f>IF(A141="","",Tabela1[[#This Row],[PTV]]*Tabela1[[#This Row],[ODDV]])</f>
        <v/>
      </c>
      <c r="P141" s="68" t="str">
        <f t="shared" si="67"/>
        <v/>
      </c>
      <c r="Q141" s="68" t="str">
        <f t="shared" si="68"/>
        <v/>
      </c>
      <c r="R141" s="68" t="str">
        <f t="shared" si="69"/>
        <v/>
      </c>
      <c r="S141" s="68" t="str">
        <f t="shared" si="70"/>
        <v/>
      </c>
      <c r="T141" s="68" t="str">
        <f>IF(A141="","",IF(F141="D",Tabela1[[#This Row],[ODDE]]-1,-1))</f>
        <v/>
      </c>
      <c r="U141" s="70" t="str">
        <f>IF(A141="","",IF(AND(Tabela1[[#This Row],[FTHG]]&gt;3,F141="H"),1,0))</f>
        <v/>
      </c>
      <c r="V141" s="70" t="str">
        <f>IF(A141="","",IF(AND(Tabela1[[#This Row],[FTAG]]&gt;3,F141="A"),1,0))</f>
        <v/>
      </c>
      <c r="W141" s="70" t="str">
        <f t="shared" si="71"/>
        <v/>
      </c>
      <c r="X141" s="70" t="str">
        <f t="shared" si="72"/>
        <v/>
      </c>
      <c r="Y141" s="71" t="str">
        <f t="shared" si="73"/>
        <v/>
      </c>
      <c r="Z141" s="70" t="str">
        <f t="shared" si="74"/>
        <v/>
      </c>
      <c r="AA141" s="70" t="str">
        <f t="shared" si="75"/>
        <v/>
      </c>
      <c r="AB141" s="70" t="str">
        <f t="shared" si="76"/>
        <v/>
      </c>
      <c r="AC141" s="71" t="str">
        <f t="shared" si="77"/>
        <v/>
      </c>
      <c r="AD141" s="72" t="str">
        <f t="shared" si="78"/>
        <v/>
      </c>
      <c r="AE141" s="73" t="str">
        <f>IF(A141="","",COUNT($N$2:N141))</f>
        <v/>
      </c>
      <c r="AF141" s="74" t="str">
        <f t="shared" si="79"/>
        <v/>
      </c>
      <c r="AG141" s="74" t="str">
        <f t="shared" si="80"/>
        <v/>
      </c>
      <c r="AH141" s="74" t="str">
        <f t="shared" si="81"/>
        <v/>
      </c>
      <c r="AI141" s="74" t="str">
        <f t="shared" si="82"/>
        <v/>
      </c>
      <c r="AJ141" s="74" t="str">
        <f t="shared" si="83"/>
        <v/>
      </c>
      <c r="AK141" s="74" t="str">
        <f>IF(A141="","",1/Tabela1[[#This Row],[ODDC]])</f>
        <v/>
      </c>
      <c r="AL141" s="74" t="str">
        <f>IF(A141="","",1/Tabela1[[#This Row],[ODDE]])</f>
        <v/>
      </c>
      <c r="AM141" s="74" t="str">
        <f>IF(A141="","",1/Tabela1[[#This Row],[ODDV]])</f>
        <v/>
      </c>
      <c r="AN141" s="74" t="str">
        <f>IF(A141="","",1-(Tabela1[[#This Row],[p(H)]]+Tabela1[[#This Row],[p(D)]]+Tabela1[[#This Row],[p(A)]]))</f>
        <v/>
      </c>
      <c r="AO141" s="74" t="str">
        <f>IF(A141="","",IFERROR(Tabela1[[#This Row],[p(H)]]/Tabela1[[#This Row],[FTHG]],1))</f>
        <v/>
      </c>
      <c r="AP141" s="74" t="str">
        <f>IF(A141="","",IFERROR(Tabela1[[#This Row],[p(A)]]/Tabela1[[#This Row],[FTAG]],1))</f>
        <v/>
      </c>
      <c r="AQ141" s="107"/>
      <c r="AR141" s="107"/>
      <c r="AS141" s="107"/>
      <c r="AT141" s="107"/>
      <c r="AU141" s="107"/>
      <c r="AV141" s="107"/>
      <c r="AW141" s="107"/>
      <c r="AX141" s="107"/>
      <c r="AY141" s="107"/>
      <c r="AZ141" s="75"/>
      <c r="BA141" s="75"/>
      <c r="BB141" s="97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7"/>
      <c r="BS141" s="107"/>
      <c r="BT141" s="107"/>
      <c r="BU141" s="107"/>
      <c r="BV141" s="107"/>
      <c r="BW141" s="107"/>
      <c r="BX141" s="75"/>
      <c r="BY141" s="75"/>
      <c r="BZ141" s="75"/>
      <c r="CA141" s="75"/>
      <c r="CB141" s="75"/>
      <c r="CC141" s="75"/>
      <c r="CD141" s="75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</row>
    <row r="142" spans="1:120" x14ac:dyDescent="0.25">
      <c r="A142" s="4"/>
      <c r="D142"/>
      <c r="E142"/>
      <c r="F142"/>
      <c r="J142" s="68" t="str">
        <f t="shared" si="63"/>
        <v/>
      </c>
      <c r="K142" s="68" t="str">
        <f t="shared" si="64"/>
        <v/>
      </c>
      <c r="L142" s="69" t="str">
        <f t="shared" si="65"/>
        <v/>
      </c>
      <c r="M142" s="69" t="str">
        <f t="shared" si="66"/>
        <v/>
      </c>
      <c r="N142" s="69" t="str">
        <f>IF(A142="","",Tabela1[[#This Row],[PTC]]*Tabela1[[#This Row],[ODDC]])</f>
        <v/>
      </c>
      <c r="O142" s="69" t="str">
        <f>IF(A142="","",Tabela1[[#This Row],[PTV]]*Tabela1[[#This Row],[ODDV]])</f>
        <v/>
      </c>
      <c r="P142" s="68" t="str">
        <f t="shared" si="67"/>
        <v/>
      </c>
      <c r="Q142" s="68" t="str">
        <f t="shared" si="68"/>
        <v/>
      </c>
      <c r="R142" s="68" t="str">
        <f t="shared" si="69"/>
        <v/>
      </c>
      <c r="S142" s="68" t="str">
        <f t="shared" si="70"/>
        <v/>
      </c>
      <c r="T142" s="68" t="str">
        <f>IF(A142="","",IF(F142="D",Tabela1[[#This Row],[ODDE]]-1,-1))</f>
        <v/>
      </c>
      <c r="U142" s="70" t="str">
        <f>IF(A142="","",IF(AND(Tabela1[[#This Row],[FTHG]]&gt;3,F142="H"),1,0))</f>
        <v/>
      </c>
      <c r="V142" s="70" t="str">
        <f>IF(A142="","",IF(AND(Tabela1[[#This Row],[FTAG]]&gt;3,F142="A"),1,0))</f>
        <v/>
      </c>
      <c r="W142" s="70" t="str">
        <f t="shared" si="71"/>
        <v/>
      </c>
      <c r="X142" s="70" t="str">
        <f t="shared" si="72"/>
        <v/>
      </c>
      <c r="Y142" s="71" t="str">
        <f t="shared" si="73"/>
        <v/>
      </c>
      <c r="Z142" s="70" t="str">
        <f t="shared" si="74"/>
        <v/>
      </c>
      <c r="AA142" s="70" t="str">
        <f t="shared" si="75"/>
        <v/>
      </c>
      <c r="AB142" s="70" t="str">
        <f t="shared" si="76"/>
        <v/>
      </c>
      <c r="AC142" s="71" t="str">
        <f t="shared" si="77"/>
        <v/>
      </c>
      <c r="AD142" s="72" t="str">
        <f t="shared" si="78"/>
        <v/>
      </c>
      <c r="AE142" s="73" t="str">
        <f>IF(A142="","",COUNT($N$2:N142))</f>
        <v/>
      </c>
      <c r="AF142" s="74" t="str">
        <f t="shared" si="79"/>
        <v/>
      </c>
      <c r="AG142" s="74" t="str">
        <f t="shared" si="80"/>
        <v/>
      </c>
      <c r="AH142" s="74" t="str">
        <f t="shared" si="81"/>
        <v/>
      </c>
      <c r="AI142" s="74" t="str">
        <f t="shared" si="82"/>
        <v/>
      </c>
      <c r="AJ142" s="74" t="str">
        <f t="shared" si="83"/>
        <v/>
      </c>
      <c r="AK142" s="74" t="str">
        <f>IF(A142="","",1/Tabela1[[#This Row],[ODDC]])</f>
        <v/>
      </c>
      <c r="AL142" s="74" t="str">
        <f>IF(A142="","",1/Tabela1[[#This Row],[ODDE]])</f>
        <v/>
      </c>
      <c r="AM142" s="74" t="str">
        <f>IF(A142="","",1/Tabela1[[#This Row],[ODDV]])</f>
        <v/>
      </c>
      <c r="AN142" s="74" t="str">
        <f>IF(A142="","",1-(Tabela1[[#This Row],[p(H)]]+Tabela1[[#This Row],[p(D)]]+Tabela1[[#This Row],[p(A)]]))</f>
        <v/>
      </c>
      <c r="AO142" s="74" t="str">
        <f>IF(A142="","",IFERROR(Tabela1[[#This Row],[p(H)]]/Tabela1[[#This Row],[FTHG]],1))</f>
        <v/>
      </c>
      <c r="AP142" s="74" t="str">
        <f>IF(A142="","",IFERROR(Tabela1[[#This Row],[p(A)]]/Tabela1[[#This Row],[FTAG]],1))</f>
        <v/>
      </c>
      <c r="AQ142" s="107"/>
      <c r="AR142" s="107"/>
      <c r="AS142" s="107"/>
      <c r="AT142" s="107"/>
      <c r="AU142" s="107"/>
      <c r="AV142" s="107"/>
      <c r="AW142" s="107"/>
      <c r="AX142" s="107"/>
      <c r="AY142" s="107"/>
      <c r="AZ142" s="75"/>
      <c r="BA142" s="75"/>
      <c r="BB142" s="97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7"/>
      <c r="BS142" s="107"/>
      <c r="BT142" s="107"/>
      <c r="BU142" s="107"/>
      <c r="BV142" s="107"/>
      <c r="BW142" s="107"/>
      <c r="BX142" s="75"/>
      <c r="BY142" s="75"/>
      <c r="BZ142" s="75"/>
      <c r="CA142" s="75"/>
      <c r="CB142" s="75"/>
      <c r="CC142" s="75"/>
      <c r="CD142" s="75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</row>
    <row r="143" spans="1:120" x14ac:dyDescent="0.25">
      <c r="A143" s="4"/>
      <c r="D143"/>
      <c r="E143"/>
      <c r="F143"/>
      <c r="J143" s="68" t="str">
        <f t="shared" si="63"/>
        <v/>
      </c>
      <c r="K143" s="68" t="str">
        <f t="shared" si="64"/>
        <v/>
      </c>
      <c r="L143" s="69" t="str">
        <f t="shared" si="65"/>
        <v/>
      </c>
      <c r="M143" s="69" t="str">
        <f t="shared" si="66"/>
        <v/>
      </c>
      <c r="N143" s="69" t="str">
        <f>IF(A143="","",Tabela1[[#This Row],[PTC]]*Tabela1[[#This Row],[ODDC]])</f>
        <v/>
      </c>
      <c r="O143" s="69" t="str">
        <f>IF(A143="","",Tabela1[[#This Row],[PTV]]*Tabela1[[#This Row],[ODDV]])</f>
        <v/>
      </c>
      <c r="P143" s="68" t="str">
        <f t="shared" si="67"/>
        <v/>
      </c>
      <c r="Q143" s="68" t="str">
        <f t="shared" si="68"/>
        <v/>
      </c>
      <c r="R143" s="68" t="str">
        <f t="shared" si="69"/>
        <v/>
      </c>
      <c r="S143" s="68" t="str">
        <f t="shared" si="70"/>
        <v/>
      </c>
      <c r="T143" s="68" t="str">
        <f>IF(A143="","",IF(F143="D",Tabela1[[#This Row],[ODDE]]-1,-1))</f>
        <v/>
      </c>
      <c r="U143" s="70" t="str">
        <f>IF(A143="","",IF(AND(Tabela1[[#This Row],[FTHG]]&gt;3,F143="H"),1,0))</f>
        <v/>
      </c>
      <c r="V143" s="70" t="str">
        <f>IF(A143="","",IF(AND(Tabela1[[#This Row],[FTAG]]&gt;3,F143="A"),1,0))</f>
        <v/>
      </c>
      <c r="W143" s="70" t="str">
        <f t="shared" si="71"/>
        <v/>
      </c>
      <c r="X143" s="70" t="str">
        <f t="shared" si="72"/>
        <v/>
      </c>
      <c r="Y143" s="71" t="str">
        <f t="shared" si="73"/>
        <v/>
      </c>
      <c r="Z143" s="70" t="str">
        <f t="shared" si="74"/>
        <v/>
      </c>
      <c r="AA143" s="70" t="str">
        <f t="shared" si="75"/>
        <v/>
      </c>
      <c r="AB143" s="70" t="str">
        <f t="shared" si="76"/>
        <v/>
      </c>
      <c r="AC143" s="71" t="str">
        <f t="shared" si="77"/>
        <v/>
      </c>
      <c r="AD143" s="72" t="str">
        <f t="shared" si="78"/>
        <v/>
      </c>
      <c r="AE143" s="73" t="str">
        <f>IF(A143="","",COUNT($N$2:N143))</f>
        <v/>
      </c>
      <c r="AF143" s="74" t="str">
        <f t="shared" si="79"/>
        <v/>
      </c>
      <c r="AG143" s="74" t="str">
        <f t="shared" si="80"/>
        <v/>
      </c>
      <c r="AH143" s="74" t="str">
        <f t="shared" si="81"/>
        <v/>
      </c>
      <c r="AI143" s="74" t="str">
        <f t="shared" si="82"/>
        <v/>
      </c>
      <c r="AJ143" s="74" t="str">
        <f t="shared" si="83"/>
        <v/>
      </c>
      <c r="AK143" s="74" t="str">
        <f>IF(A143="","",1/Tabela1[[#This Row],[ODDC]])</f>
        <v/>
      </c>
      <c r="AL143" s="74" t="str">
        <f>IF(A143="","",1/Tabela1[[#This Row],[ODDE]])</f>
        <v/>
      </c>
      <c r="AM143" s="74" t="str">
        <f>IF(A143="","",1/Tabela1[[#This Row],[ODDV]])</f>
        <v/>
      </c>
      <c r="AN143" s="74" t="str">
        <f>IF(A143="","",1-(Tabela1[[#This Row],[p(H)]]+Tabela1[[#This Row],[p(D)]]+Tabela1[[#This Row],[p(A)]]))</f>
        <v/>
      </c>
      <c r="AO143" s="74" t="str">
        <f>IF(A143="","",IFERROR(Tabela1[[#This Row],[p(H)]]/Tabela1[[#This Row],[FTHG]],1))</f>
        <v/>
      </c>
      <c r="AP143" s="74" t="str">
        <f>IF(A143="","",IFERROR(Tabela1[[#This Row],[p(A)]]/Tabela1[[#This Row],[FTAG]],1))</f>
        <v/>
      </c>
      <c r="AQ143" s="107"/>
      <c r="AR143" s="107"/>
      <c r="AS143" s="107"/>
      <c r="AT143" s="107"/>
      <c r="AU143" s="107"/>
      <c r="AV143" s="107"/>
      <c r="AW143" s="107"/>
      <c r="AX143" s="107"/>
      <c r="AY143" s="107"/>
      <c r="AZ143" s="75"/>
      <c r="BA143" s="75"/>
      <c r="BB143" s="97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7"/>
      <c r="BS143" s="107"/>
      <c r="BT143" s="107"/>
      <c r="BU143" s="107"/>
      <c r="BV143" s="107"/>
      <c r="BW143" s="107"/>
      <c r="BX143" s="75"/>
      <c r="BY143" s="75"/>
      <c r="BZ143" s="75"/>
      <c r="CA143" s="75"/>
      <c r="CB143" s="75"/>
      <c r="CC143" s="75"/>
      <c r="CD143" s="75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</row>
    <row r="144" spans="1:120" x14ac:dyDescent="0.25">
      <c r="A144" s="4"/>
      <c r="D144"/>
      <c r="E144"/>
      <c r="F144"/>
      <c r="J144" s="68" t="str">
        <f t="shared" si="63"/>
        <v/>
      </c>
      <c r="K144" s="68" t="str">
        <f t="shared" si="64"/>
        <v/>
      </c>
      <c r="L144" s="69" t="str">
        <f t="shared" si="65"/>
        <v/>
      </c>
      <c r="M144" s="69" t="str">
        <f t="shared" si="66"/>
        <v/>
      </c>
      <c r="N144" s="69" t="str">
        <f>IF(A144="","",Tabela1[[#This Row],[PTC]]*Tabela1[[#This Row],[ODDC]])</f>
        <v/>
      </c>
      <c r="O144" s="69" t="str">
        <f>IF(A144="","",Tabela1[[#This Row],[PTV]]*Tabela1[[#This Row],[ODDV]])</f>
        <v/>
      </c>
      <c r="P144" s="68" t="str">
        <f t="shared" si="67"/>
        <v/>
      </c>
      <c r="Q144" s="68" t="str">
        <f t="shared" si="68"/>
        <v/>
      </c>
      <c r="R144" s="68" t="str">
        <f t="shared" si="69"/>
        <v/>
      </c>
      <c r="S144" s="68" t="str">
        <f t="shared" si="70"/>
        <v/>
      </c>
      <c r="T144" s="68" t="str">
        <f>IF(A144="","",IF(F144="D",Tabela1[[#This Row],[ODDE]]-1,-1))</f>
        <v/>
      </c>
      <c r="U144" s="70" t="str">
        <f>IF(A144="","",IF(AND(Tabela1[[#This Row],[FTHG]]&gt;3,F144="H"),1,0))</f>
        <v/>
      </c>
      <c r="V144" s="70" t="str">
        <f>IF(A144="","",IF(AND(Tabela1[[#This Row],[FTAG]]&gt;3,F144="A"),1,0))</f>
        <v/>
      </c>
      <c r="W144" s="70" t="str">
        <f t="shared" si="71"/>
        <v/>
      </c>
      <c r="X144" s="70" t="str">
        <f t="shared" si="72"/>
        <v/>
      </c>
      <c r="Y144" s="71" t="str">
        <f t="shared" si="73"/>
        <v/>
      </c>
      <c r="Z144" s="70" t="str">
        <f t="shared" si="74"/>
        <v/>
      </c>
      <c r="AA144" s="70" t="str">
        <f t="shared" si="75"/>
        <v/>
      </c>
      <c r="AB144" s="70" t="str">
        <f t="shared" si="76"/>
        <v/>
      </c>
      <c r="AC144" s="71" t="str">
        <f t="shared" si="77"/>
        <v/>
      </c>
      <c r="AD144" s="72" t="str">
        <f t="shared" si="78"/>
        <v/>
      </c>
      <c r="AE144" s="73" t="str">
        <f>IF(A144="","",COUNT($N$2:N144))</f>
        <v/>
      </c>
      <c r="AF144" s="74" t="str">
        <f t="shared" si="79"/>
        <v/>
      </c>
      <c r="AG144" s="74" t="str">
        <f t="shared" si="80"/>
        <v/>
      </c>
      <c r="AH144" s="74" t="str">
        <f t="shared" si="81"/>
        <v/>
      </c>
      <c r="AI144" s="74" t="str">
        <f t="shared" si="82"/>
        <v/>
      </c>
      <c r="AJ144" s="74" t="str">
        <f t="shared" si="83"/>
        <v/>
      </c>
      <c r="AK144" s="74" t="str">
        <f>IF(A144="","",1/Tabela1[[#This Row],[ODDC]])</f>
        <v/>
      </c>
      <c r="AL144" s="74" t="str">
        <f>IF(A144="","",1/Tabela1[[#This Row],[ODDE]])</f>
        <v/>
      </c>
      <c r="AM144" s="74" t="str">
        <f>IF(A144="","",1/Tabela1[[#This Row],[ODDV]])</f>
        <v/>
      </c>
      <c r="AN144" s="74" t="str">
        <f>IF(A144="","",1-(Tabela1[[#This Row],[p(H)]]+Tabela1[[#This Row],[p(D)]]+Tabela1[[#This Row],[p(A)]]))</f>
        <v/>
      </c>
      <c r="AO144" s="74" t="str">
        <f>IF(A144="","",IFERROR(Tabela1[[#This Row],[p(H)]]/Tabela1[[#This Row],[FTHG]],1))</f>
        <v/>
      </c>
      <c r="AP144" s="74" t="str">
        <f>IF(A144="","",IFERROR(Tabela1[[#This Row],[p(A)]]/Tabela1[[#This Row],[FTAG]],1))</f>
        <v/>
      </c>
      <c r="AQ144" s="107"/>
      <c r="AR144" s="107"/>
      <c r="AS144" s="107"/>
      <c r="AT144" s="107"/>
      <c r="AU144" s="107"/>
      <c r="AV144" s="107"/>
      <c r="AW144" s="107"/>
      <c r="AX144" s="107"/>
      <c r="AY144" s="107"/>
      <c r="AZ144" s="75"/>
      <c r="BA144" s="75"/>
      <c r="BB144" s="97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7"/>
      <c r="BS144" s="107"/>
      <c r="BT144" s="107"/>
      <c r="BU144" s="107"/>
      <c r="BV144" s="107"/>
      <c r="BW144" s="107"/>
      <c r="BX144" s="75"/>
      <c r="BY144" s="75"/>
      <c r="BZ144" s="75"/>
      <c r="CA144" s="75"/>
      <c r="CB144" s="75"/>
      <c r="CC144" s="75"/>
      <c r="CD144" s="75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  <c r="DH144" s="102"/>
      <c r="DI144" s="102"/>
      <c r="DJ144" s="102"/>
      <c r="DK144" s="102"/>
      <c r="DL144" s="102"/>
      <c r="DM144" s="102"/>
      <c r="DN144" s="102"/>
      <c r="DO144" s="102"/>
      <c r="DP144" s="102"/>
    </row>
    <row r="145" spans="1:120" x14ac:dyDescent="0.25">
      <c r="A145" s="4"/>
      <c r="D145"/>
      <c r="E145"/>
      <c r="F145"/>
      <c r="J145" s="68" t="str">
        <f t="shared" si="63"/>
        <v/>
      </c>
      <c r="K145" s="68" t="str">
        <f t="shared" si="64"/>
        <v/>
      </c>
      <c r="L145" s="69" t="str">
        <f t="shared" si="65"/>
        <v/>
      </c>
      <c r="M145" s="69" t="str">
        <f t="shared" si="66"/>
        <v/>
      </c>
      <c r="N145" s="69" t="str">
        <f>IF(A145="","",Tabela1[[#This Row],[PTC]]*Tabela1[[#This Row],[ODDC]])</f>
        <v/>
      </c>
      <c r="O145" s="69" t="str">
        <f>IF(A145="","",Tabela1[[#This Row],[PTV]]*Tabela1[[#This Row],[ODDV]])</f>
        <v/>
      </c>
      <c r="P145" s="68" t="str">
        <f t="shared" si="67"/>
        <v/>
      </c>
      <c r="Q145" s="68" t="str">
        <f t="shared" si="68"/>
        <v/>
      </c>
      <c r="R145" s="68" t="str">
        <f t="shared" si="69"/>
        <v/>
      </c>
      <c r="S145" s="68" t="str">
        <f t="shared" si="70"/>
        <v/>
      </c>
      <c r="T145" s="68" t="str">
        <f>IF(A145="","",IF(F145="D",Tabela1[[#This Row],[ODDE]]-1,-1))</f>
        <v/>
      </c>
      <c r="U145" s="70" t="str">
        <f>IF(A145="","",IF(AND(Tabela1[[#This Row],[FTHG]]&gt;3,F145="H"),1,0))</f>
        <v/>
      </c>
      <c r="V145" s="70" t="str">
        <f>IF(A145="","",IF(AND(Tabela1[[#This Row],[FTAG]]&gt;3,F145="A"),1,0))</f>
        <v/>
      </c>
      <c r="W145" s="70" t="str">
        <f t="shared" si="71"/>
        <v/>
      </c>
      <c r="X145" s="70" t="str">
        <f t="shared" si="72"/>
        <v/>
      </c>
      <c r="Y145" s="71" t="str">
        <f t="shared" si="73"/>
        <v/>
      </c>
      <c r="Z145" s="70" t="str">
        <f t="shared" si="74"/>
        <v/>
      </c>
      <c r="AA145" s="70" t="str">
        <f t="shared" si="75"/>
        <v/>
      </c>
      <c r="AB145" s="70" t="str">
        <f t="shared" si="76"/>
        <v/>
      </c>
      <c r="AC145" s="71" t="str">
        <f t="shared" si="77"/>
        <v/>
      </c>
      <c r="AD145" s="72" t="str">
        <f t="shared" si="78"/>
        <v/>
      </c>
      <c r="AE145" s="73" t="str">
        <f>IF(A145="","",COUNT($N$2:N145))</f>
        <v/>
      </c>
      <c r="AF145" s="74" t="str">
        <f t="shared" si="79"/>
        <v/>
      </c>
      <c r="AG145" s="74" t="str">
        <f t="shared" si="80"/>
        <v/>
      </c>
      <c r="AH145" s="74" t="str">
        <f t="shared" si="81"/>
        <v/>
      </c>
      <c r="AI145" s="74" t="str">
        <f t="shared" si="82"/>
        <v/>
      </c>
      <c r="AJ145" s="74" t="str">
        <f t="shared" si="83"/>
        <v/>
      </c>
      <c r="AK145" s="74" t="str">
        <f>IF(A145="","",1/Tabela1[[#This Row],[ODDC]])</f>
        <v/>
      </c>
      <c r="AL145" s="74" t="str">
        <f>IF(A145="","",1/Tabela1[[#This Row],[ODDE]])</f>
        <v/>
      </c>
      <c r="AM145" s="74" t="str">
        <f>IF(A145="","",1/Tabela1[[#This Row],[ODDV]])</f>
        <v/>
      </c>
      <c r="AN145" s="74" t="str">
        <f>IF(A145="","",1-(Tabela1[[#This Row],[p(H)]]+Tabela1[[#This Row],[p(D)]]+Tabela1[[#This Row],[p(A)]]))</f>
        <v/>
      </c>
      <c r="AO145" s="74" t="str">
        <f>IF(A145="","",IFERROR(Tabela1[[#This Row],[p(H)]]/Tabela1[[#This Row],[FTHG]],1))</f>
        <v/>
      </c>
      <c r="AP145" s="74" t="str">
        <f>IF(A145="","",IFERROR(Tabela1[[#This Row],[p(A)]]/Tabela1[[#This Row],[FTAG]],1))</f>
        <v/>
      </c>
      <c r="AQ145" s="107"/>
      <c r="AR145" s="107"/>
      <c r="AS145" s="107"/>
      <c r="AT145" s="107"/>
      <c r="AU145" s="107"/>
      <c r="AV145" s="107"/>
      <c r="AW145" s="107"/>
      <c r="AX145" s="107"/>
      <c r="AY145" s="107"/>
      <c r="AZ145" s="75"/>
      <c r="BA145" s="75"/>
      <c r="BB145" s="97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7"/>
      <c r="BS145" s="107"/>
      <c r="BT145" s="107"/>
      <c r="BU145" s="107"/>
      <c r="BV145" s="107"/>
      <c r="BW145" s="107"/>
      <c r="BX145" s="75"/>
      <c r="BY145" s="75"/>
      <c r="BZ145" s="75"/>
      <c r="CA145" s="75"/>
      <c r="CB145" s="75"/>
      <c r="CC145" s="75"/>
      <c r="CD145" s="75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  <c r="DH145" s="102"/>
      <c r="DI145" s="102"/>
      <c r="DJ145" s="102"/>
      <c r="DK145" s="102"/>
      <c r="DL145" s="102"/>
      <c r="DM145" s="102"/>
      <c r="DN145" s="102"/>
      <c r="DO145" s="102"/>
      <c r="DP145" s="102"/>
    </row>
    <row r="146" spans="1:120" x14ac:dyDescent="0.25">
      <c r="A146" s="4"/>
      <c r="D146"/>
      <c r="E146"/>
      <c r="F146"/>
      <c r="J146" s="68" t="str">
        <f t="shared" si="63"/>
        <v/>
      </c>
      <c r="K146" s="68" t="str">
        <f t="shared" si="64"/>
        <v/>
      </c>
      <c r="L146" s="69" t="str">
        <f t="shared" si="65"/>
        <v/>
      </c>
      <c r="M146" s="69" t="str">
        <f t="shared" si="66"/>
        <v/>
      </c>
      <c r="N146" s="69" t="str">
        <f>IF(A146="","",Tabela1[[#This Row],[PTC]]*Tabela1[[#This Row],[ODDC]])</f>
        <v/>
      </c>
      <c r="O146" s="69" t="str">
        <f>IF(A146="","",Tabela1[[#This Row],[PTV]]*Tabela1[[#This Row],[ODDV]])</f>
        <v/>
      </c>
      <c r="P146" s="68" t="str">
        <f t="shared" si="67"/>
        <v/>
      </c>
      <c r="Q146" s="68" t="str">
        <f t="shared" si="68"/>
        <v/>
      </c>
      <c r="R146" s="68" t="str">
        <f t="shared" si="69"/>
        <v/>
      </c>
      <c r="S146" s="68" t="str">
        <f t="shared" si="70"/>
        <v/>
      </c>
      <c r="T146" s="68" t="str">
        <f>IF(A146="","",IF(F146="D",Tabela1[[#This Row],[ODDE]]-1,-1))</f>
        <v/>
      </c>
      <c r="U146" s="70" t="str">
        <f>IF(A146="","",IF(AND(Tabela1[[#This Row],[FTHG]]&gt;3,F146="H"),1,0))</f>
        <v/>
      </c>
      <c r="V146" s="70" t="str">
        <f>IF(A146="","",IF(AND(Tabela1[[#This Row],[FTAG]]&gt;3,F146="A"),1,0))</f>
        <v/>
      </c>
      <c r="W146" s="70" t="str">
        <f t="shared" si="71"/>
        <v/>
      </c>
      <c r="X146" s="70" t="str">
        <f t="shared" si="72"/>
        <v/>
      </c>
      <c r="Y146" s="71" t="str">
        <f t="shared" si="73"/>
        <v/>
      </c>
      <c r="Z146" s="70" t="str">
        <f t="shared" si="74"/>
        <v/>
      </c>
      <c r="AA146" s="70" t="str">
        <f t="shared" si="75"/>
        <v/>
      </c>
      <c r="AB146" s="70" t="str">
        <f t="shared" si="76"/>
        <v/>
      </c>
      <c r="AC146" s="71" t="str">
        <f t="shared" si="77"/>
        <v/>
      </c>
      <c r="AD146" s="72" t="str">
        <f t="shared" si="78"/>
        <v/>
      </c>
      <c r="AE146" s="73" t="str">
        <f>IF(A146="","",COUNT($N$2:N146))</f>
        <v/>
      </c>
      <c r="AF146" s="74" t="str">
        <f t="shared" si="79"/>
        <v/>
      </c>
      <c r="AG146" s="74" t="str">
        <f t="shared" si="80"/>
        <v/>
      </c>
      <c r="AH146" s="74" t="str">
        <f t="shared" si="81"/>
        <v/>
      </c>
      <c r="AI146" s="74" t="str">
        <f t="shared" si="82"/>
        <v/>
      </c>
      <c r="AJ146" s="74" t="str">
        <f t="shared" si="83"/>
        <v/>
      </c>
      <c r="AK146" s="74" t="str">
        <f>IF(A146="","",1/Tabela1[[#This Row],[ODDC]])</f>
        <v/>
      </c>
      <c r="AL146" s="74" t="str">
        <f>IF(A146="","",1/Tabela1[[#This Row],[ODDE]])</f>
        <v/>
      </c>
      <c r="AM146" s="74" t="str">
        <f>IF(A146="","",1/Tabela1[[#This Row],[ODDV]])</f>
        <v/>
      </c>
      <c r="AN146" s="74" t="str">
        <f>IF(A146="","",1-(Tabela1[[#This Row],[p(H)]]+Tabela1[[#This Row],[p(D)]]+Tabela1[[#This Row],[p(A)]]))</f>
        <v/>
      </c>
      <c r="AO146" s="74" t="str">
        <f>IF(A146="","",IFERROR(Tabela1[[#This Row],[p(H)]]/Tabela1[[#This Row],[FTHG]],1))</f>
        <v/>
      </c>
      <c r="AP146" s="74" t="str">
        <f>IF(A146="","",IFERROR(Tabela1[[#This Row],[p(A)]]/Tabela1[[#This Row],[FTAG]],1))</f>
        <v/>
      </c>
      <c r="AQ146" s="107"/>
      <c r="AR146" s="107"/>
      <c r="AS146" s="107"/>
      <c r="AT146" s="107"/>
      <c r="AU146" s="107"/>
      <c r="AV146" s="107"/>
      <c r="AW146" s="107"/>
      <c r="AX146" s="107"/>
      <c r="AY146" s="107"/>
      <c r="AZ146" s="75"/>
      <c r="BA146" s="75"/>
      <c r="BB146" s="97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7"/>
      <c r="BS146" s="107"/>
      <c r="BT146" s="107"/>
      <c r="BU146" s="107"/>
      <c r="BV146" s="107"/>
      <c r="BW146" s="107"/>
      <c r="BX146" s="75"/>
      <c r="BY146" s="75"/>
      <c r="BZ146" s="75"/>
      <c r="CA146" s="75"/>
      <c r="CB146" s="75"/>
      <c r="CC146" s="75"/>
      <c r="CD146" s="75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  <c r="DH146" s="102"/>
      <c r="DI146" s="102"/>
      <c r="DJ146" s="102"/>
      <c r="DK146" s="102"/>
      <c r="DL146" s="102"/>
      <c r="DM146" s="102"/>
      <c r="DN146" s="102"/>
      <c r="DO146" s="102"/>
      <c r="DP146" s="102"/>
    </row>
    <row r="147" spans="1:120" x14ac:dyDescent="0.25">
      <c r="A147" s="4"/>
      <c r="D147"/>
      <c r="E147"/>
      <c r="F147"/>
      <c r="J147" s="68" t="str">
        <f t="shared" si="63"/>
        <v/>
      </c>
      <c r="K147" s="68" t="str">
        <f t="shared" si="64"/>
        <v/>
      </c>
      <c r="L147" s="69" t="str">
        <f t="shared" si="65"/>
        <v/>
      </c>
      <c r="M147" s="69" t="str">
        <f t="shared" si="66"/>
        <v/>
      </c>
      <c r="N147" s="69" t="str">
        <f>IF(A147="","",Tabela1[[#This Row],[PTC]]*Tabela1[[#This Row],[ODDC]])</f>
        <v/>
      </c>
      <c r="O147" s="69" t="str">
        <f>IF(A147="","",Tabela1[[#This Row],[PTV]]*Tabela1[[#This Row],[ODDV]])</f>
        <v/>
      </c>
      <c r="P147" s="68" t="str">
        <f t="shared" si="67"/>
        <v/>
      </c>
      <c r="Q147" s="68" t="str">
        <f t="shared" si="68"/>
        <v/>
      </c>
      <c r="R147" s="68" t="str">
        <f t="shared" si="69"/>
        <v/>
      </c>
      <c r="S147" s="68" t="str">
        <f t="shared" si="70"/>
        <v/>
      </c>
      <c r="T147" s="68" t="str">
        <f>IF(A147="","",IF(F147="D",Tabela1[[#This Row],[ODDE]]-1,-1))</f>
        <v/>
      </c>
      <c r="U147" s="70" t="str">
        <f>IF(A147="","",IF(AND(Tabela1[[#This Row],[FTHG]]&gt;3,F147="H"),1,0))</f>
        <v/>
      </c>
      <c r="V147" s="70" t="str">
        <f>IF(A147="","",IF(AND(Tabela1[[#This Row],[FTAG]]&gt;3,F147="A"),1,0))</f>
        <v/>
      </c>
      <c r="W147" s="70" t="str">
        <f t="shared" si="71"/>
        <v/>
      </c>
      <c r="X147" s="70" t="str">
        <f t="shared" si="72"/>
        <v/>
      </c>
      <c r="Y147" s="71" t="str">
        <f t="shared" si="73"/>
        <v/>
      </c>
      <c r="Z147" s="70" t="str">
        <f t="shared" si="74"/>
        <v/>
      </c>
      <c r="AA147" s="70" t="str">
        <f t="shared" si="75"/>
        <v/>
      </c>
      <c r="AB147" s="70" t="str">
        <f t="shared" si="76"/>
        <v/>
      </c>
      <c r="AC147" s="71" t="str">
        <f t="shared" si="77"/>
        <v/>
      </c>
      <c r="AD147" s="72" t="str">
        <f t="shared" si="78"/>
        <v/>
      </c>
      <c r="AE147" s="73" t="str">
        <f>IF(A147="","",COUNT($N$2:N147))</f>
        <v/>
      </c>
      <c r="AF147" s="74" t="str">
        <f t="shared" si="79"/>
        <v/>
      </c>
      <c r="AG147" s="74" t="str">
        <f t="shared" si="80"/>
        <v/>
      </c>
      <c r="AH147" s="74" t="str">
        <f t="shared" si="81"/>
        <v/>
      </c>
      <c r="AI147" s="74" t="str">
        <f t="shared" si="82"/>
        <v/>
      </c>
      <c r="AJ147" s="74" t="str">
        <f t="shared" si="83"/>
        <v/>
      </c>
      <c r="AK147" s="74" t="str">
        <f>IF(A147="","",1/Tabela1[[#This Row],[ODDC]])</f>
        <v/>
      </c>
      <c r="AL147" s="74" t="str">
        <f>IF(A147="","",1/Tabela1[[#This Row],[ODDE]])</f>
        <v/>
      </c>
      <c r="AM147" s="74" t="str">
        <f>IF(A147="","",1/Tabela1[[#This Row],[ODDV]])</f>
        <v/>
      </c>
      <c r="AN147" s="74" t="str">
        <f>IF(A147="","",1-(Tabela1[[#This Row],[p(H)]]+Tabela1[[#This Row],[p(D)]]+Tabela1[[#This Row],[p(A)]]))</f>
        <v/>
      </c>
      <c r="AO147" s="74" t="str">
        <f>IF(A147="","",IFERROR(Tabela1[[#This Row],[p(H)]]/Tabela1[[#This Row],[FTHG]],1))</f>
        <v/>
      </c>
      <c r="AP147" s="74" t="str">
        <f>IF(A147="","",IFERROR(Tabela1[[#This Row],[p(A)]]/Tabela1[[#This Row],[FTAG]],1))</f>
        <v/>
      </c>
      <c r="AQ147" s="107"/>
      <c r="AR147" s="107"/>
      <c r="AS147" s="107"/>
      <c r="AT147" s="107"/>
      <c r="AU147" s="107"/>
      <c r="AV147" s="107"/>
      <c r="AW147" s="107"/>
      <c r="AX147" s="107"/>
      <c r="AY147" s="107"/>
      <c r="AZ147" s="75"/>
      <c r="BA147" s="75"/>
      <c r="BB147" s="97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7"/>
      <c r="BS147" s="107"/>
      <c r="BT147" s="107"/>
      <c r="BU147" s="107"/>
      <c r="BV147" s="107"/>
      <c r="BW147" s="107"/>
      <c r="BX147" s="75"/>
      <c r="BY147" s="75"/>
      <c r="BZ147" s="75"/>
      <c r="CA147" s="75"/>
      <c r="CB147" s="75"/>
      <c r="CC147" s="75"/>
      <c r="CD147" s="75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  <c r="DH147" s="102"/>
      <c r="DI147" s="102"/>
      <c r="DJ147" s="102"/>
      <c r="DK147" s="102"/>
      <c r="DL147" s="102"/>
      <c r="DM147" s="102"/>
      <c r="DN147" s="102"/>
      <c r="DO147" s="102"/>
      <c r="DP147" s="102"/>
    </row>
    <row r="148" spans="1:120" x14ac:dyDescent="0.25">
      <c r="A148" s="4"/>
      <c r="D148"/>
      <c r="E148"/>
      <c r="F148"/>
      <c r="J148" s="68" t="str">
        <f t="shared" si="63"/>
        <v/>
      </c>
      <c r="K148" s="68" t="str">
        <f t="shared" si="64"/>
        <v/>
      </c>
      <c r="L148" s="69" t="str">
        <f t="shared" si="65"/>
        <v/>
      </c>
      <c r="M148" s="69" t="str">
        <f t="shared" si="66"/>
        <v/>
      </c>
      <c r="N148" s="69" t="str">
        <f>IF(A148="","",Tabela1[[#This Row],[PTC]]*Tabela1[[#This Row],[ODDC]])</f>
        <v/>
      </c>
      <c r="O148" s="69" t="str">
        <f>IF(A148="","",Tabela1[[#This Row],[PTV]]*Tabela1[[#This Row],[ODDV]])</f>
        <v/>
      </c>
      <c r="P148" s="68" t="str">
        <f t="shared" si="67"/>
        <v/>
      </c>
      <c r="Q148" s="68" t="str">
        <f t="shared" si="68"/>
        <v/>
      </c>
      <c r="R148" s="68" t="str">
        <f t="shared" si="69"/>
        <v/>
      </c>
      <c r="S148" s="68" t="str">
        <f t="shared" si="70"/>
        <v/>
      </c>
      <c r="T148" s="68" t="str">
        <f>IF(A148="","",IF(F148="D",Tabela1[[#This Row],[ODDE]]-1,-1))</f>
        <v/>
      </c>
      <c r="U148" s="70" t="str">
        <f>IF(A148="","",IF(AND(Tabela1[[#This Row],[FTHG]]&gt;3,F148="H"),1,0))</f>
        <v/>
      </c>
      <c r="V148" s="70" t="str">
        <f>IF(A148="","",IF(AND(Tabela1[[#This Row],[FTAG]]&gt;3,F148="A"),1,0))</f>
        <v/>
      </c>
      <c r="W148" s="70" t="str">
        <f t="shared" si="71"/>
        <v/>
      </c>
      <c r="X148" s="70" t="str">
        <f t="shared" si="72"/>
        <v/>
      </c>
      <c r="Y148" s="71" t="str">
        <f t="shared" si="73"/>
        <v/>
      </c>
      <c r="Z148" s="70" t="str">
        <f t="shared" si="74"/>
        <v/>
      </c>
      <c r="AA148" s="70" t="str">
        <f t="shared" si="75"/>
        <v/>
      </c>
      <c r="AB148" s="70" t="str">
        <f t="shared" si="76"/>
        <v/>
      </c>
      <c r="AC148" s="71" t="str">
        <f t="shared" si="77"/>
        <v/>
      </c>
      <c r="AD148" s="72" t="str">
        <f t="shared" si="78"/>
        <v/>
      </c>
      <c r="AE148" s="73" t="str">
        <f>IF(A148="","",COUNT($N$2:N148))</f>
        <v/>
      </c>
      <c r="AF148" s="74" t="str">
        <f t="shared" si="79"/>
        <v/>
      </c>
      <c r="AG148" s="74" t="str">
        <f t="shared" si="80"/>
        <v/>
      </c>
      <c r="AH148" s="74" t="str">
        <f t="shared" si="81"/>
        <v/>
      </c>
      <c r="AI148" s="74" t="str">
        <f t="shared" si="82"/>
        <v/>
      </c>
      <c r="AJ148" s="74" t="str">
        <f t="shared" si="83"/>
        <v/>
      </c>
      <c r="AK148" s="74" t="str">
        <f>IF(A148="","",1/Tabela1[[#This Row],[ODDC]])</f>
        <v/>
      </c>
      <c r="AL148" s="74" t="str">
        <f>IF(A148="","",1/Tabela1[[#This Row],[ODDE]])</f>
        <v/>
      </c>
      <c r="AM148" s="74" t="str">
        <f>IF(A148="","",1/Tabela1[[#This Row],[ODDV]])</f>
        <v/>
      </c>
      <c r="AN148" s="74" t="str">
        <f>IF(A148="","",1-(Tabela1[[#This Row],[p(H)]]+Tabela1[[#This Row],[p(D)]]+Tabela1[[#This Row],[p(A)]]))</f>
        <v/>
      </c>
      <c r="AO148" s="74" t="str">
        <f>IF(A148="","",IFERROR(Tabela1[[#This Row],[p(H)]]/Tabela1[[#This Row],[FTHG]],1))</f>
        <v/>
      </c>
      <c r="AP148" s="74" t="str">
        <f>IF(A148="","",IFERROR(Tabela1[[#This Row],[p(A)]]/Tabela1[[#This Row],[FTAG]],1))</f>
        <v/>
      </c>
      <c r="AQ148" s="107"/>
      <c r="AR148" s="107"/>
      <c r="AS148" s="107"/>
      <c r="AT148" s="107"/>
      <c r="AU148" s="107"/>
      <c r="AV148" s="107"/>
      <c r="AW148" s="107"/>
      <c r="AX148" s="107"/>
      <c r="AY148" s="107"/>
      <c r="AZ148" s="75"/>
      <c r="BA148" s="75"/>
      <c r="BB148" s="97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7"/>
      <c r="BS148" s="107"/>
      <c r="BT148" s="107"/>
      <c r="BU148" s="107"/>
      <c r="BV148" s="107"/>
      <c r="BW148" s="107"/>
      <c r="BX148" s="75"/>
      <c r="BY148" s="75"/>
      <c r="BZ148" s="75"/>
      <c r="CA148" s="75"/>
      <c r="CB148" s="75"/>
      <c r="CC148" s="75"/>
      <c r="CD148" s="75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</row>
    <row r="149" spans="1:120" x14ac:dyDescent="0.25">
      <c r="A149" s="4"/>
      <c r="D149"/>
      <c r="E149"/>
      <c r="F149"/>
      <c r="J149" s="68" t="str">
        <f t="shared" si="63"/>
        <v/>
      </c>
      <c r="K149" s="68" t="str">
        <f t="shared" si="64"/>
        <v/>
      </c>
      <c r="L149" s="69" t="str">
        <f t="shared" si="65"/>
        <v/>
      </c>
      <c r="M149" s="69" t="str">
        <f t="shared" si="66"/>
        <v/>
      </c>
      <c r="N149" s="69" t="str">
        <f>IF(A149="","",Tabela1[[#This Row],[PTC]]*Tabela1[[#This Row],[ODDC]])</f>
        <v/>
      </c>
      <c r="O149" s="69" t="str">
        <f>IF(A149="","",Tabela1[[#This Row],[PTV]]*Tabela1[[#This Row],[ODDV]])</f>
        <v/>
      </c>
      <c r="P149" s="68" t="str">
        <f t="shared" si="67"/>
        <v/>
      </c>
      <c r="Q149" s="68" t="str">
        <f t="shared" si="68"/>
        <v/>
      </c>
      <c r="R149" s="68" t="str">
        <f t="shared" si="69"/>
        <v/>
      </c>
      <c r="S149" s="68" t="str">
        <f t="shared" si="70"/>
        <v/>
      </c>
      <c r="T149" s="68" t="str">
        <f>IF(A149="","",IF(F149="D",Tabela1[[#This Row],[ODDE]]-1,-1))</f>
        <v/>
      </c>
      <c r="U149" s="70" t="str">
        <f>IF(A149="","",IF(AND(Tabela1[[#This Row],[FTHG]]&gt;3,F149="H"),1,0))</f>
        <v/>
      </c>
      <c r="V149" s="70" t="str">
        <f>IF(A149="","",IF(AND(Tabela1[[#This Row],[FTAG]]&gt;3,F149="A"),1,0))</f>
        <v/>
      </c>
      <c r="W149" s="70" t="str">
        <f t="shared" si="71"/>
        <v/>
      </c>
      <c r="X149" s="70" t="str">
        <f t="shared" si="72"/>
        <v/>
      </c>
      <c r="Y149" s="71" t="str">
        <f t="shared" si="73"/>
        <v/>
      </c>
      <c r="Z149" s="70" t="str">
        <f t="shared" si="74"/>
        <v/>
      </c>
      <c r="AA149" s="70" t="str">
        <f t="shared" si="75"/>
        <v/>
      </c>
      <c r="AB149" s="70" t="str">
        <f t="shared" si="76"/>
        <v/>
      </c>
      <c r="AC149" s="71" t="str">
        <f t="shared" si="77"/>
        <v/>
      </c>
      <c r="AD149" s="72" t="str">
        <f t="shared" si="78"/>
        <v/>
      </c>
      <c r="AE149" s="73" t="str">
        <f>IF(A149="","",COUNT($N$2:N149))</f>
        <v/>
      </c>
      <c r="AF149" s="74" t="str">
        <f t="shared" si="79"/>
        <v/>
      </c>
      <c r="AG149" s="74" t="str">
        <f t="shared" si="80"/>
        <v/>
      </c>
      <c r="AH149" s="74" t="str">
        <f t="shared" si="81"/>
        <v/>
      </c>
      <c r="AI149" s="74" t="str">
        <f t="shared" si="82"/>
        <v/>
      </c>
      <c r="AJ149" s="74" t="str">
        <f t="shared" si="83"/>
        <v/>
      </c>
      <c r="AK149" s="74" t="str">
        <f>IF(A149="","",1/Tabela1[[#This Row],[ODDC]])</f>
        <v/>
      </c>
      <c r="AL149" s="74" t="str">
        <f>IF(A149="","",1/Tabela1[[#This Row],[ODDE]])</f>
        <v/>
      </c>
      <c r="AM149" s="74" t="str">
        <f>IF(A149="","",1/Tabela1[[#This Row],[ODDV]])</f>
        <v/>
      </c>
      <c r="AN149" s="74" t="str">
        <f>IF(A149="","",1-(Tabela1[[#This Row],[p(H)]]+Tabela1[[#This Row],[p(D)]]+Tabela1[[#This Row],[p(A)]]))</f>
        <v/>
      </c>
      <c r="AO149" s="74" t="str">
        <f>IF(A149="","",IFERROR(Tabela1[[#This Row],[p(H)]]/Tabela1[[#This Row],[FTHG]],1))</f>
        <v/>
      </c>
      <c r="AP149" s="74" t="str">
        <f>IF(A149="","",IFERROR(Tabela1[[#This Row],[p(A)]]/Tabela1[[#This Row],[FTAG]],1))</f>
        <v/>
      </c>
      <c r="AQ149" s="107"/>
      <c r="AR149" s="107"/>
      <c r="AS149" s="107"/>
      <c r="AT149" s="107"/>
      <c r="AU149" s="107"/>
      <c r="AV149" s="107"/>
      <c r="AW149" s="107"/>
      <c r="AX149" s="107"/>
      <c r="AY149" s="107"/>
      <c r="AZ149" s="75"/>
      <c r="BA149" s="75"/>
      <c r="BB149" s="97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7"/>
      <c r="BS149" s="107"/>
      <c r="BT149" s="107"/>
      <c r="BU149" s="107"/>
      <c r="BV149" s="107"/>
      <c r="BW149" s="107"/>
      <c r="BX149" s="75"/>
      <c r="BY149" s="75"/>
      <c r="BZ149" s="75"/>
      <c r="CA149" s="75"/>
      <c r="CB149" s="75"/>
      <c r="CC149" s="75"/>
      <c r="CD149" s="75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</row>
    <row r="150" spans="1:120" x14ac:dyDescent="0.25">
      <c r="A150" s="4"/>
      <c r="D150"/>
      <c r="E150"/>
      <c r="F150"/>
      <c r="J150" s="68" t="str">
        <f t="shared" si="63"/>
        <v/>
      </c>
      <c r="K150" s="68" t="str">
        <f t="shared" si="64"/>
        <v/>
      </c>
      <c r="L150" s="69" t="str">
        <f t="shared" si="65"/>
        <v/>
      </c>
      <c r="M150" s="69" t="str">
        <f t="shared" si="66"/>
        <v/>
      </c>
      <c r="N150" s="69" t="str">
        <f>IF(A150="","",Tabela1[[#This Row],[PTC]]*Tabela1[[#This Row],[ODDC]])</f>
        <v/>
      </c>
      <c r="O150" s="69" t="str">
        <f>IF(A150="","",Tabela1[[#This Row],[PTV]]*Tabela1[[#This Row],[ODDV]])</f>
        <v/>
      </c>
      <c r="P150" s="68" t="str">
        <f t="shared" si="67"/>
        <v/>
      </c>
      <c r="Q150" s="68" t="str">
        <f t="shared" si="68"/>
        <v/>
      </c>
      <c r="R150" s="68" t="str">
        <f t="shared" si="69"/>
        <v/>
      </c>
      <c r="S150" s="68" t="str">
        <f t="shared" si="70"/>
        <v/>
      </c>
      <c r="T150" s="68" t="str">
        <f>IF(A150="","",IF(F150="D",Tabela1[[#This Row],[ODDE]]-1,-1))</f>
        <v/>
      </c>
      <c r="U150" s="70" t="str">
        <f>IF(A150="","",IF(AND(Tabela1[[#This Row],[FTHG]]&gt;3,F150="H"),1,0))</f>
        <v/>
      </c>
      <c r="V150" s="70" t="str">
        <f>IF(A150="","",IF(AND(Tabela1[[#This Row],[FTAG]]&gt;3,F150="A"),1,0))</f>
        <v/>
      </c>
      <c r="W150" s="70" t="str">
        <f t="shared" si="71"/>
        <v/>
      </c>
      <c r="X150" s="70" t="str">
        <f t="shared" si="72"/>
        <v/>
      </c>
      <c r="Y150" s="71" t="str">
        <f t="shared" si="73"/>
        <v/>
      </c>
      <c r="Z150" s="70" t="str">
        <f t="shared" si="74"/>
        <v/>
      </c>
      <c r="AA150" s="70" t="str">
        <f t="shared" si="75"/>
        <v/>
      </c>
      <c r="AB150" s="70" t="str">
        <f t="shared" si="76"/>
        <v/>
      </c>
      <c r="AC150" s="71" t="str">
        <f t="shared" si="77"/>
        <v/>
      </c>
      <c r="AD150" s="72" t="str">
        <f t="shared" si="78"/>
        <v/>
      </c>
      <c r="AE150" s="73" t="str">
        <f>IF(A150="","",COUNT($N$2:N150))</f>
        <v/>
      </c>
      <c r="AF150" s="74" t="str">
        <f t="shared" si="79"/>
        <v/>
      </c>
      <c r="AG150" s="74" t="str">
        <f t="shared" si="80"/>
        <v/>
      </c>
      <c r="AH150" s="74" t="str">
        <f t="shared" si="81"/>
        <v/>
      </c>
      <c r="AI150" s="74" t="str">
        <f t="shared" si="82"/>
        <v/>
      </c>
      <c r="AJ150" s="74" t="str">
        <f t="shared" si="83"/>
        <v/>
      </c>
      <c r="AK150" s="74" t="str">
        <f>IF(A150="","",1/Tabela1[[#This Row],[ODDC]])</f>
        <v/>
      </c>
      <c r="AL150" s="74" t="str">
        <f>IF(A150="","",1/Tabela1[[#This Row],[ODDE]])</f>
        <v/>
      </c>
      <c r="AM150" s="74" t="str">
        <f>IF(A150="","",1/Tabela1[[#This Row],[ODDV]])</f>
        <v/>
      </c>
      <c r="AN150" s="74" t="str">
        <f>IF(A150="","",1-(Tabela1[[#This Row],[p(H)]]+Tabela1[[#This Row],[p(D)]]+Tabela1[[#This Row],[p(A)]]))</f>
        <v/>
      </c>
      <c r="AO150" s="74" t="str">
        <f>IF(A150="","",IFERROR(Tabela1[[#This Row],[p(H)]]/Tabela1[[#This Row],[FTHG]],1))</f>
        <v/>
      </c>
      <c r="AP150" s="74" t="str">
        <f>IF(A150="","",IFERROR(Tabela1[[#This Row],[p(A)]]/Tabela1[[#This Row],[FTAG]],1))</f>
        <v/>
      </c>
      <c r="AQ150" s="107"/>
      <c r="AR150" s="107"/>
      <c r="AS150" s="107"/>
      <c r="AT150" s="107"/>
      <c r="AU150" s="107"/>
      <c r="AV150" s="107"/>
      <c r="AW150" s="107"/>
      <c r="AX150" s="107"/>
      <c r="AY150" s="107"/>
      <c r="AZ150" s="75"/>
      <c r="BA150" s="75"/>
      <c r="BB150" s="97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7"/>
      <c r="BS150" s="107"/>
      <c r="BT150" s="107"/>
      <c r="BU150" s="107"/>
      <c r="BV150" s="107"/>
      <c r="BW150" s="107"/>
      <c r="BX150" s="75"/>
      <c r="BY150" s="75"/>
      <c r="BZ150" s="75"/>
      <c r="CA150" s="75"/>
      <c r="CB150" s="75"/>
      <c r="CC150" s="75"/>
      <c r="CD150" s="75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  <c r="DH150" s="102"/>
      <c r="DI150" s="102"/>
      <c r="DJ150" s="102"/>
      <c r="DK150" s="102"/>
      <c r="DL150" s="102"/>
      <c r="DM150" s="102"/>
      <c r="DN150" s="102"/>
      <c r="DO150" s="102"/>
      <c r="DP150" s="102"/>
    </row>
    <row r="151" spans="1:120" x14ac:dyDescent="0.25">
      <c r="A151" s="4"/>
      <c r="D151"/>
      <c r="E151"/>
      <c r="F151"/>
      <c r="J151" s="68" t="str">
        <f t="shared" si="63"/>
        <v/>
      </c>
      <c r="K151" s="68" t="str">
        <f t="shared" si="64"/>
        <v/>
      </c>
      <c r="L151" s="69" t="str">
        <f t="shared" si="65"/>
        <v/>
      </c>
      <c r="M151" s="69" t="str">
        <f t="shared" si="66"/>
        <v/>
      </c>
      <c r="N151" s="69" t="str">
        <f>IF(A151="","",Tabela1[[#This Row],[PTC]]*Tabela1[[#This Row],[ODDC]])</f>
        <v/>
      </c>
      <c r="O151" s="69" t="str">
        <f>IF(A151="","",Tabela1[[#This Row],[PTV]]*Tabela1[[#This Row],[ODDV]])</f>
        <v/>
      </c>
      <c r="P151" s="68" t="str">
        <f t="shared" si="67"/>
        <v/>
      </c>
      <c r="Q151" s="68" t="str">
        <f t="shared" si="68"/>
        <v/>
      </c>
      <c r="R151" s="68" t="str">
        <f t="shared" si="69"/>
        <v/>
      </c>
      <c r="S151" s="68" t="str">
        <f t="shared" si="70"/>
        <v/>
      </c>
      <c r="T151" s="68" t="str">
        <f>IF(A151="","",IF(F151="D",Tabela1[[#This Row],[ODDE]]-1,-1))</f>
        <v/>
      </c>
      <c r="U151" s="70" t="str">
        <f>IF(A151="","",IF(AND(Tabela1[[#This Row],[FTHG]]&gt;3,F151="H"),1,0))</f>
        <v/>
      </c>
      <c r="V151" s="70" t="str">
        <f>IF(A151="","",IF(AND(Tabela1[[#This Row],[FTAG]]&gt;3,F151="A"),1,0))</f>
        <v/>
      </c>
      <c r="W151" s="70" t="str">
        <f t="shared" si="71"/>
        <v/>
      </c>
      <c r="X151" s="70" t="str">
        <f t="shared" si="72"/>
        <v/>
      </c>
      <c r="Y151" s="71" t="str">
        <f t="shared" si="73"/>
        <v/>
      </c>
      <c r="Z151" s="70" t="str">
        <f t="shared" si="74"/>
        <v/>
      </c>
      <c r="AA151" s="70" t="str">
        <f t="shared" si="75"/>
        <v/>
      </c>
      <c r="AB151" s="70" t="str">
        <f t="shared" si="76"/>
        <v/>
      </c>
      <c r="AC151" s="71" t="str">
        <f t="shared" si="77"/>
        <v/>
      </c>
      <c r="AD151" s="72" t="str">
        <f t="shared" si="78"/>
        <v/>
      </c>
      <c r="AE151" s="73" t="str">
        <f>IF(A151="","",COUNT($N$2:N151))</f>
        <v/>
      </c>
      <c r="AF151" s="74" t="str">
        <f t="shared" si="79"/>
        <v/>
      </c>
      <c r="AG151" s="74" t="str">
        <f t="shared" si="80"/>
        <v/>
      </c>
      <c r="AH151" s="74" t="str">
        <f t="shared" si="81"/>
        <v/>
      </c>
      <c r="AI151" s="74" t="str">
        <f t="shared" si="82"/>
        <v/>
      </c>
      <c r="AJ151" s="74" t="str">
        <f t="shared" si="83"/>
        <v/>
      </c>
      <c r="AK151" s="74" t="str">
        <f>IF(A151="","",1/Tabela1[[#This Row],[ODDC]])</f>
        <v/>
      </c>
      <c r="AL151" s="74" t="str">
        <f>IF(A151="","",1/Tabela1[[#This Row],[ODDE]])</f>
        <v/>
      </c>
      <c r="AM151" s="74" t="str">
        <f>IF(A151="","",1/Tabela1[[#This Row],[ODDV]])</f>
        <v/>
      </c>
      <c r="AN151" s="74" t="str">
        <f>IF(A151="","",1-(Tabela1[[#This Row],[p(H)]]+Tabela1[[#This Row],[p(D)]]+Tabela1[[#This Row],[p(A)]]))</f>
        <v/>
      </c>
      <c r="AO151" s="74" t="str">
        <f>IF(A151="","",IFERROR(Tabela1[[#This Row],[p(H)]]/Tabela1[[#This Row],[FTHG]],1))</f>
        <v/>
      </c>
      <c r="AP151" s="74" t="str">
        <f>IF(A151="","",IFERROR(Tabela1[[#This Row],[p(A)]]/Tabela1[[#This Row],[FTAG]],1))</f>
        <v/>
      </c>
      <c r="AQ151" s="107"/>
      <c r="AR151" s="107"/>
      <c r="AS151" s="107"/>
      <c r="AT151" s="107"/>
      <c r="AU151" s="107"/>
      <c r="AV151" s="107"/>
      <c r="AW151" s="107"/>
      <c r="AX151" s="107"/>
      <c r="AY151" s="107"/>
      <c r="AZ151" s="75"/>
      <c r="BA151" s="75"/>
      <c r="BB151" s="97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7"/>
      <c r="BS151" s="107"/>
      <c r="BT151" s="107"/>
      <c r="BU151" s="107"/>
      <c r="BV151" s="107"/>
      <c r="BW151" s="107"/>
      <c r="BX151" s="75"/>
      <c r="BY151" s="75"/>
      <c r="BZ151" s="75"/>
      <c r="CA151" s="75"/>
      <c r="CB151" s="75"/>
      <c r="CC151" s="75"/>
      <c r="CD151" s="75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  <c r="DH151" s="102"/>
      <c r="DI151" s="102"/>
      <c r="DJ151" s="102"/>
      <c r="DK151" s="102"/>
      <c r="DL151" s="102"/>
      <c r="DM151" s="102"/>
      <c r="DN151" s="102"/>
      <c r="DO151" s="102"/>
      <c r="DP151" s="102"/>
    </row>
    <row r="152" spans="1:120" x14ac:dyDescent="0.25">
      <c r="A152" s="4"/>
      <c r="D152"/>
      <c r="E152"/>
      <c r="F152"/>
      <c r="J152" s="68" t="str">
        <f t="shared" si="63"/>
        <v/>
      </c>
      <c r="K152" s="68" t="str">
        <f t="shared" si="64"/>
        <v/>
      </c>
      <c r="L152" s="69" t="str">
        <f t="shared" si="65"/>
        <v/>
      </c>
      <c r="M152" s="69" t="str">
        <f t="shared" si="66"/>
        <v/>
      </c>
      <c r="N152" s="69" t="str">
        <f>IF(A152="","",Tabela1[[#This Row],[PTC]]*Tabela1[[#This Row],[ODDC]])</f>
        <v/>
      </c>
      <c r="O152" s="69" t="str">
        <f>IF(A152="","",Tabela1[[#This Row],[PTV]]*Tabela1[[#This Row],[ODDV]])</f>
        <v/>
      </c>
      <c r="P152" s="68" t="str">
        <f t="shared" si="67"/>
        <v/>
      </c>
      <c r="Q152" s="68" t="str">
        <f t="shared" si="68"/>
        <v/>
      </c>
      <c r="R152" s="68" t="str">
        <f t="shared" si="69"/>
        <v/>
      </c>
      <c r="S152" s="68" t="str">
        <f t="shared" si="70"/>
        <v/>
      </c>
      <c r="T152" s="68" t="str">
        <f>IF(A152="","",IF(F152="D",Tabela1[[#This Row],[ODDE]]-1,-1))</f>
        <v/>
      </c>
      <c r="U152" s="70" t="str">
        <f>IF(A152="","",IF(AND(Tabela1[[#This Row],[FTHG]]&gt;3,F152="H"),1,0))</f>
        <v/>
      </c>
      <c r="V152" s="70" t="str">
        <f>IF(A152="","",IF(AND(Tabela1[[#This Row],[FTAG]]&gt;3,F152="A"),1,0))</f>
        <v/>
      </c>
      <c r="W152" s="70" t="str">
        <f t="shared" si="71"/>
        <v/>
      </c>
      <c r="X152" s="70" t="str">
        <f t="shared" si="72"/>
        <v/>
      </c>
      <c r="Y152" s="71" t="str">
        <f t="shared" si="73"/>
        <v/>
      </c>
      <c r="Z152" s="70" t="str">
        <f t="shared" si="74"/>
        <v/>
      </c>
      <c r="AA152" s="70" t="str">
        <f t="shared" si="75"/>
        <v/>
      </c>
      <c r="AB152" s="70" t="str">
        <f t="shared" si="76"/>
        <v/>
      </c>
      <c r="AC152" s="71" t="str">
        <f t="shared" si="77"/>
        <v/>
      </c>
      <c r="AD152" s="72" t="str">
        <f t="shared" si="78"/>
        <v/>
      </c>
      <c r="AE152" s="73" t="str">
        <f>IF(A152="","",COUNT($N$2:N152))</f>
        <v/>
      </c>
      <c r="AF152" s="74" t="str">
        <f t="shared" si="79"/>
        <v/>
      </c>
      <c r="AG152" s="74" t="str">
        <f t="shared" si="80"/>
        <v/>
      </c>
      <c r="AH152" s="74" t="str">
        <f t="shared" si="81"/>
        <v/>
      </c>
      <c r="AI152" s="74" t="str">
        <f t="shared" si="82"/>
        <v/>
      </c>
      <c r="AJ152" s="74" t="str">
        <f t="shared" si="83"/>
        <v/>
      </c>
      <c r="AK152" s="74" t="str">
        <f>IF(A152="","",1/Tabela1[[#This Row],[ODDC]])</f>
        <v/>
      </c>
      <c r="AL152" s="74" t="str">
        <f>IF(A152="","",1/Tabela1[[#This Row],[ODDE]])</f>
        <v/>
      </c>
      <c r="AM152" s="74" t="str">
        <f>IF(A152="","",1/Tabela1[[#This Row],[ODDV]])</f>
        <v/>
      </c>
      <c r="AN152" s="74" t="str">
        <f>IF(A152="","",1-(Tabela1[[#This Row],[p(H)]]+Tabela1[[#This Row],[p(D)]]+Tabela1[[#This Row],[p(A)]]))</f>
        <v/>
      </c>
      <c r="AO152" s="74" t="str">
        <f>IF(A152="","",IFERROR(Tabela1[[#This Row],[p(H)]]/Tabela1[[#This Row],[FTHG]],1))</f>
        <v/>
      </c>
      <c r="AP152" s="74" t="str">
        <f>IF(A152="","",IFERROR(Tabela1[[#This Row],[p(A)]]/Tabela1[[#This Row],[FTAG]],1))</f>
        <v/>
      </c>
      <c r="AQ152" s="107"/>
      <c r="AR152" s="107"/>
      <c r="AS152" s="107"/>
      <c r="AT152" s="107"/>
      <c r="AU152" s="107"/>
      <c r="AV152" s="107"/>
      <c r="AW152" s="107"/>
      <c r="AX152" s="107"/>
      <c r="AY152" s="107"/>
      <c r="AZ152" s="75"/>
      <c r="BA152" s="75"/>
      <c r="BB152" s="97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7"/>
      <c r="BS152" s="107"/>
      <c r="BT152" s="107"/>
      <c r="BU152" s="107"/>
      <c r="BV152" s="107"/>
      <c r="BW152" s="107"/>
      <c r="BX152" s="75"/>
      <c r="BY152" s="75"/>
      <c r="BZ152" s="75"/>
      <c r="CA152" s="75"/>
      <c r="CB152" s="75"/>
      <c r="CC152" s="75"/>
      <c r="CD152" s="75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  <c r="DH152" s="102"/>
      <c r="DI152" s="102"/>
      <c r="DJ152" s="102"/>
      <c r="DK152" s="102"/>
      <c r="DL152" s="102"/>
      <c r="DM152" s="102"/>
      <c r="DN152" s="102"/>
      <c r="DO152" s="102"/>
      <c r="DP152" s="102"/>
    </row>
    <row r="153" spans="1:120" x14ac:dyDescent="0.25">
      <c r="A153" s="4"/>
      <c r="D153"/>
      <c r="E153"/>
      <c r="F153"/>
      <c r="J153" s="68" t="str">
        <f t="shared" si="63"/>
        <v/>
      </c>
      <c r="K153" s="68" t="str">
        <f t="shared" si="64"/>
        <v/>
      </c>
      <c r="L153" s="69" t="str">
        <f t="shared" si="65"/>
        <v/>
      </c>
      <c r="M153" s="69" t="str">
        <f t="shared" si="66"/>
        <v/>
      </c>
      <c r="N153" s="69" t="str">
        <f>IF(A153="","",Tabela1[[#This Row],[PTC]]*Tabela1[[#This Row],[ODDC]])</f>
        <v/>
      </c>
      <c r="O153" s="69" t="str">
        <f>IF(A153="","",Tabela1[[#This Row],[PTV]]*Tabela1[[#This Row],[ODDV]])</f>
        <v/>
      </c>
      <c r="P153" s="68" t="str">
        <f t="shared" si="67"/>
        <v/>
      </c>
      <c r="Q153" s="68" t="str">
        <f t="shared" si="68"/>
        <v/>
      </c>
      <c r="R153" s="68" t="str">
        <f t="shared" si="69"/>
        <v/>
      </c>
      <c r="S153" s="68" t="str">
        <f t="shared" si="70"/>
        <v/>
      </c>
      <c r="T153" s="68" t="str">
        <f>IF(A153="","",IF(F153="D",Tabela1[[#This Row],[ODDE]]-1,-1))</f>
        <v/>
      </c>
      <c r="U153" s="70" t="str">
        <f>IF(A153="","",IF(AND(Tabela1[[#This Row],[FTHG]]&gt;3,F153="H"),1,0))</f>
        <v/>
      </c>
      <c r="V153" s="70" t="str">
        <f>IF(A153="","",IF(AND(Tabela1[[#This Row],[FTAG]]&gt;3,F153="A"),1,0))</f>
        <v/>
      </c>
      <c r="W153" s="70" t="str">
        <f t="shared" si="71"/>
        <v/>
      </c>
      <c r="X153" s="70" t="str">
        <f t="shared" si="72"/>
        <v/>
      </c>
      <c r="Y153" s="71" t="str">
        <f t="shared" si="73"/>
        <v/>
      </c>
      <c r="Z153" s="70" t="str">
        <f t="shared" si="74"/>
        <v/>
      </c>
      <c r="AA153" s="70" t="str">
        <f t="shared" si="75"/>
        <v/>
      </c>
      <c r="AB153" s="70" t="str">
        <f t="shared" si="76"/>
        <v/>
      </c>
      <c r="AC153" s="71" t="str">
        <f t="shared" si="77"/>
        <v/>
      </c>
      <c r="AD153" s="72" t="str">
        <f t="shared" si="78"/>
        <v/>
      </c>
      <c r="AE153" s="73" t="str">
        <f>IF(A153="","",COUNT($N$2:N153))</f>
        <v/>
      </c>
      <c r="AF153" s="74" t="str">
        <f t="shared" si="79"/>
        <v/>
      </c>
      <c r="AG153" s="74" t="str">
        <f t="shared" si="80"/>
        <v/>
      </c>
      <c r="AH153" s="74" t="str">
        <f t="shared" si="81"/>
        <v/>
      </c>
      <c r="AI153" s="74" t="str">
        <f t="shared" si="82"/>
        <v/>
      </c>
      <c r="AJ153" s="74" t="str">
        <f t="shared" si="83"/>
        <v/>
      </c>
      <c r="AK153" s="74" t="str">
        <f>IF(A153="","",1/Tabela1[[#This Row],[ODDC]])</f>
        <v/>
      </c>
      <c r="AL153" s="74" t="str">
        <f>IF(A153="","",1/Tabela1[[#This Row],[ODDE]])</f>
        <v/>
      </c>
      <c r="AM153" s="74" t="str">
        <f>IF(A153="","",1/Tabela1[[#This Row],[ODDV]])</f>
        <v/>
      </c>
      <c r="AN153" s="74" t="str">
        <f>IF(A153="","",1-(Tabela1[[#This Row],[p(H)]]+Tabela1[[#This Row],[p(D)]]+Tabela1[[#This Row],[p(A)]]))</f>
        <v/>
      </c>
      <c r="AO153" s="74" t="str">
        <f>IF(A153="","",IFERROR(Tabela1[[#This Row],[p(H)]]/Tabela1[[#This Row],[FTHG]],1))</f>
        <v/>
      </c>
      <c r="AP153" s="74" t="str">
        <f>IF(A153="","",IFERROR(Tabela1[[#This Row],[p(A)]]/Tabela1[[#This Row],[FTAG]],1))</f>
        <v/>
      </c>
      <c r="AQ153" s="107"/>
      <c r="AR153" s="107"/>
      <c r="AS153" s="107"/>
      <c r="AT153" s="107"/>
      <c r="AU153" s="107"/>
      <c r="AV153" s="107"/>
      <c r="AW153" s="107"/>
      <c r="AX153" s="107"/>
      <c r="AY153" s="107"/>
      <c r="AZ153" s="75"/>
      <c r="BA153" s="75"/>
      <c r="BB153" s="97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7"/>
      <c r="BS153" s="107"/>
      <c r="BT153" s="107"/>
      <c r="BU153" s="107"/>
      <c r="BV153" s="107"/>
      <c r="BW153" s="107"/>
      <c r="BX153" s="75"/>
      <c r="BY153" s="75"/>
      <c r="BZ153" s="75"/>
      <c r="CA153" s="75"/>
      <c r="CB153" s="75"/>
      <c r="CC153" s="75"/>
      <c r="CD153" s="75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2"/>
      <c r="DC153" s="102"/>
      <c r="DD153" s="102"/>
      <c r="DE153" s="102"/>
      <c r="DF153" s="102"/>
      <c r="DG153" s="102"/>
      <c r="DH153" s="102"/>
      <c r="DI153" s="102"/>
      <c r="DJ153" s="102"/>
      <c r="DK153" s="102"/>
      <c r="DL153" s="102"/>
      <c r="DM153" s="102"/>
      <c r="DN153" s="102"/>
      <c r="DO153" s="102"/>
      <c r="DP153" s="102"/>
    </row>
    <row r="154" spans="1:120" x14ac:dyDescent="0.25">
      <c r="A154" s="4"/>
      <c r="D154"/>
      <c r="E154"/>
      <c r="F154"/>
      <c r="J154" s="68" t="str">
        <f t="shared" si="63"/>
        <v/>
      </c>
      <c r="K154" s="68" t="str">
        <f t="shared" si="64"/>
        <v/>
      </c>
      <c r="L154" s="69" t="str">
        <f t="shared" si="65"/>
        <v/>
      </c>
      <c r="M154" s="69" t="str">
        <f t="shared" si="66"/>
        <v/>
      </c>
      <c r="N154" s="69" t="str">
        <f>IF(A154="","",Tabela1[[#This Row],[PTC]]*Tabela1[[#This Row],[ODDC]])</f>
        <v/>
      </c>
      <c r="O154" s="69" t="str">
        <f>IF(A154="","",Tabela1[[#This Row],[PTV]]*Tabela1[[#This Row],[ODDV]])</f>
        <v/>
      </c>
      <c r="P154" s="68" t="str">
        <f t="shared" si="67"/>
        <v/>
      </c>
      <c r="Q154" s="68" t="str">
        <f t="shared" si="68"/>
        <v/>
      </c>
      <c r="R154" s="68" t="str">
        <f t="shared" si="69"/>
        <v/>
      </c>
      <c r="S154" s="68" t="str">
        <f t="shared" si="70"/>
        <v/>
      </c>
      <c r="T154" s="68" t="str">
        <f>IF(A154="","",IF(F154="D",Tabela1[[#This Row],[ODDE]]-1,-1))</f>
        <v/>
      </c>
      <c r="U154" s="70" t="str">
        <f>IF(A154="","",IF(AND(Tabela1[[#This Row],[FTHG]]&gt;3,F154="H"),1,0))</f>
        <v/>
      </c>
      <c r="V154" s="70" t="str">
        <f>IF(A154="","",IF(AND(Tabela1[[#This Row],[FTAG]]&gt;3,F154="A"),1,0))</f>
        <v/>
      </c>
      <c r="W154" s="70" t="str">
        <f t="shared" si="71"/>
        <v/>
      </c>
      <c r="X154" s="70" t="str">
        <f t="shared" si="72"/>
        <v/>
      </c>
      <c r="Y154" s="71" t="str">
        <f t="shared" si="73"/>
        <v/>
      </c>
      <c r="Z154" s="70" t="str">
        <f t="shared" si="74"/>
        <v/>
      </c>
      <c r="AA154" s="70" t="str">
        <f t="shared" si="75"/>
        <v/>
      </c>
      <c r="AB154" s="70" t="str">
        <f t="shared" si="76"/>
        <v/>
      </c>
      <c r="AC154" s="71" t="str">
        <f t="shared" si="77"/>
        <v/>
      </c>
      <c r="AD154" s="72" t="str">
        <f t="shared" si="78"/>
        <v/>
      </c>
      <c r="AE154" s="73" t="str">
        <f>IF(A154="","",COUNT($N$2:N154))</f>
        <v/>
      </c>
      <c r="AF154" s="74" t="str">
        <f t="shared" si="79"/>
        <v/>
      </c>
      <c r="AG154" s="74" t="str">
        <f t="shared" si="80"/>
        <v/>
      </c>
      <c r="AH154" s="74" t="str">
        <f t="shared" si="81"/>
        <v/>
      </c>
      <c r="AI154" s="74" t="str">
        <f t="shared" si="82"/>
        <v/>
      </c>
      <c r="AJ154" s="74" t="str">
        <f t="shared" si="83"/>
        <v/>
      </c>
      <c r="AK154" s="74" t="str">
        <f>IF(A154="","",1/Tabela1[[#This Row],[ODDC]])</f>
        <v/>
      </c>
      <c r="AL154" s="74" t="str">
        <f>IF(A154="","",1/Tabela1[[#This Row],[ODDE]])</f>
        <v/>
      </c>
      <c r="AM154" s="74" t="str">
        <f>IF(A154="","",1/Tabela1[[#This Row],[ODDV]])</f>
        <v/>
      </c>
      <c r="AN154" s="74" t="str">
        <f>IF(A154="","",1-(Tabela1[[#This Row],[p(H)]]+Tabela1[[#This Row],[p(D)]]+Tabela1[[#This Row],[p(A)]]))</f>
        <v/>
      </c>
      <c r="AO154" s="74" t="str">
        <f>IF(A154="","",IFERROR(Tabela1[[#This Row],[p(H)]]/Tabela1[[#This Row],[FTHG]],1))</f>
        <v/>
      </c>
      <c r="AP154" s="74" t="str">
        <f>IF(A154="","",IFERROR(Tabela1[[#This Row],[p(A)]]/Tabela1[[#This Row],[FTAG]],1))</f>
        <v/>
      </c>
      <c r="AQ154" s="107"/>
      <c r="AR154" s="107"/>
      <c r="AS154" s="107"/>
      <c r="AT154" s="107"/>
      <c r="AU154" s="107"/>
      <c r="AV154" s="107"/>
      <c r="AW154" s="107"/>
      <c r="AX154" s="107"/>
      <c r="AY154" s="107"/>
      <c r="AZ154" s="75"/>
      <c r="BA154" s="75"/>
      <c r="BB154" s="97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7"/>
      <c r="BS154" s="107"/>
      <c r="BT154" s="107"/>
      <c r="BU154" s="107"/>
      <c r="BV154" s="107"/>
      <c r="BW154" s="107"/>
      <c r="BX154" s="75"/>
      <c r="BY154" s="75"/>
      <c r="BZ154" s="75"/>
      <c r="CA154" s="75"/>
      <c r="CB154" s="75"/>
      <c r="CC154" s="75"/>
      <c r="CD154" s="75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2"/>
      <c r="CR154" s="102"/>
      <c r="CS154" s="102"/>
      <c r="CT154" s="102"/>
      <c r="CU154" s="102"/>
      <c r="CV154" s="102"/>
      <c r="CW154" s="102"/>
      <c r="CX154" s="102"/>
      <c r="CY154" s="102"/>
      <c r="CZ154" s="102"/>
      <c r="DA154" s="102"/>
      <c r="DB154" s="102"/>
      <c r="DC154" s="102"/>
      <c r="DD154" s="102"/>
      <c r="DE154" s="102"/>
      <c r="DF154" s="102"/>
      <c r="DG154" s="102"/>
      <c r="DH154" s="102"/>
      <c r="DI154" s="102"/>
      <c r="DJ154" s="102"/>
      <c r="DK154" s="102"/>
      <c r="DL154" s="102"/>
      <c r="DM154" s="102"/>
      <c r="DN154" s="102"/>
      <c r="DO154" s="102"/>
      <c r="DP154" s="102"/>
    </row>
    <row r="155" spans="1:120" x14ac:dyDescent="0.25">
      <c r="A155" s="4"/>
      <c r="D155"/>
      <c r="E155"/>
      <c r="F155"/>
      <c r="J155" s="68" t="str">
        <f t="shared" si="63"/>
        <v/>
      </c>
      <c r="K155" s="68" t="str">
        <f t="shared" si="64"/>
        <v/>
      </c>
      <c r="L155" s="69" t="str">
        <f t="shared" si="65"/>
        <v/>
      </c>
      <c r="M155" s="69" t="str">
        <f t="shared" si="66"/>
        <v/>
      </c>
      <c r="N155" s="69" t="str">
        <f>IF(A155="","",Tabela1[[#This Row],[PTC]]*Tabela1[[#This Row],[ODDC]])</f>
        <v/>
      </c>
      <c r="O155" s="69" t="str">
        <f>IF(A155="","",Tabela1[[#This Row],[PTV]]*Tabela1[[#This Row],[ODDV]])</f>
        <v/>
      </c>
      <c r="P155" s="68" t="str">
        <f t="shared" si="67"/>
        <v/>
      </c>
      <c r="Q155" s="68" t="str">
        <f t="shared" si="68"/>
        <v/>
      </c>
      <c r="R155" s="68" t="str">
        <f t="shared" si="69"/>
        <v/>
      </c>
      <c r="S155" s="68" t="str">
        <f t="shared" si="70"/>
        <v/>
      </c>
      <c r="T155" s="68" t="str">
        <f>IF(A155="","",IF(F155="D",Tabela1[[#This Row],[ODDE]]-1,-1))</f>
        <v/>
      </c>
      <c r="U155" s="70" t="str">
        <f>IF(A155="","",IF(AND(Tabela1[[#This Row],[FTHG]]&gt;3,F155="H"),1,0))</f>
        <v/>
      </c>
      <c r="V155" s="70" t="str">
        <f>IF(A155="","",IF(AND(Tabela1[[#This Row],[FTAG]]&gt;3,F155="A"),1,0))</f>
        <v/>
      </c>
      <c r="W155" s="70" t="str">
        <f t="shared" si="71"/>
        <v/>
      </c>
      <c r="X155" s="70" t="str">
        <f t="shared" si="72"/>
        <v/>
      </c>
      <c r="Y155" s="71" t="str">
        <f t="shared" si="73"/>
        <v/>
      </c>
      <c r="Z155" s="70" t="str">
        <f t="shared" si="74"/>
        <v/>
      </c>
      <c r="AA155" s="70" t="str">
        <f t="shared" si="75"/>
        <v/>
      </c>
      <c r="AB155" s="70" t="str">
        <f t="shared" si="76"/>
        <v/>
      </c>
      <c r="AC155" s="71" t="str">
        <f t="shared" si="77"/>
        <v/>
      </c>
      <c r="AD155" s="72" t="str">
        <f t="shared" si="78"/>
        <v/>
      </c>
      <c r="AE155" s="73" t="str">
        <f>IF(A155="","",COUNT($N$2:N155))</f>
        <v/>
      </c>
      <c r="AF155" s="74" t="str">
        <f t="shared" si="79"/>
        <v/>
      </c>
      <c r="AG155" s="74" t="str">
        <f t="shared" si="80"/>
        <v/>
      </c>
      <c r="AH155" s="74" t="str">
        <f t="shared" si="81"/>
        <v/>
      </c>
      <c r="AI155" s="74" t="str">
        <f t="shared" si="82"/>
        <v/>
      </c>
      <c r="AJ155" s="74" t="str">
        <f t="shared" si="83"/>
        <v/>
      </c>
      <c r="AK155" s="74" t="str">
        <f>IF(A155="","",1/Tabela1[[#This Row],[ODDC]])</f>
        <v/>
      </c>
      <c r="AL155" s="74" t="str">
        <f>IF(A155="","",1/Tabela1[[#This Row],[ODDE]])</f>
        <v/>
      </c>
      <c r="AM155" s="74" t="str">
        <f>IF(A155="","",1/Tabela1[[#This Row],[ODDV]])</f>
        <v/>
      </c>
      <c r="AN155" s="74" t="str">
        <f>IF(A155="","",1-(Tabela1[[#This Row],[p(H)]]+Tabela1[[#This Row],[p(D)]]+Tabela1[[#This Row],[p(A)]]))</f>
        <v/>
      </c>
      <c r="AO155" s="74" t="str">
        <f>IF(A155="","",IFERROR(Tabela1[[#This Row],[p(H)]]/Tabela1[[#This Row],[FTHG]],1))</f>
        <v/>
      </c>
      <c r="AP155" s="74" t="str">
        <f>IF(A155="","",IFERROR(Tabela1[[#This Row],[p(A)]]/Tabela1[[#This Row],[FTAG]],1))</f>
        <v/>
      </c>
      <c r="AQ155" s="107"/>
      <c r="AR155" s="107"/>
      <c r="AS155" s="107"/>
      <c r="AT155" s="107"/>
      <c r="AU155" s="107"/>
      <c r="AV155" s="107"/>
      <c r="AW155" s="107"/>
      <c r="AX155" s="107"/>
      <c r="AY155" s="107"/>
      <c r="AZ155" s="75"/>
      <c r="BA155" s="75"/>
      <c r="BB155" s="97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7"/>
      <c r="BS155" s="107"/>
      <c r="BT155" s="107"/>
      <c r="BU155" s="107"/>
      <c r="BV155" s="107"/>
      <c r="BW155" s="107"/>
      <c r="BX155" s="75"/>
      <c r="BY155" s="75"/>
      <c r="BZ155" s="75"/>
      <c r="CA155" s="75"/>
      <c r="CB155" s="75"/>
      <c r="CC155" s="75"/>
      <c r="CD155" s="75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2"/>
      <c r="CR155" s="102"/>
      <c r="CS155" s="102"/>
      <c r="CT155" s="102"/>
      <c r="CU155" s="102"/>
      <c r="CV155" s="102"/>
      <c r="CW155" s="102"/>
      <c r="CX155" s="102"/>
      <c r="CY155" s="102"/>
      <c r="CZ155" s="102"/>
      <c r="DA155" s="102"/>
      <c r="DB155" s="102"/>
      <c r="DC155" s="102"/>
      <c r="DD155" s="102"/>
      <c r="DE155" s="102"/>
      <c r="DF155" s="102"/>
      <c r="DG155" s="102"/>
      <c r="DH155" s="102"/>
      <c r="DI155" s="102"/>
      <c r="DJ155" s="102"/>
      <c r="DK155" s="102"/>
      <c r="DL155" s="102"/>
      <c r="DM155" s="102"/>
      <c r="DN155" s="102"/>
      <c r="DO155" s="102"/>
      <c r="DP155" s="102"/>
    </row>
    <row r="156" spans="1:120" x14ac:dyDescent="0.25">
      <c r="A156" s="4"/>
      <c r="D156"/>
      <c r="E156"/>
      <c r="F156"/>
      <c r="J156" s="68" t="str">
        <f t="shared" si="63"/>
        <v/>
      </c>
      <c r="K156" s="68" t="str">
        <f t="shared" si="64"/>
        <v/>
      </c>
      <c r="L156" s="69" t="str">
        <f t="shared" si="65"/>
        <v/>
      </c>
      <c r="M156" s="69" t="str">
        <f t="shared" si="66"/>
        <v/>
      </c>
      <c r="N156" s="69" t="str">
        <f>IF(A156="","",Tabela1[[#This Row],[PTC]]*Tabela1[[#This Row],[ODDC]])</f>
        <v/>
      </c>
      <c r="O156" s="69" t="str">
        <f>IF(A156="","",Tabela1[[#This Row],[PTV]]*Tabela1[[#This Row],[ODDV]])</f>
        <v/>
      </c>
      <c r="P156" s="68" t="str">
        <f t="shared" si="67"/>
        <v/>
      </c>
      <c r="Q156" s="68" t="str">
        <f t="shared" si="68"/>
        <v/>
      </c>
      <c r="R156" s="68" t="str">
        <f t="shared" si="69"/>
        <v/>
      </c>
      <c r="S156" s="68" t="str">
        <f t="shared" si="70"/>
        <v/>
      </c>
      <c r="T156" s="68" t="str">
        <f>IF(A156="","",IF(F156="D",Tabela1[[#This Row],[ODDE]]-1,-1))</f>
        <v/>
      </c>
      <c r="U156" s="70" t="str">
        <f>IF(A156="","",IF(AND(Tabela1[[#This Row],[FTHG]]&gt;3,F156="H"),1,0))</f>
        <v/>
      </c>
      <c r="V156" s="70" t="str">
        <f>IF(A156="","",IF(AND(Tabela1[[#This Row],[FTAG]]&gt;3,F156="A"),1,0))</f>
        <v/>
      </c>
      <c r="W156" s="70" t="str">
        <f t="shared" si="71"/>
        <v/>
      </c>
      <c r="X156" s="70" t="str">
        <f t="shared" si="72"/>
        <v/>
      </c>
      <c r="Y156" s="71" t="str">
        <f t="shared" si="73"/>
        <v/>
      </c>
      <c r="Z156" s="70" t="str">
        <f t="shared" si="74"/>
        <v/>
      </c>
      <c r="AA156" s="70" t="str">
        <f t="shared" si="75"/>
        <v/>
      </c>
      <c r="AB156" s="70" t="str">
        <f t="shared" si="76"/>
        <v/>
      </c>
      <c r="AC156" s="71" t="str">
        <f t="shared" si="77"/>
        <v/>
      </c>
      <c r="AD156" s="72" t="str">
        <f t="shared" si="78"/>
        <v/>
      </c>
      <c r="AE156" s="73" t="str">
        <f>IF(A156="","",COUNT($N$2:N156))</f>
        <v/>
      </c>
      <c r="AF156" s="74" t="str">
        <f t="shared" si="79"/>
        <v/>
      </c>
      <c r="AG156" s="74" t="str">
        <f t="shared" si="80"/>
        <v/>
      </c>
      <c r="AH156" s="74" t="str">
        <f t="shared" si="81"/>
        <v/>
      </c>
      <c r="AI156" s="74" t="str">
        <f t="shared" si="82"/>
        <v/>
      </c>
      <c r="AJ156" s="74" t="str">
        <f t="shared" si="83"/>
        <v/>
      </c>
      <c r="AK156" s="74" t="str">
        <f>IF(A156="","",1/Tabela1[[#This Row],[ODDC]])</f>
        <v/>
      </c>
      <c r="AL156" s="74" t="str">
        <f>IF(A156="","",1/Tabela1[[#This Row],[ODDE]])</f>
        <v/>
      </c>
      <c r="AM156" s="74" t="str">
        <f>IF(A156="","",1/Tabela1[[#This Row],[ODDV]])</f>
        <v/>
      </c>
      <c r="AN156" s="74" t="str">
        <f>IF(A156="","",1-(Tabela1[[#This Row],[p(H)]]+Tabela1[[#This Row],[p(D)]]+Tabela1[[#This Row],[p(A)]]))</f>
        <v/>
      </c>
      <c r="AO156" s="74" t="str">
        <f>IF(A156="","",IFERROR(Tabela1[[#This Row],[p(H)]]/Tabela1[[#This Row],[FTHG]],1))</f>
        <v/>
      </c>
      <c r="AP156" s="74" t="str">
        <f>IF(A156="","",IFERROR(Tabela1[[#This Row],[p(A)]]/Tabela1[[#This Row],[FTAG]],1))</f>
        <v/>
      </c>
      <c r="AQ156" s="107"/>
      <c r="AR156" s="107"/>
      <c r="AS156" s="107"/>
      <c r="AT156" s="107"/>
      <c r="AU156" s="107"/>
      <c r="AV156" s="107"/>
      <c r="AW156" s="107"/>
      <c r="AX156" s="107"/>
      <c r="AY156" s="107"/>
      <c r="AZ156" s="75"/>
      <c r="BA156" s="75"/>
      <c r="BB156" s="97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7"/>
      <c r="BS156" s="107"/>
      <c r="BT156" s="107"/>
      <c r="BU156" s="107"/>
      <c r="BV156" s="107"/>
      <c r="BW156" s="107"/>
      <c r="BX156" s="75"/>
      <c r="BY156" s="75"/>
      <c r="BZ156" s="75"/>
      <c r="CA156" s="75"/>
      <c r="CB156" s="75"/>
      <c r="CC156" s="75"/>
      <c r="CD156" s="75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2"/>
      <c r="DC156" s="102"/>
      <c r="DD156" s="102"/>
      <c r="DE156" s="102"/>
      <c r="DF156" s="102"/>
      <c r="DG156" s="102"/>
      <c r="DH156" s="102"/>
      <c r="DI156" s="102"/>
      <c r="DJ156" s="102"/>
      <c r="DK156" s="102"/>
      <c r="DL156" s="102"/>
      <c r="DM156" s="102"/>
      <c r="DN156" s="102"/>
      <c r="DO156" s="102"/>
      <c r="DP156" s="102"/>
    </row>
    <row r="157" spans="1:120" x14ac:dyDescent="0.25">
      <c r="A157" s="4"/>
      <c r="D157"/>
      <c r="E157"/>
      <c r="F157"/>
      <c r="J157" s="68" t="str">
        <f t="shared" si="63"/>
        <v/>
      </c>
      <c r="K157" s="68" t="str">
        <f t="shared" si="64"/>
        <v/>
      </c>
      <c r="L157" s="69" t="str">
        <f t="shared" si="65"/>
        <v/>
      </c>
      <c r="M157" s="69" t="str">
        <f t="shared" si="66"/>
        <v/>
      </c>
      <c r="N157" s="69" t="str">
        <f>IF(A157="","",Tabela1[[#This Row],[PTC]]*Tabela1[[#This Row],[ODDC]])</f>
        <v/>
      </c>
      <c r="O157" s="69" t="str">
        <f>IF(A157="","",Tabela1[[#This Row],[PTV]]*Tabela1[[#This Row],[ODDV]])</f>
        <v/>
      </c>
      <c r="P157" s="68" t="str">
        <f t="shared" si="67"/>
        <v/>
      </c>
      <c r="Q157" s="68" t="str">
        <f t="shared" si="68"/>
        <v/>
      </c>
      <c r="R157" s="68" t="str">
        <f t="shared" si="69"/>
        <v/>
      </c>
      <c r="S157" s="68" t="str">
        <f t="shared" si="70"/>
        <v/>
      </c>
      <c r="T157" s="68" t="str">
        <f>IF(A157="","",IF(F157="D",Tabela1[[#This Row],[ODDE]]-1,-1))</f>
        <v/>
      </c>
      <c r="U157" s="70" t="str">
        <f>IF(A157="","",IF(AND(Tabela1[[#This Row],[FTHG]]&gt;3,F157="H"),1,0))</f>
        <v/>
      </c>
      <c r="V157" s="70" t="str">
        <f>IF(A157="","",IF(AND(Tabela1[[#This Row],[FTAG]]&gt;3,F157="A"),1,0))</f>
        <v/>
      </c>
      <c r="W157" s="70" t="str">
        <f t="shared" si="71"/>
        <v/>
      </c>
      <c r="X157" s="70" t="str">
        <f t="shared" si="72"/>
        <v/>
      </c>
      <c r="Y157" s="71" t="str">
        <f t="shared" si="73"/>
        <v/>
      </c>
      <c r="Z157" s="70" t="str">
        <f t="shared" si="74"/>
        <v/>
      </c>
      <c r="AA157" s="70" t="str">
        <f t="shared" si="75"/>
        <v/>
      </c>
      <c r="AB157" s="70" t="str">
        <f t="shared" si="76"/>
        <v/>
      </c>
      <c r="AC157" s="71" t="str">
        <f t="shared" si="77"/>
        <v/>
      </c>
      <c r="AD157" s="72" t="str">
        <f t="shared" si="78"/>
        <v/>
      </c>
      <c r="AE157" s="73" t="str">
        <f>IF(A157="","",COUNT($N$2:N157))</f>
        <v/>
      </c>
      <c r="AF157" s="74" t="str">
        <f t="shared" si="79"/>
        <v/>
      </c>
      <c r="AG157" s="74" t="str">
        <f t="shared" si="80"/>
        <v/>
      </c>
      <c r="AH157" s="74" t="str">
        <f t="shared" si="81"/>
        <v/>
      </c>
      <c r="AI157" s="74" t="str">
        <f t="shared" si="82"/>
        <v/>
      </c>
      <c r="AJ157" s="74" t="str">
        <f t="shared" si="83"/>
        <v/>
      </c>
      <c r="AK157" s="74" t="str">
        <f>IF(A157="","",1/Tabela1[[#This Row],[ODDC]])</f>
        <v/>
      </c>
      <c r="AL157" s="74" t="str">
        <f>IF(A157="","",1/Tabela1[[#This Row],[ODDE]])</f>
        <v/>
      </c>
      <c r="AM157" s="74" t="str">
        <f>IF(A157="","",1/Tabela1[[#This Row],[ODDV]])</f>
        <v/>
      </c>
      <c r="AN157" s="74" t="str">
        <f>IF(A157="","",1-(Tabela1[[#This Row],[p(H)]]+Tabela1[[#This Row],[p(D)]]+Tabela1[[#This Row],[p(A)]]))</f>
        <v/>
      </c>
      <c r="AO157" s="74" t="str">
        <f>IF(A157="","",IFERROR(Tabela1[[#This Row],[p(H)]]/Tabela1[[#This Row],[FTHG]],1))</f>
        <v/>
      </c>
      <c r="AP157" s="74" t="str">
        <f>IF(A157="","",IFERROR(Tabela1[[#This Row],[p(A)]]/Tabela1[[#This Row],[FTAG]],1))</f>
        <v/>
      </c>
      <c r="AQ157" s="107"/>
      <c r="AR157" s="107"/>
      <c r="AS157" s="107"/>
      <c r="AT157" s="107"/>
      <c r="AU157" s="107"/>
      <c r="AV157" s="107"/>
      <c r="AW157" s="107"/>
      <c r="AX157" s="107"/>
      <c r="AY157" s="107"/>
      <c r="AZ157" s="75"/>
      <c r="BA157" s="75"/>
      <c r="BB157" s="97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7"/>
      <c r="BS157" s="107"/>
      <c r="BT157" s="107"/>
      <c r="BU157" s="107"/>
      <c r="BV157" s="107"/>
      <c r="BW157" s="107"/>
      <c r="BX157" s="75"/>
      <c r="BY157" s="75"/>
      <c r="BZ157" s="75"/>
      <c r="CA157" s="75"/>
      <c r="CB157" s="75"/>
      <c r="CC157" s="75"/>
      <c r="CD157" s="75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2"/>
      <c r="CR157" s="102"/>
      <c r="CS157" s="102"/>
      <c r="CT157" s="102"/>
      <c r="CU157" s="102"/>
      <c r="CV157" s="102"/>
      <c r="CW157" s="102"/>
      <c r="CX157" s="102"/>
      <c r="CY157" s="102"/>
      <c r="CZ157" s="102"/>
      <c r="DA157" s="102"/>
      <c r="DB157" s="102"/>
      <c r="DC157" s="102"/>
      <c r="DD157" s="102"/>
      <c r="DE157" s="102"/>
      <c r="DF157" s="102"/>
      <c r="DG157" s="102"/>
      <c r="DH157" s="102"/>
      <c r="DI157" s="102"/>
      <c r="DJ157" s="102"/>
      <c r="DK157" s="102"/>
      <c r="DL157" s="102"/>
      <c r="DM157" s="102"/>
      <c r="DN157" s="102"/>
      <c r="DO157" s="102"/>
      <c r="DP157" s="102"/>
    </row>
    <row r="158" spans="1:120" x14ac:dyDescent="0.25">
      <c r="A158" s="4"/>
      <c r="D158"/>
      <c r="E158"/>
      <c r="F158"/>
      <c r="J158" s="68" t="str">
        <f t="shared" si="63"/>
        <v/>
      </c>
      <c r="K158" s="68" t="str">
        <f t="shared" si="64"/>
        <v/>
      </c>
      <c r="L158" s="69" t="str">
        <f t="shared" si="65"/>
        <v/>
      </c>
      <c r="M158" s="69" t="str">
        <f t="shared" si="66"/>
        <v/>
      </c>
      <c r="N158" s="69" t="str">
        <f>IF(A158="","",Tabela1[[#This Row],[PTC]]*Tabela1[[#This Row],[ODDC]])</f>
        <v/>
      </c>
      <c r="O158" s="69" t="str">
        <f>IF(A158="","",Tabela1[[#This Row],[PTV]]*Tabela1[[#This Row],[ODDV]])</f>
        <v/>
      </c>
      <c r="P158" s="68" t="str">
        <f t="shared" si="67"/>
        <v/>
      </c>
      <c r="Q158" s="68" t="str">
        <f t="shared" si="68"/>
        <v/>
      </c>
      <c r="R158" s="68" t="str">
        <f t="shared" si="69"/>
        <v/>
      </c>
      <c r="S158" s="68" t="str">
        <f t="shared" si="70"/>
        <v/>
      </c>
      <c r="T158" s="68" t="str">
        <f>IF(A158="","",IF(F158="D",Tabela1[[#This Row],[ODDE]]-1,-1))</f>
        <v/>
      </c>
      <c r="U158" s="70" t="str">
        <f>IF(A158="","",IF(AND(Tabela1[[#This Row],[FTHG]]&gt;3,F158="H"),1,0))</f>
        <v/>
      </c>
      <c r="V158" s="70" t="str">
        <f>IF(A158="","",IF(AND(Tabela1[[#This Row],[FTAG]]&gt;3,F158="A"),1,0))</f>
        <v/>
      </c>
      <c r="W158" s="70" t="str">
        <f t="shared" si="71"/>
        <v/>
      </c>
      <c r="X158" s="70" t="str">
        <f t="shared" si="72"/>
        <v/>
      </c>
      <c r="Y158" s="71" t="str">
        <f t="shared" si="73"/>
        <v/>
      </c>
      <c r="Z158" s="70" t="str">
        <f t="shared" si="74"/>
        <v/>
      </c>
      <c r="AA158" s="70" t="str">
        <f t="shared" si="75"/>
        <v/>
      </c>
      <c r="AB158" s="70" t="str">
        <f t="shared" si="76"/>
        <v/>
      </c>
      <c r="AC158" s="71" t="str">
        <f t="shared" si="77"/>
        <v/>
      </c>
      <c r="AD158" s="72" t="str">
        <f t="shared" si="78"/>
        <v/>
      </c>
      <c r="AE158" s="73" t="str">
        <f>IF(A158="","",COUNT($N$2:N158))</f>
        <v/>
      </c>
      <c r="AF158" s="74" t="str">
        <f t="shared" si="79"/>
        <v/>
      </c>
      <c r="AG158" s="74" t="str">
        <f t="shared" si="80"/>
        <v/>
      </c>
      <c r="AH158" s="74" t="str">
        <f t="shared" si="81"/>
        <v/>
      </c>
      <c r="AI158" s="74" t="str">
        <f t="shared" si="82"/>
        <v/>
      </c>
      <c r="AJ158" s="74" t="str">
        <f t="shared" si="83"/>
        <v/>
      </c>
      <c r="AK158" s="74" t="str">
        <f>IF(A158="","",1/Tabela1[[#This Row],[ODDC]])</f>
        <v/>
      </c>
      <c r="AL158" s="74" t="str">
        <f>IF(A158="","",1/Tabela1[[#This Row],[ODDE]])</f>
        <v/>
      </c>
      <c r="AM158" s="74" t="str">
        <f>IF(A158="","",1/Tabela1[[#This Row],[ODDV]])</f>
        <v/>
      </c>
      <c r="AN158" s="74" t="str">
        <f>IF(A158="","",1-(Tabela1[[#This Row],[p(H)]]+Tabela1[[#This Row],[p(D)]]+Tabela1[[#This Row],[p(A)]]))</f>
        <v/>
      </c>
      <c r="AO158" s="74" t="str">
        <f>IF(A158="","",IFERROR(Tabela1[[#This Row],[p(H)]]/Tabela1[[#This Row],[FTHG]],1))</f>
        <v/>
      </c>
      <c r="AP158" s="74" t="str">
        <f>IF(A158="","",IFERROR(Tabela1[[#This Row],[p(A)]]/Tabela1[[#This Row],[FTAG]],1))</f>
        <v/>
      </c>
      <c r="AQ158" s="107"/>
      <c r="AR158" s="107"/>
      <c r="AS158" s="107"/>
      <c r="AT158" s="107"/>
      <c r="AU158" s="107"/>
      <c r="AV158" s="107"/>
      <c r="AW158" s="107"/>
      <c r="AX158" s="107"/>
      <c r="AY158" s="107"/>
      <c r="AZ158" s="75"/>
      <c r="BA158" s="75"/>
      <c r="BB158" s="97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7"/>
      <c r="BS158" s="107"/>
      <c r="BT158" s="107"/>
      <c r="BU158" s="107"/>
      <c r="BV158" s="107"/>
      <c r="BW158" s="107"/>
      <c r="BX158" s="75"/>
      <c r="BY158" s="75"/>
      <c r="BZ158" s="75"/>
      <c r="CA158" s="75"/>
      <c r="CB158" s="75"/>
      <c r="CC158" s="75"/>
      <c r="CD158" s="75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  <c r="CY158" s="102"/>
      <c r="CZ158" s="102"/>
      <c r="DA158" s="102"/>
      <c r="DB158" s="102"/>
      <c r="DC158" s="102"/>
      <c r="DD158" s="102"/>
      <c r="DE158" s="102"/>
      <c r="DF158" s="102"/>
      <c r="DG158" s="102"/>
      <c r="DH158" s="102"/>
      <c r="DI158" s="102"/>
      <c r="DJ158" s="102"/>
      <c r="DK158" s="102"/>
      <c r="DL158" s="102"/>
      <c r="DM158" s="102"/>
      <c r="DN158" s="102"/>
      <c r="DO158" s="102"/>
      <c r="DP158" s="102"/>
    </row>
    <row r="159" spans="1:120" x14ac:dyDescent="0.25">
      <c r="A159" s="4"/>
      <c r="D159"/>
      <c r="E159"/>
      <c r="F159"/>
      <c r="J159" s="68" t="str">
        <f t="shared" si="63"/>
        <v/>
      </c>
      <c r="K159" s="68" t="str">
        <f t="shared" si="64"/>
        <v/>
      </c>
      <c r="L159" s="69" t="str">
        <f t="shared" si="65"/>
        <v/>
      </c>
      <c r="M159" s="69" t="str">
        <f t="shared" si="66"/>
        <v/>
      </c>
      <c r="N159" s="69" t="str">
        <f>IF(A159="","",Tabela1[[#This Row],[PTC]]*Tabela1[[#This Row],[ODDC]])</f>
        <v/>
      </c>
      <c r="O159" s="69" t="str">
        <f>IF(A159="","",Tabela1[[#This Row],[PTV]]*Tabela1[[#This Row],[ODDV]])</f>
        <v/>
      </c>
      <c r="P159" s="68" t="str">
        <f t="shared" si="67"/>
        <v/>
      </c>
      <c r="Q159" s="68" t="str">
        <f t="shared" si="68"/>
        <v/>
      </c>
      <c r="R159" s="68" t="str">
        <f t="shared" si="69"/>
        <v/>
      </c>
      <c r="S159" s="68" t="str">
        <f t="shared" si="70"/>
        <v/>
      </c>
      <c r="T159" s="68" t="str">
        <f>IF(A159="","",IF(F159="D",Tabela1[[#This Row],[ODDE]]-1,-1))</f>
        <v/>
      </c>
      <c r="U159" s="70" t="str">
        <f>IF(A159="","",IF(AND(Tabela1[[#This Row],[FTHG]]&gt;3,F159="H"),1,0))</f>
        <v/>
      </c>
      <c r="V159" s="70" t="str">
        <f>IF(A159="","",IF(AND(Tabela1[[#This Row],[FTAG]]&gt;3,F159="A"),1,0))</f>
        <v/>
      </c>
      <c r="W159" s="70" t="str">
        <f t="shared" si="71"/>
        <v/>
      </c>
      <c r="X159" s="70" t="str">
        <f t="shared" si="72"/>
        <v/>
      </c>
      <c r="Y159" s="71" t="str">
        <f t="shared" si="73"/>
        <v/>
      </c>
      <c r="Z159" s="70" t="str">
        <f t="shared" si="74"/>
        <v/>
      </c>
      <c r="AA159" s="70" t="str">
        <f t="shared" si="75"/>
        <v/>
      </c>
      <c r="AB159" s="70" t="str">
        <f t="shared" si="76"/>
        <v/>
      </c>
      <c r="AC159" s="71" t="str">
        <f t="shared" si="77"/>
        <v/>
      </c>
      <c r="AD159" s="72" t="str">
        <f t="shared" si="78"/>
        <v/>
      </c>
      <c r="AE159" s="73" t="str">
        <f>IF(A159="","",COUNT($N$2:N159))</f>
        <v/>
      </c>
      <c r="AF159" s="74" t="str">
        <f t="shared" si="79"/>
        <v/>
      </c>
      <c r="AG159" s="74" t="str">
        <f t="shared" si="80"/>
        <v/>
      </c>
      <c r="AH159" s="74" t="str">
        <f t="shared" si="81"/>
        <v/>
      </c>
      <c r="AI159" s="74" t="str">
        <f t="shared" si="82"/>
        <v/>
      </c>
      <c r="AJ159" s="74" t="str">
        <f t="shared" si="83"/>
        <v/>
      </c>
      <c r="AK159" s="74" t="str">
        <f>IF(A159="","",1/Tabela1[[#This Row],[ODDC]])</f>
        <v/>
      </c>
      <c r="AL159" s="74" t="str">
        <f>IF(A159="","",1/Tabela1[[#This Row],[ODDE]])</f>
        <v/>
      </c>
      <c r="AM159" s="74" t="str">
        <f>IF(A159="","",1/Tabela1[[#This Row],[ODDV]])</f>
        <v/>
      </c>
      <c r="AN159" s="74" t="str">
        <f>IF(A159="","",1-(Tabela1[[#This Row],[p(H)]]+Tabela1[[#This Row],[p(D)]]+Tabela1[[#This Row],[p(A)]]))</f>
        <v/>
      </c>
      <c r="AO159" s="74" t="str">
        <f>IF(A159="","",IFERROR(Tabela1[[#This Row],[p(H)]]/Tabela1[[#This Row],[FTHG]],1))</f>
        <v/>
      </c>
      <c r="AP159" s="74" t="str">
        <f>IF(A159="","",IFERROR(Tabela1[[#This Row],[p(A)]]/Tabela1[[#This Row],[FTAG]],1))</f>
        <v/>
      </c>
      <c r="AQ159" s="107"/>
      <c r="AR159" s="107"/>
      <c r="AS159" s="107"/>
      <c r="AT159" s="107"/>
      <c r="AU159" s="107"/>
      <c r="AV159" s="107"/>
      <c r="AW159" s="107"/>
      <c r="AX159" s="107"/>
      <c r="AY159" s="107"/>
      <c r="AZ159" s="75"/>
      <c r="BA159" s="75"/>
      <c r="BB159" s="97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7"/>
      <c r="BS159" s="107"/>
      <c r="BT159" s="107"/>
      <c r="BU159" s="107"/>
      <c r="BV159" s="107"/>
      <c r="BW159" s="107"/>
      <c r="BX159" s="75"/>
      <c r="BY159" s="75"/>
      <c r="BZ159" s="75"/>
      <c r="CA159" s="75"/>
      <c r="CB159" s="75"/>
      <c r="CC159" s="75"/>
      <c r="CD159" s="75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  <c r="CY159" s="102"/>
      <c r="CZ159" s="102"/>
      <c r="DA159" s="102"/>
      <c r="DB159" s="102"/>
      <c r="DC159" s="102"/>
      <c r="DD159" s="102"/>
      <c r="DE159" s="102"/>
      <c r="DF159" s="102"/>
      <c r="DG159" s="102"/>
      <c r="DH159" s="102"/>
      <c r="DI159" s="102"/>
      <c r="DJ159" s="102"/>
      <c r="DK159" s="102"/>
      <c r="DL159" s="102"/>
      <c r="DM159" s="102"/>
      <c r="DN159" s="102"/>
      <c r="DO159" s="102"/>
      <c r="DP159" s="102"/>
    </row>
    <row r="160" spans="1:120" x14ac:dyDescent="0.25">
      <c r="A160" s="4"/>
      <c r="D160"/>
      <c r="E160"/>
      <c r="F160"/>
      <c r="J160" s="68" t="str">
        <f t="shared" si="63"/>
        <v/>
      </c>
      <c r="K160" s="68" t="str">
        <f t="shared" si="64"/>
        <v/>
      </c>
      <c r="L160" s="69" t="str">
        <f t="shared" si="65"/>
        <v/>
      </c>
      <c r="M160" s="69" t="str">
        <f t="shared" si="66"/>
        <v/>
      </c>
      <c r="N160" s="69" t="str">
        <f>IF(A160="","",Tabela1[[#This Row],[PTC]]*Tabela1[[#This Row],[ODDC]])</f>
        <v/>
      </c>
      <c r="O160" s="69" t="str">
        <f>IF(A160="","",Tabela1[[#This Row],[PTV]]*Tabela1[[#This Row],[ODDV]])</f>
        <v/>
      </c>
      <c r="P160" s="68" t="str">
        <f t="shared" si="67"/>
        <v/>
      </c>
      <c r="Q160" s="68" t="str">
        <f t="shared" si="68"/>
        <v/>
      </c>
      <c r="R160" s="68" t="str">
        <f t="shared" si="69"/>
        <v/>
      </c>
      <c r="S160" s="68" t="str">
        <f t="shared" si="70"/>
        <v/>
      </c>
      <c r="T160" s="68" t="str">
        <f>IF(A160="","",IF(F160="D",Tabela1[[#This Row],[ODDE]]-1,-1))</f>
        <v/>
      </c>
      <c r="U160" s="70" t="str">
        <f>IF(A160="","",IF(AND(Tabela1[[#This Row],[FTHG]]&gt;3,F160="H"),1,0))</f>
        <v/>
      </c>
      <c r="V160" s="70" t="str">
        <f>IF(A160="","",IF(AND(Tabela1[[#This Row],[FTAG]]&gt;3,F160="A"),1,0))</f>
        <v/>
      </c>
      <c r="W160" s="70" t="str">
        <f t="shared" si="71"/>
        <v/>
      </c>
      <c r="X160" s="70" t="str">
        <f t="shared" si="72"/>
        <v/>
      </c>
      <c r="Y160" s="71" t="str">
        <f t="shared" si="73"/>
        <v/>
      </c>
      <c r="Z160" s="70" t="str">
        <f t="shared" si="74"/>
        <v/>
      </c>
      <c r="AA160" s="70" t="str">
        <f t="shared" si="75"/>
        <v/>
      </c>
      <c r="AB160" s="70" t="str">
        <f t="shared" si="76"/>
        <v/>
      </c>
      <c r="AC160" s="71" t="str">
        <f t="shared" si="77"/>
        <v/>
      </c>
      <c r="AD160" s="72" t="str">
        <f t="shared" si="78"/>
        <v/>
      </c>
      <c r="AE160" s="73" t="str">
        <f>IF(A160="","",COUNT($N$2:N160))</f>
        <v/>
      </c>
      <c r="AF160" s="74" t="str">
        <f t="shared" si="79"/>
        <v/>
      </c>
      <c r="AG160" s="74" t="str">
        <f t="shared" si="80"/>
        <v/>
      </c>
      <c r="AH160" s="74" t="str">
        <f t="shared" si="81"/>
        <v/>
      </c>
      <c r="AI160" s="74" t="str">
        <f t="shared" si="82"/>
        <v/>
      </c>
      <c r="AJ160" s="74" t="str">
        <f t="shared" si="83"/>
        <v/>
      </c>
      <c r="AK160" s="74" t="str">
        <f>IF(A160="","",1/Tabela1[[#This Row],[ODDC]])</f>
        <v/>
      </c>
      <c r="AL160" s="74" t="str">
        <f>IF(A160="","",1/Tabela1[[#This Row],[ODDE]])</f>
        <v/>
      </c>
      <c r="AM160" s="74" t="str">
        <f>IF(A160="","",1/Tabela1[[#This Row],[ODDV]])</f>
        <v/>
      </c>
      <c r="AN160" s="74" t="str">
        <f>IF(A160="","",1-(Tabela1[[#This Row],[p(H)]]+Tabela1[[#This Row],[p(D)]]+Tabela1[[#This Row],[p(A)]]))</f>
        <v/>
      </c>
      <c r="AO160" s="74" t="str">
        <f>IF(A160="","",IFERROR(Tabela1[[#This Row],[p(H)]]/Tabela1[[#This Row],[FTHG]],1))</f>
        <v/>
      </c>
      <c r="AP160" s="74" t="str">
        <f>IF(A160="","",IFERROR(Tabela1[[#This Row],[p(A)]]/Tabela1[[#This Row],[FTAG]],1))</f>
        <v/>
      </c>
      <c r="AQ160" s="107"/>
      <c r="AR160" s="107"/>
      <c r="AS160" s="107"/>
      <c r="AT160" s="107"/>
      <c r="AU160" s="107"/>
      <c r="AV160" s="107"/>
      <c r="AW160" s="107"/>
      <c r="AX160" s="107"/>
      <c r="AY160" s="107"/>
      <c r="AZ160" s="75"/>
      <c r="BA160" s="75"/>
      <c r="BB160" s="97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7"/>
      <c r="BS160" s="107"/>
      <c r="BT160" s="107"/>
      <c r="BU160" s="107"/>
      <c r="BV160" s="107"/>
      <c r="BW160" s="107"/>
      <c r="BX160" s="75"/>
      <c r="BY160" s="75"/>
      <c r="BZ160" s="75"/>
      <c r="CA160" s="75"/>
      <c r="CB160" s="75"/>
      <c r="CC160" s="75"/>
      <c r="CD160" s="75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  <c r="CY160" s="102"/>
      <c r="CZ160" s="102"/>
      <c r="DA160" s="102"/>
      <c r="DB160" s="102"/>
      <c r="DC160" s="102"/>
      <c r="DD160" s="102"/>
      <c r="DE160" s="102"/>
      <c r="DF160" s="102"/>
      <c r="DG160" s="102"/>
      <c r="DH160" s="102"/>
      <c r="DI160" s="102"/>
      <c r="DJ160" s="102"/>
      <c r="DK160" s="102"/>
      <c r="DL160" s="102"/>
      <c r="DM160" s="102"/>
      <c r="DN160" s="102"/>
      <c r="DO160" s="102"/>
      <c r="DP160" s="102"/>
    </row>
    <row r="161" spans="1:120" x14ac:dyDescent="0.25">
      <c r="A161" s="4"/>
      <c r="D161"/>
      <c r="E161"/>
      <c r="F161"/>
      <c r="J161" s="68" t="str">
        <f t="shared" si="63"/>
        <v/>
      </c>
      <c r="K161" s="68" t="str">
        <f t="shared" si="64"/>
        <v/>
      </c>
      <c r="L161" s="69" t="str">
        <f t="shared" si="65"/>
        <v/>
      </c>
      <c r="M161" s="69" t="str">
        <f t="shared" si="66"/>
        <v/>
      </c>
      <c r="N161" s="69" t="str">
        <f>IF(A161="","",Tabela1[[#This Row],[PTC]]*Tabela1[[#This Row],[ODDC]])</f>
        <v/>
      </c>
      <c r="O161" s="69" t="str">
        <f>IF(A161="","",Tabela1[[#This Row],[PTV]]*Tabela1[[#This Row],[ODDV]])</f>
        <v/>
      </c>
      <c r="P161" s="68" t="str">
        <f t="shared" si="67"/>
        <v/>
      </c>
      <c r="Q161" s="68" t="str">
        <f t="shared" si="68"/>
        <v/>
      </c>
      <c r="R161" s="68" t="str">
        <f t="shared" si="69"/>
        <v/>
      </c>
      <c r="S161" s="68" t="str">
        <f t="shared" si="70"/>
        <v/>
      </c>
      <c r="T161" s="68" t="str">
        <f>IF(A161="","",IF(F161="D",Tabela1[[#This Row],[ODDE]]-1,-1))</f>
        <v/>
      </c>
      <c r="U161" s="70" t="str">
        <f>IF(A161="","",IF(AND(Tabela1[[#This Row],[FTHG]]&gt;3,F161="H"),1,0))</f>
        <v/>
      </c>
      <c r="V161" s="70" t="str">
        <f>IF(A161="","",IF(AND(Tabela1[[#This Row],[FTAG]]&gt;3,F161="A"),1,0))</f>
        <v/>
      </c>
      <c r="W161" s="70" t="str">
        <f t="shared" si="71"/>
        <v/>
      </c>
      <c r="X161" s="70" t="str">
        <f t="shared" si="72"/>
        <v/>
      </c>
      <c r="Y161" s="71" t="str">
        <f t="shared" si="73"/>
        <v/>
      </c>
      <c r="Z161" s="70" t="str">
        <f t="shared" si="74"/>
        <v/>
      </c>
      <c r="AA161" s="70" t="str">
        <f t="shared" si="75"/>
        <v/>
      </c>
      <c r="AB161" s="70" t="str">
        <f t="shared" si="76"/>
        <v/>
      </c>
      <c r="AC161" s="71" t="str">
        <f t="shared" si="77"/>
        <v/>
      </c>
      <c r="AD161" s="72" t="str">
        <f t="shared" si="78"/>
        <v/>
      </c>
      <c r="AE161" s="73" t="str">
        <f>IF(A161="","",COUNT($N$2:N161))</f>
        <v/>
      </c>
      <c r="AF161" s="74" t="str">
        <f t="shared" si="79"/>
        <v/>
      </c>
      <c r="AG161" s="74" t="str">
        <f t="shared" si="80"/>
        <v/>
      </c>
      <c r="AH161" s="74" t="str">
        <f t="shared" si="81"/>
        <v/>
      </c>
      <c r="AI161" s="74" t="str">
        <f t="shared" si="82"/>
        <v/>
      </c>
      <c r="AJ161" s="74" t="str">
        <f t="shared" si="83"/>
        <v/>
      </c>
      <c r="AK161" s="74" t="str">
        <f>IF(A161="","",1/Tabela1[[#This Row],[ODDC]])</f>
        <v/>
      </c>
      <c r="AL161" s="74" t="str">
        <f>IF(A161="","",1/Tabela1[[#This Row],[ODDE]])</f>
        <v/>
      </c>
      <c r="AM161" s="74" t="str">
        <f>IF(A161="","",1/Tabela1[[#This Row],[ODDV]])</f>
        <v/>
      </c>
      <c r="AN161" s="74" t="str">
        <f>IF(A161="","",1-(Tabela1[[#This Row],[p(H)]]+Tabela1[[#This Row],[p(D)]]+Tabela1[[#This Row],[p(A)]]))</f>
        <v/>
      </c>
      <c r="AO161" s="74" t="str">
        <f>IF(A161="","",IFERROR(Tabela1[[#This Row],[p(H)]]/Tabela1[[#This Row],[FTHG]],1))</f>
        <v/>
      </c>
      <c r="AP161" s="74" t="str">
        <f>IF(A161="","",IFERROR(Tabela1[[#This Row],[p(A)]]/Tabela1[[#This Row],[FTAG]],1))</f>
        <v/>
      </c>
      <c r="AQ161" s="107"/>
      <c r="AR161" s="107"/>
      <c r="AS161" s="107"/>
      <c r="AT161" s="107"/>
      <c r="AU161" s="107"/>
      <c r="AV161" s="107"/>
      <c r="AW161" s="107"/>
      <c r="AX161" s="107"/>
      <c r="AY161" s="107"/>
      <c r="AZ161" s="75"/>
      <c r="BA161" s="75"/>
      <c r="BB161" s="97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7"/>
      <c r="BS161" s="107"/>
      <c r="BT161" s="107"/>
      <c r="BU161" s="107"/>
      <c r="BV161" s="107"/>
      <c r="BW161" s="107"/>
      <c r="BX161" s="75"/>
      <c r="BY161" s="75"/>
      <c r="BZ161" s="75"/>
      <c r="CA161" s="75"/>
      <c r="CB161" s="75"/>
      <c r="CC161" s="75"/>
      <c r="CD161" s="75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2"/>
      <c r="DC161" s="102"/>
      <c r="DD161" s="102"/>
      <c r="DE161" s="102"/>
      <c r="DF161" s="102"/>
      <c r="DG161" s="102"/>
      <c r="DH161" s="102"/>
      <c r="DI161" s="102"/>
      <c r="DJ161" s="102"/>
      <c r="DK161" s="102"/>
      <c r="DL161" s="102"/>
      <c r="DM161" s="102"/>
      <c r="DN161" s="102"/>
      <c r="DO161" s="102"/>
      <c r="DP161" s="102"/>
    </row>
    <row r="162" spans="1:120" x14ac:dyDescent="0.25">
      <c r="A162" s="4"/>
      <c r="D162"/>
      <c r="E162"/>
      <c r="F162"/>
      <c r="J162" s="68" t="str">
        <f t="shared" si="63"/>
        <v/>
      </c>
      <c r="K162" s="68" t="str">
        <f t="shared" si="64"/>
        <v/>
      </c>
      <c r="L162" s="69" t="str">
        <f t="shared" si="65"/>
        <v/>
      </c>
      <c r="M162" s="69" t="str">
        <f t="shared" si="66"/>
        <v/>
      </c>
      <c r="N162" s="69" t="str">
        <f>IF(A162="","",Tabela1[[#This Row],[PTC]]*Tabela1[[#This Row],[ODDC]])</f>
        <v/>
      </c>
      <c r="O162" s="69" t="str">
        <f>IF(A162="","",Tabela1[[#This Row],[PTV]]*Tabela1[[#This Row],[ODDV]])</f>
        <v/>
      </c>
      <c r="P162" s="68" t="str">
        <f t="shared" si="67"/>
        <v/>
      </c>
      <c r="Q162" s="68" t="str">
        <f t="shared" si="68"/>
        <v/>
      </c>
      <c r="R162" s="68" t="str">
        <f t="shared" si="69"/>
        <v/>
      </c>
      <c r="S162" s="68" t="str">
        <f t="shared" si="70"/>
        <v/>
      </c>
      <c r="T162" s="68" t="str">
        <f>IF(A162="","",IF(F162="D",Tabela1[[#This Row],[ODDE]]-1,-1))</f>
        <v/>
      </c>
      <c r="U162" s="70" t="str">
        <f>IF(A162="","",IF(AND(Tabela1[[#This Row],[FTHG]]&gt;3,F162="H"),1,0))</f>
        <v/>
      </c>
      <c r="V162" s="70" t="str">
        <f>IF(A162="","",IF(AND(Tabela1[[#This Row],[FTAG]]&gt;3,F162="A"),1,0))</f>
        <v/>
      </c>
      <c r="W162" s="70" t="str">
        <f t="shared" si="71"/>
        <v/>
      </c>
      <c r="X162" s="70" t="str">
        <f t="shared" si="72"/>
        <v/>
      </c>
      <c r="Y162" s="71" t="str">
        <f t="shared" si="73"/>
        <v/>
      </c>
      <c r="Z162" s="70" t="str">
        <f t="shared" si="74"/>
        <v/>
      </c>
      <c r="AA162" s="70" t="str">
        <f t="shared" si="75"/>
        <v/>
      </c>
      <c r="AB162" s="70" t="str">
        <f t="shared" si="76"/>
        <v/>
      </c>
      <c r="AC162" s="71" t="str">
        <f t="shared" si="77"/>
        <v/>
      </c>
      <c r="AD162" s="72" t="str">
        <f t="shared" si="78"/>
        <v/>
      </c>
      <c r="AE162" s="73" t="str">
        <f>IF(A162="","",COUNT($N$2:N162))</f>
        <v/>
      </c>
      <c r="AF162" s="74" t="str">
        <f t="shared" si="79"/>
        <v/>
      </c>
      <c r="AG162" s="74" t="str">
        <f t="shared" si="80"/>
        <v/>
      </c>
      <c r="AH162" s="74" t="str">
        <f t="shared" si="81"/>
        <v/>
      </c>
      <c r="AI162" s="74" t="str">
        <f t="shared" si="82"/>
        <v/>
      </c>
      <c r="AJ162" s="74" t="str">
        <f t="shared" si="83"/>
        <v/>
      </c>
      <c r="AK162" s="74" t="str">
        <f>IF(A162="","",1/Tabela1[[#This Row],[ODDC]])</f>
        <v/>
      </c>
      <c r="AL162" s="74" t="str">
        <f>IF(A162="","",1/Tabela1[[#This Row],[ODDE]])</f>
        <v/>
      </c>
      <c r="AM162" s="74" t="str">
        <f>IF(A162="","",1/Tabela1[[#This Row],[ODDV]])</f>
        <v/>
      </c>
      <c r="AN162" s="74" t="str">
        <f>IF(A162="","",1-(Tabela1[[#This Row],[p(H)]]+Tabela1[[#This Row],[p(D)]]+Tabela1[[#This Row],[p(A)]]))</f>
        <v/>
      </c>
      <c r="AO162" s="74" t="str">
        <f>IF(A162="","",IFERROR(Tabela1[[#This Row],[p(H)]]/Tabela1[[#This Row],[FTHG]],1))</f>
        <v/>
      </c>
      <c r="AP162" s="74" t="str">
        <f>IF(A162="","",IFERROR(Tabela1[[#This Row],[p(A)]]/Tabela1[[#This Row],[FTAG]],1))</f>
        <v/>
      </c>
      <c r="AQ162" s="107"/>
      <c r="AR162" s="107"/>
      <c r="AS162" s="107"/>
      <c r="AT162" s="107"/>
      <c r="AU162" s="107"/>
      <c r="AV162" s="107"/>
      <c r="AW162" s="107"/>
      <c r="AX162" s="107"/>
      <c r="AY162" s="107"/>
      <c r="AZ162" s="75"/>
      <c r="BA162" s="75"/>
      <c r="BB162" s="97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7"/>
      <c r="BS162" s="107"/>
      <c r="BT162" s="107"/>
      <c r="BU162" s="107"/>
      <c r="BV162" s="107"/>
      <c r="BW162" s="107"/>
      <c r="BX162" s="75"/>
      <c r="BY162" s="75"/>
      <c r="BZ162" s="75"/>
      <c r="CA162" s="75"/>
      <c r="CB162" s="75"/>
      <c r="CC162" s="75"/>
      <c r="CD162" s="75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2"/>
      <c r="DC162" s="102"/>
      <c r="DD162" s="102"/>
      <c r="DE162" s="102"/>
      <c r="DF162" s="102"/>
      <c r="DG162" s="102"/>
      <c r="DH162" s="102"/>
      <c r="DI162" s="102"/>
      <c r="DJ162" s="102"/>
      <c r="DK162" s="102"/>
      <c r="DL162" s="102"/>
      <c r="DM162" s="102"/>
      <c r="DN162" s="102"/>
      <c r="DO162" s="102"/>
      <c r="DP162" s="102"/>
    </row>
    <row r="163" spans="1:120" x14ac:dyDescent="0.25">
      <c r="A163" s="4"/>
      <c r="D163"/>
      <c r="E163"/>
      <c r="F163"/>
      <c r="J163" s="68" t="str">
        <f t="shared" si="63"/>
        <v/>
      </c>
      <c r="K163" s="68" t="str">
        <f t="shared" si="64"/>
        <v/>
      </c>
      <c r="L163" s="69" t="str">
        <f t="shared" si="65"/>
        <v/>
      </c>
      <c r="M163" s="69" t="str">
        <f t="shared" si="66"/>
        <v/>
      </c>
      <c r="N163" s="69" t="str">
        <f>IF(A163="","",Tabela1[[#This Row],[PTC]]*Tabela1[[#This Row],[ODDC]])</f>
        <v/>
      </c>
      <c r="O163" s="69" t="str">
        <f>IF(A163="","",Tabela1[[#This Row],[PTV]]*Tabela1[[#This Row],[ODDV]])</f>
        <v/>
      </c>
      <c r="P163" s="68" t="str">
        <f t="shared" si="67"/>
        <v/>
      </c>
      <c r="Q163" s="68" t="str">
        <f t="shared" si="68"/>
        <v/>
      </c>
      <c r="R163" s="68" t="str">
        <f t="shared" si="69"/>
        <v/>
      </c>
      <c r="S163" s="68" t="str">
        <f t="shared" si="70"/>
        <v/>
      </c>
      <c r="T163" s="68" t="str">
        <f>IF(A163="","",IF(F163="D",Tabela1[[#This Row],[ODDE]]-1,-1))</f>
        <v/>
      </c>
      <c r="U163" s="70" t="str">
        <f>IF(A163="","",IF(AND(Tabela1[[#This Row],[FTHG]]&gt;3,F163="H"),1,0))</f>
        <v/>
      </c>
      <c r="V163" s="70" t="str">
        <f>IF(A163="","",IF(AND(Tabela1[[#This Row],[FTAG]]&gt;3,F163="A"),1,0))</f>
        <v/>
      </c>
      <c r="W163" s="70" t="str">
        <f t="shared" si="71"/>
        <v/>
      </c>
      <c r="X163" s="70" t="str">
        <f t="shared" si="72"/>
        <v/>
      </c>
      <c r="Y163" s="71" t="str">
        <f t="shared" si="73"/>
        <v/>
      </c>
      <c r="Z163" s="70" t="str">
        <f t="shared" si="74"/>
        <v/>
      </c>
      <c r="AA163" s="70" t="str">
        <f t="shared" si="75"/>
        <v/>
      </c>
      <c r="AB163" s="70" t="str">
        <f t="shared" si="76"/>
        <v/>
      </c>
      <c r="AC163" s="71" t="str">
        <f t="shared" si="77"/>
        <v/>
      </c>
      <c r="AD163" s="72" t="str">
        <f t="shared" si="78"/>
        <v/>
      </c>
      <c r="AE163" s="73" t="str">
        <f>IF(A163="","",COUNT($N$2:N163))</f>
        <v/>
      </c>
      <c r="AF163" s="74" t="str">
        <f t="shared" si="79"/>
        <v/>
      </c>
      <c r="AG163" s="74" t="str">
        <f t="shared" si="80"/>
        <v/>
      </c>
      <c r="AH163" s="74" t="str">
        <f t="shared" si="81"/>
        <v/>
      </c>
      <c r="AI163" s="74" t="str">
        <f t="shared" si="82"/>
        <v/>
      </c>
      <c r="AJ163" s="74" t="str">
        <f t="shared" si="83"/>
        <v/>
      </c>
      <c r="AK163" s="74" t="str">
        <f>IF(A163="","",1/Tabela1[[#This Row],[ODDC]])</f>
        <v/>
      </c>
      <c r="AL163" s="74" t="str">
        <f>IF(A163="","",1/Tabela1[[#This Row],[ODDE]])</f>
        <v/>
      </c>
      <c r="AM163" s="74" t="str">
        <f>IF(A163="","",1/Tabela1[[#This Row],[ODDV]])</f>
        <v/>
      </c>
      <c r="AN163" s="74" t="str">
        <f>IF(A163="","",1-(Tabela1[[#This Row],[p(H)]]+Tabela1[[#This Row],[p(D)]]+Tabela1[[#This Row],[p(A)]]))</f>
        <v/>
      </c>
      <c r="AO163" s="74" t="str">
        <f>IF(A163="","",IFERROR(Tabela1[[#This Row],[p(H)]]/Tabela1[[#This Row],[FTHG]],1))</f>
        <v/>
      </c>
      <c r="AP163" s="74" t="str">
        <f>IF(A163="","",IFERROR(Tabela1[[#This Row],[p(A)]]/Tabela1[[#This Row],[FTAG]],1))</f>
        <v/>
      </c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75"/>
      <c r="BA163" s="75"/>
      <c r="BB163" s="97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7"/>
      <c r="BS163" s="107"/>
      <c r="BT163" s="107"/>
      <c r="BU163" s="107"/>
      <c r="BV163" s="107"/>
      <c r="BW163" s="107"/>
      <c r="BX163" s="75"/>
      <c r="BY163" s="75"/>
      <c r="BZ163" s="75"/>
      <c r="CA163" s="75"/>
      <c r="CB163" s="75"/>
      <c r="CC163" s="75"/>
      <c r="CD163" s="75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2"/>
      <c r="DC163" s="102"/>
      <c r="DD163" s="102"/>
      <c r="DE163" s="102"/>
      <c r="DF163" s="102"/>
      <c r="DG163" s="102"/>
      <c r="DH163" s="102"/>
      <c r="DI163" s="102"/>
      <c r="DJ163" s="102"/>
      <c r="DK163" s="102"/>
      <c r="DL163" s="102"/>
      <c r="DM163" s="102"/>
      <c r="DN163" s="102"/>
      <c r="DO163" s="102"/>
      <c r="DP163" s="102"/>
    </row>
    <row r="164" spans="1:120" x14ac:dyDescent="0.25">
      <c r="A164" s="4"/>
      <c r="D164"/>
      <c r="E164"/>
      <c r="F164"/>
      <c r="J164" s="68" t="str">
        <f t="shared" si="63"/>
        <v/>
      </c>
      <c r="K164" s="68" t="str">
        <f t="shared" si="64"/>
        <v/>
      </c>
      <c r="L164" s="69" t="str">
        <f t="shared" si="65"/>
        <v/>
      </c>
      <c r="M164" s="69" t="str">
        <f t="shared" si="66"/>
        <v/>
      </c>
      <c r="N164" s="69" t="str">
        <f>IF(A164="","",Tabela1[[#This Row],[PTC]]*Tabela1[[#This Row],[ODDC]])</f>
        <v/>
      </c>
      <c r="O164" s="69" t="str">
        <f>IF(A164="","",Tabela1[[#This Row],[PTV]]*Tabela1[[#This Row],[ODDV]])</f>
        <v/>
      </c>
      <c r="P164" s="68" t="str">
        <f t="shared" si="67"/>
        <v/>
      </c>
      <c r="Q164" s="68" t="str">
        <f t="shared" si="68"/>
        <v/>
      </c>
      <c r="R164" s="68" t="str">
        <f t="shared" si="69"/>
        <v/>
      </c>
      <c r="S164" s="68" t="str">
        <f t="shared" si="70"/>
        <v/>
      </c>
      <c r="T164" s="68" t="str">
        <f>IF(A164="","",IF(F164="D",Tabela1[[#This Row],[ODDE]]-1,-1))</f>
        <v/>
      </c>
      <c r="U164" s="70" t="str">
        <f>IF(A164="","",IF(AND(Tabela1[[#This Row],[FTHG]]&gt;3,F164="H"),1,0))</f>
        <v/>
      </c>
      <c r="V164" s="70" t="str">
        <f>IF(A164="","",IF(AND(Tabela1[[#This Row],[FTAG]]&gt;3,F164="A"),1,0))</f>
        <v/>
      </c>
      <c r="W164" s="70" t="str">
        <f t="shared" si="71"/>
        <v/>
      </c>
      <c r="X164" s="70" t="str">
        <f t="shared" si="72"/>
        <v/>
      </c>
      <c r="Y164" s="71" t="str">
        <f t="shared" si="73"/>
        <v/>
      </c>
      <c r="Z164" s="70" t="str">
        <f t="shared" si="74"/>
        <v/>
      </c>
      <c r="AA164" s="70" t="str">
        <f t="shared" si="75"/>
        <v/>
      </c>
      <c r="AB164" s="70" t="str">
        <f t="shared" si="76"/>
        <v/>
      </c>
      <c r="AC164" s="71" t="str">
        <f t="shared" si="77"/>
        <v/>
      </c>
      <c r="AD164" s="72" t="str">
        <f t="shared" si="78"/>
        <v/>
      </c>
      <c r="AE164" s="73" t="str">
        <f>IF(A164="","",COUNT($N$2:N164))</f>
        <v/>
      </c>
      <c r="AF164" s="74" t="str">
        <f t="shared" si="79"/>
        <v/>
      </c>
      <c r="AG164" s="74" t="str">
        <f t="shared" si="80"/>
        <v/>
      </c>
      <c r="AH164" s="74" t="str">
        <f t="shared" si="81"/>
        <v/>
      </c>
      <c r="AI164" s="74" t="str">
        <f t="shared" si="82"/>
        <v/>
      </c>
      <c r="AJ164" s="74" t="str">
        <f t="shared" si="83"/>
        <v/>
      </c>
      <c r="AK164" s="74" t="str">
        <f>IF(A164="","",1/Tabela1[[#This Row],[ODDC]])</f>
        <v/>
      </c>
      <c r="AL164" s="74" t="str">
        <f>IF(A164="","",1/Tabela1[[#This Row],[ODDE]])</f>
        <v/>
      </c>
      <c r="AM164" s="74" t="str">
        <f>IF(A164="","",1/Tabela1[[#This Row],[ODDV]])</f>
        <v/>
      </c>
      <c r="AN164" s="74" t="str">
        <f>IF(A164="","",1-(Tabela1[[#This Row],[p(H)]]+Tabela1[[#This Row],[p(D)]]+Tabela1[[#This Row],[p(A)]]))</f>
        <v/>
      </c>
      <c r="AO164" s="74" t="str">
        <f>IF(A164="","",IFERROR(Tabela1[[#This Row],[p(H)]]/Tabela1[[#This Row],[FTHG]],1))</f>
        <v/>
      </c>
      <c r="AP164" s="74" t="str">
        <f>IF(A164="","",IFERROR(Tabela1[[#This Row],[p(A)]]/Tabela1[[#This Row],[FTAG]],1))</f>
        <v/>
      </c>
      <c r="AQ164" s="107"/>
      <c r="AR164" s="107"/>
      <c r="AS164" s="107"/>
      <c r="AT164" s="107"/>
      <c r="AU164" s="107"/>
      <c r="AV164" s="107"/>
      <c r="AW164" s="107"/>
      <c r="AX164" s="107"/>
      <c r="AY164" s="107"/>
      <c r="AZ164" s="75"/>
      <c r="BA164" s="75"/>
      <c r="BB164" s="97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7"/>
      <c r="BS164" s="107"/>
      <c r="BT164" s="107"/>
      <c r="BU164" s="107"/>
      <c r="BV164" s="107"/>
      <c r="BW164" s="107"/>
      <c r="BX164" s="75"/>
      <c r="BY164" s="75"/>
      <c r="BZ164" s="75"/>
      <c r="CA164" s="75"/>
      <c r="CB164" s="75"/>
      <c r="CC164" s="75"/>
      <c r="CD164" s="75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</row>
    <row r="165" spans="1:120" x14ac:dyDescent="0.25">
      <c r="A165" s="4"/>
      <c r="D165"/>
      <c r="E165"/>
      <c r="F165"/>
      <c r="J165" s="68" t="str">
        <f t="shared" si="63"/>
        <v/>
      </c>
      <c r="K165" s="68" t="str">
        <f t="shared" si="64"/>
        <v/>
      </c>
      <c r="L165" s="69" t="str">
        <f t="shared" si="65"/>
        <v/>
      </c>
      <c r="M165" s="69" t="str">
        <f t="shared" si="66"/>
        <v/>
      </c>
      <c r="N165" s="69" t="str">
        <f>IF(A165="","",Tabela1[[#This Row],[PTC]]*Tabela1[[#This Row],[ODDC]])</f>
        <v/>
      </c>
      <c r="O165" s="69" t="str">
        <f>IF(A165="","",Tabela1[[#This Row],[PTV]]*Tabela1[[#This Row],[ODDV]])</f>
        <v/>
      </c>
      <c r="P165" s="68" t="str">
        <f t="shared" si="67"/>
        <v/>
      </c>
      <c r="Q165" s="68" t="str">
        <f t="shared" si="68"/>
        <v/>
      </c>
      <c r="R165" s="68" t="str">
        <f t="shared" si="69"/>
        <v/>
      </c>
      <c r="S165" s="68" t="str">
        <f t="shared" si="70"/>
        <v/>
      </c>
      <c r="T165" s="68" t="str">
        <f>IF(A165="","",IF(F165="D",Tabela1[[#This Row],[ODDE]]-1,-1))</f>
        <v/>
      </c>
      <c r="U165" s="70" t="str">
        <f>IF(A165="","",IF(AND(Tabela1[[#This Row],[FTHG]]&gt;3,F165="H"),1,0))</f>
        <v/>
      </c>
      <c r="V165" s="70" t="str">
        <f>IF(A165="","",IF(AND(Tabela1[[#This Row],[FTAG]]&gt;3,F165="A"),1,0))</f>
        <v/>
      </c>
      <c r="W165" s="70" t="str">
        <f t="shared" si="71"/>
        <v/>
      </c>
      <c r="X165" s="70" t="str">
        <f t="shared" si="72"/>
        <v/>
      </c>
      <c r="Y165" s="71" t="str">
        <f t="shared" si="73"/>
        <v/>
      </c>
      <c r="Z165" s="70" t="str">
        <f t="shared" si="74"/>
        <v/>
      </c>
      <c r="AA165" s="70" t="str">
        <f t="shared" si="75"/>
        <v/>
      </c>
      <c r="AB165" s="70" t="str">
        <f t="shared" si="76"/>
        <v/>
      </c>
      <c r="AC165" s="71" t="str">
        <f t="shared" si="77"/>
        <v/>
      </c>
      <c r="AD165" s="72" t="str">
        <f t="shared" si="78"/>
        <v/>
      </c>
      <c r="AE165" s="73" t="str">
        <f>IF(A165="","",COUNT($N$2:N165))</f>
        <v/>
      </c>
      <c r="AF165" s="74" t="str">
        <f t="shared" si="79"/>
        <v/>
      </c>
      <c r="AG165" s="74" t="str">
        <f t="shared" si="80"/>
        <v/>
      </c>
      <c r="AH165" s="74" t="str">
        <f t="shared" si="81"/>
        <v/>
      </c>
      <c r="AI165" s="74" t="str">
        <f t="shared" si="82"/>
        <v/>
      </c>
      <c r="AJ165" s="74" t="str">
        <f t="shared" si="83"/>
        <v/>
      </c>
      <c r="AK165" s="74" t="str">
        <f>IF(A165="","",1/Tabela1[[#This Row],[ODDC]])</f>
        <v/>
      </c>
      <c r="AL165" s="74" t="str">
        <f>IF(A165="","",1/Tabela1[[#This Row],[ODDE]])</f>
        <v/>
      </c>
      <c r="AM165" s="74" t="str">
        <f>IF(A165="","",1/Tabela1[[#This Row],[ODDV]])</f>
        <v/>
      </c>
      <c r="AN165" s="74" t="str">
        <f>IF(A165="","",1-(Tabela1[[#This Row],[p(H)]]+Tabela1[[#This Row],[p(D)]]+Tabela1[[#This Row],[p(A)]]))</f>
        <v/>
      </c>
      <c r="AO165" s="74" t="str">
        <f>IF(A165="","",IFERROR(Tabela1[[#This Row],[p(H)]]/Tabela1[[#This Row],[FTHG]],1))</f>
        <v/>
      </c>
      <c r="AP165" s="74" t="str">
        <f>IF(A165="","",IFERROR(Tabela1[[#This Row],[p(A)]]/Tabela1[[#This Row],[FTAG]],1))</f>
        <v/>
      </c>
      <c r="AQ165" s="107"/>
      <c r="AR165" s="107"/>
      <c r="AS165" s="107"/>
      <c r="AT165" s="107"/>
      <c r="AU165" s="107"/>
      <c r="AV165" s="107"/>
      <c r="AW165" s="107"/>
      <c r="AX165" s="107"/>
      <c r="AY165" s="107"/>
      <c r="AZ165" s="75"/>
      <c r="BA165" s="75"/>
      <c r="BB165" s="97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7"/>
      <c r="BS165" s="107"/>
      <c r="BT165" s="107"/>
      <c r="BU165" s="107"/>
      <c r="BV165" s="107"/>
      <c r="BW165" s="107"/>
      <c r="BX165" s="75"/>
      <c r="BY165" s="75"/>
      <c r="BZ165" s="75"/>
      <c r="CA165" s="75"/>
      <c r="CB165" s="75"/>
      <c r="CC165" s="75"/>
      <c r="CD165" s="75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2"/>
      <c r="CR165" s="102"/>
      <c r="CS165" s="102"/>
      <c r="CT165" s="102"/>
      <c r="CU165" s="102"/>
      <c r="CV165" s="102"/>
      <c r="CW165" s="102"/>
      <c r="CX165" s="102"/>
      <c r="CY165" s="102"/>
      <c r="CZ165" s="102"/>
      <c r="DA165" s="102"/>
      <c r="DB165" s="102"/>
      <c r="DC165" s="102"/>
      <c r="DD165" s="102"/>
      <c r="DE165" s="102"/>
      <c r="DF165" s="102"/>
      <c r="DG165" s="102"/>
      <c r="DH165" s="102"/>
      <c r="DI165" s="102"/>
      <c r="DJ165" s="102"/>
      <c r="DK165" s="102"/>
      <c r="DL165" s="102"/>
      <c r="DM165" s="102"/>
      <c r="DN165" s="102"/>
      <c r="DO165" s="102"/>
      <c r="DP165" s="102"/>
    </row>
    <row r="166" spans="1:120" x14ac:dyDescent="0.25">
      <c r="A166" s="4"/>
      <c r="D166"/>
      <c r="E166"/>
      <c r="F166"/>
      <c r="J166" s="68" t="str">
        <f t="shared" si="63"/>
        <v/>
      </c>
      <c r="K166" s="68" t="str">
        <f t="shared" si="64"/>
        <v/>
      </c>
      <c r="L166" s="69" t="str">
        <f t="shared" si="65"/>
        <v/>
      </c>
      <c r="M166" s="69" t="str">
        <f t="shared" si="66"/>
        <v/>
      </c>
      <c r="N166" s="69" t="str">
        <f>IF(A166="","",Tabela1[[#This Row],[PTC]]*Tabela1[[#This Row],[ODDC]])</f>
        <v/>
      </c>
      <c r="O166" s="69" t="str">
        <f>IF(A166="","",Tabela1[[#This Row],[PTV]]*Tabela1[[#This Row],[ODDV]])</f>
        <v/>
      </c>
      <c r="P166" s="68" t="str">
        <f t="shared" si="67"/>
        <v/>
      </c>
      <c r="Q166" s="68" t="str">
        <f t="shared" si="68"/>
        <v/>
      </c>
      <c r="R166" s="68" t="str">
        <f t="shared" si="69"/>
        <v/>
      </c>
      <c r="S166" s="68" t="str">
        <f t="shared" si="70"/>
        <v/>
      </c>
      <c r="T166" s="68" t="str">
        <f>IF(A166="","",IF(F166="D",Tabela1[[#This Row],[ODDE]]-1,-1))</f>
        <v/>
      </c>
      <c r="U166" s="70" t="str">
        <f>IF(A166="","",IF(AND(Tabela1[[#This Row],[FTHG]]&gt;3,F166="H"),1,0))</f>
        <v/>
      </c>
      <c r="V166" s="70" t="str">
        <f>IF(A166="","",IF(AND(Tabela1[[#This Row],[FTAG]]&gt;3,F166="A"),1,0))</f>
        <v/>
      </c>
      <c r="W166" s="70" t="str">
        <f t="shared" si="71"/>
        <v/>
      </c>
      <c r="X166" s="70" t="str">
        <f t="shared" si="72"/>
        <v/>
      </c>
      <c r="Y166" s="71" t="str">
        <f t="shared" si="73"/>
        <v/>
      </c>
      <c r="Z166" s="70" t="str">
        <f t="shared" si="74"/>
        <v/>
      </c>
      <c r="AA166" s="70" t="str">
        <f t="shared" si="75"/>
        <v/>
      </c>
      <c r="AB166" s="70" t="str">
        <f t="shared" si="76"/>
        <v/>
      </c>
      <c r="AC166" s="71" t="str">
        <f t="shared" si="77"/>
        <v/>
      </c>
      <c r="AD166" s="72" t="str">
        <f t="shared" si="78"/>
        <v/>
      </c>
      <c r="AE166" s="73" t="str">
        <f>IF(A166="","",COUNT($N$2:N166))</f>
        <v/>
      </c>
      <c r="AF166" s="74" t="str">
        <f t="shared" si="79"/>
        <v/>
      </c>
      <c r="AG166" s="74" t="str">
        <f t="shared" si="80"/>
        <v/>
      </c>
      <c r="AH166" s="74" t="str">
        <f t="shared" si="81"/>
        <v/>
      </c>
      <c r="AI166" s="74" t="str">
        <f t="shared" si="82"/>
        <v/>
      </c>
      <c r="AJ166" s="74" t="str">
        <f t="shared" si="83"/>
        <v/>
      </c>
      <c r="AK166" s="74" t="str">
        <f>IF(A166="","",1/Tabela1[[#This Row],[ODDC]])</f>
        <v/>
      </c>
      <c r="AL166" s="74" t="str">
        <f>IF(A166="","",1/Tabela1[[#This Row],[ODDE]])</f>
        <v/>
      </c>
      <c r="AM166" s="74" t="str">
        <f>IF(A166="","",1/Tabela1[[#This Row],[ODDV]])</f>
        <v/>
      </c>
      <c r="AN166" s="74" t="str">
        <f>IF(A166="","",1-(Tabela1[[#This Row],[p(H)]]+Tabela1[[#This Row],[p(D)]]+Tabela1[[#This Row],[p(A)]]))</f>
        <v/>
      </c>
      <c r="AO166" s="74" t="str">
        <f>IF(A166="","",IFERROR(Tabela1[[#This Row],[p(H)]]/Tabela1[[#This Row],[FTHG]],1))</f>
        <v/>
      </c>
      <c r="AP166" s="74" t="str">
        <f>IF(A166="","",IFERROR(Tabela1[[#This Row],[p(A)]]/Tabela1[[#This Row],[FTAG]],1))</f>
        <v/>
      </c>
      <c r="AQ166" s="107"/>
      <c r="AR166" s="107"/>
      <c r="AS166" s="107"/>
      <c r="AT166" s="107"/>
      <c r="AU166" s="107"/>
      <c r="AV166" s="107"/>
      <c r="AW166" s="107"/>
      <c r="AX166" s="107"/>
      <c r="AY166" s="107"/>
      <c r="AZ166" s="75"/>
      <c r="BA166" s="75"/>
      <c r="BB166" s="97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7"/>
      <c r="BS166" s="107"/>
      <c r="BT166" s="107"/>
      <c r="BU166" s="107"/>
      <c r="BV166" s="107"/>
      <c r="BW166" s="107"/>
      <c r="BX166" s="75"/>
      <c r="BY166" s="75"/>
      <c r="BZ166" s="75"/>
      <c r="CA166" s="75"/>
      <c r="CB166" s="75"/>
      <c r="CC166" s="75"/>
      <c r="CD166" s="75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/>
      <c r="CW166" s="102"/>
      <c r="CX166" s="102"/>
      <c r="CY166" s="102"/>
      <c r="CZ166" s="102"/>
      <c r="DA166" s="102"/>
      <c r="DB166" s="102"/>
      <c r="DC166" s="102"/>
      <c r="DD166" s="102"/>
      <c r="DE166" s="102"/>
      <c r="DF166" s="102"/>
      <c r="DG166" s="102"/>
      <c r="DH166" s="102"/>
      <c r="DI166" s="102"/>
      <c r="DJ166" s="102"/>
      <c r="DK166" s="102"/>
      <c r="DL166" s="102"/>
      <c r="DM166" s="102"/>
      <c r="DN166" s="102"/>
      <c r="DO166" s="102"/>
      <c r="DP166" s="102"/>
    </row>
    <row r="167" spans="1:120" x14ac:dyDescent="0.25">
      <c r="A167" s="4"/>
      <c r="D167"/>
      <c r="E167"/>
      <c r="F167"/>
      <c r="J167" s="68" t="str">
        <f t="shared" si="63"/>
        <v/>
      </c>
      <c r="K167" s="68" t="str">
        <f t="shared" si="64"/>
        <v/>
      </c>
      <c r="L167" s="69" t="str">
        <f t="shared" si="65"/>
        <v/>
      </c>
      <c r="M167" s="69" t="str">
        <f t="shared" si="66"/>
        <v/>
      </c>
      <c r="N167" s="69" t="str">
        <f>IF(A167="","",Tabela1[[#This Row],[PTC]]*Tabela1[[#This Row],[ODDC]])</f>
        <v/>
      </c>
      <c r="O167" s="69" t="str">
        <f>IF(A167="","",Tabela1[[#This Row],[PTV]]*Tabela1[[#This Row],[ODDV]])</f>
        <v/>
      </c>
      <c r="P167" s="68" t="str">
        <f t="shared" si="67"/>
        <v/>
      </c>
      <c r="Q167" s="68" t="str">
        <f t="shared" si="68"/>
        <v/>
      </c>
      <c r="R167" s="68" t="str">
        <f t="shared" si="69"/>
        <v/>
      </c>
      <c r="S167" s="68" t="str">
        <f t="shared" si="70"/>
        <v/>
      </c>
      <c r="T167" s="68" t="str">
        <f>IF(A167="","",IF(F167="D",Tabela1[[#This Row],[ODDE]]-1,-1))</f>
        <v/>
      </c>
      <c r="U167" s="70" t="str">
        <f>IF(A167="","",IF(AND(Tabela1[[#This Row],[FTHG]]&gt;3,F167="H"),1,0))</f>
        <v/>
      </c>
      <c r="V167" s="70" t="str">
        <f>IF(A167="","",IF(AND(Tabela1[[#This Row],[FTAG]]&gt;3,F167="A"),1,0))</f>
        <v/>
      </c>
      <c r="W167" s="70" t="str">
        <f t="shared" si="71"/>
        <v/>
      </c>
      <c r="X167" s="70" t="str">
        <f t="shared" si="72"/>
        <v/>
      </c>
      <c r="Y167" s="71" t="str">
        <f t="shared" si="73"/>
        <v/>
      </c>
      <c r="Z167" s="70" t="str">
        <f t="shared" si="74"/>
        <v/>
      </c>
      <c r="AA167" s="70" t="str">
        <f t="shared" si="75"/>
        <v/>
      </c>
      <c r="AB167" s="70" t="str">
        <f t="shared" si="76"/>
        <v/>
      </c>
      <c r="AC167" s="71" t="str">
        <f t="shared" si="77"/>
        <v/>
      </c>
      <c r="AD167" s="72" t="str">
        <f t="shared" si="78"/>
        <v/>
      </c>
      <c r="AE167" s="73" t="str">
        <f>IF(A167="","",COUNT($N$2:N167))</f>
        <v/>
      </c>
      <c r="AF167" s="74" t="str">
        <f t="shared" si="79"/>
        <v/>
      </c>
      <c r="AG167" s="74" t="str">
        <f t="shared" si="80"/>
        <v/>
      </c>
      <c r="AH167" s="74" t="str">
        <f t="shared" si="81"/>
        <v/>
      </c>
      <c r="AI167" s="74" t="str">
        <f t="shared" si="82"/>
        <v/>
      </c>
      <c r="AJ167" s="74" t="str">
        <f t="shared" si="83"/>
        <v/>
      </c>
      <c r="AK167" s="74" t="str">
        <f>IF(A167="","",1/Tabela1[[#This Row],[ODDC]])</f>
        <v/>
      </c>
      <c r="AL167" s="74" t="str">
        <f>IF(A167="","",1/Tabela1[[#This Row],[ODDE]])</f>
        <v/>
      </c>
      <c r="AM167" s="74" t="str">
        <f>IF(A167="","",1/Tabela1[[#This Row],[ODDV]])</f>
        <v/>
      </c>
      <c r="AN167" s="74" t="str">
        <f>IF(A167="","",1-(Tabela1[[#This Row],[p(H)]]+Tabela1[[#This Row],[p(D)]]+Tabela1[[#This Row],[p(A)]]))</f>
        <v/>
      </c>
      <c r="AO167" s="74" t="str">
        <f>IF(A167="","",IFERROR(Tabela1[[#This Row],[p(H)]]/Tabela1[[#This Row],[FTHG]],1))</f>
        <v/>
      </c>
      <c r="AP167" s="74" t="str">
        <f>IF(A167="","",IFERROR(Tabela1[[#This Row],[p(A)]]/Tabela1[[#This Row],[FTAG]],1))</f>
        <v/>
      </c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75"/>
      <c r="BA167" s="75"/>
      <c r="BB167" s="97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7"/>
      <c r="BS167" s="107"/>
      <c r="BT167" s="107"/>
      <c r="BU167" s="107"/>
      <c r="BV167" s="107"/>
      <c r="BW167" s="107"/>
      <c r="BX167" s="75"/>
      <c r="BY167" s="75"/>
      <c r="BZ167" s="75"/>
      <c r="CA167" s="75"/>
      <c r="CB167" s="75"/>
      <c r="CC167" s="75"/>
      <c r="CD167" s="75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2"/>
      <c r="CR167" s="102"/>
      <c r="CS167" s="102"/>
      <c r="CT167" s="102"/>
      <c r="CU167" s="102"/>
      <c r="CV167" s="102"/>
      <c r="CW167" s="102"/>
      <c r="CX167" s="102"/>
      <c r="CY167" s="102"/>
      <c r="CZ167" s="102"/>
      <c r="DA167" s="102"/>
      <c r="DB167" s="102"/>
      <c r="DC167" s="102"/>
      <c r="DD167" s="102"/>
      <c r="DE167" s="102"/>
      <c r="DF167" s="102"/>
      <c r="DG167" s="102"/>
      <c r="DH167" s="102"/>
      <c r="DI167" s="102"/>
      <c r="DJ167" s="102"/>
      <c r="DK167" s="102"/>
      <c r="DL167" s="102"/>
      <c r="DM167" s="102"/>
      <c r="DN167" s="102"/>
      <c r="DO167" s="102"/>
      <c r="DP167" s="102"/>
    </row>
    <row r="168" spans="1:120" x14ac:dyDescent="0.25">
      <c r="A168" s="4"/>
      <c r="D168"/>
      <c r="E168"/>
      <c r="F168"/>
      <c r="J168" s="68" t="str">
        <f t="shared" si="63"/>
        <v/>
      </c>
      <c r="K168" s="68" t="str">
        <f t="shared" si="64"/>
        <v/>
      </c>
      <c r="L168" s="69" t="str">
        <f t="shared" si="65"/>
        <v/>
      </c>
      <c r="M168" s="69" t="str">
        <f t="shared" si="66"/>
        <v/>
      </c>
      <c r="N168" s="69" t="str">
        <f>IF(A168="","",Tabela1[[#This Row],[PTC]]*Tabela1[[#This Row],[ODDC]])</f>
        <v/>
      </c>
      <c r="O168" s="69" t="str">
        <f>IF(A168="","",Tabela1[[#This Row],[PTV]]*Tabela1[[#This Row],[ODDV]])</f>
        <v/>
      </c>
      <c r="P168" s="68" t="str">
        <f t="shared" si="67"/>
        <v/>
      </c>
      <c r="Q168" s="68" t="str">
        <f t="shared" si="68"/>
        <v/>
      </c>
      <c r="R168" s="68" t="str">
        <f t="shared" si="69"/>
        <v/>
      </c>
      <c r="S168" s="68" t="str">
        <f t="shared" si="70"/>
        <v/>
      </c>
      <c r="T168" s="68" t="str">
        <f>IF(A168="","",IF(F168="D",Tabela1[[#This Row],[ODDE]]-1,-1))</f>
        <v/>
      </c>
      <c r="U168" s="70" t="str">
        <f>IF(A168="","",IF(AND(Tabela1[[#This Row],[FTHG]]&gt;3,F168="H"),1,0))</f>
        <v/>
      </c>
      <c r="V168" s="70" t="str">
        <f>IF(A168="","",IF(AND(Tabela1[[#This Row],[FTAG]]&gt;3,F168="A"),1,0))</f>
        <v/>
      </c>
      <c r="W168" s="70" t="str">
        <f t="shared" si="71"/>
        <v/>
      </c>
      <c r="X168" s="70" t="str">
        <f t="shared" si="72"/>
        <v/>
      </c>
      <c r="Y168" s="71" t="str">
        <f t="shared" si="73"/>
        <v/>
      </c>
      <c r="Z168" s="70" t="str">
        <f t="shared" si="74"/>
        <v/>
      </c>
      <c r="AA168" s="70" t="str">
        <f t="shared" si="75"/>
        <v/>
      </c>
      <c r="AB168" s="70" t="str">
        <f t="shared" si="76"/>
        <v/>
      </c>
      <c r="AC168" s="71" t="str">
        <f t="shared" si="77"/>
        <v/>
      </c>
      <c r="AD168" s="72" t="str">
        <f t="shared" si="78"/>
        <v/>
      </c>
      <c r="AE168" s="73" t="str">
        <f>IF(A168="","",COUNT($N$2:N168))</f>
        <v/>
      </c>
      <c r="AF168" s="74" t="str">
        <f t="shared" si="79"/>
        <v/>
      </c>
      <c r="AG168" s="74" t="str">
        <f t="shared" si="80"/>
        <v/>
      </c>
      <c r="AH168" s="74" t="str">
        <f t="shared" si="81"/>
        <v/>
      </c>
      <c r="AI168" s="74" t="str">
        <f t="shared" si="82"/>
        <v/>
      </c>
      <c r="AJ168" s="74" t="str">
        <f t="shared" si="83"/>
        <v/>
      </c>
      <c r="AK168" s="74" t="str">
        <f>IF(A168="","",1/Tabela1[[#This Row],[ODDC]])</f>
        <v/>
      </c>
      <c r="AL168" s="74" t="str">
        <f>IF(A168="","",1/Tabela1[[#This Row],[ODDE]])</f>
        <v/>
      </c>
      <c r="AM168" s="74" t="str">
        <f>IF(A168="","",1/Tabela1[[#This Row],[ODDV]])</f>
        <v/>
      </c>
      <c r="AN168" s="74" t="str">
        <f>IF(A168="","",1-(Tabela1[[#This Row],[p(H)]]+Tabela1[[#This Row],[p(D)]]+Tabela1[[#This Row],[p(A)]]))</f>
        <v/>
      </c>
      <c r="AO168" s="74" t="str">
        <f>IF(A168="","",IFERROR(Tabela1[[#This Row],[p(H)]]/Tabela1[[#This Row],[FTHG]],1))</f>
        <v/>
      </c>
      <c r="AP168" s="74" t="str">
        <f>IF(A168="","",IFERROR(Tabela1[[#This Row],[p(A)]]/Tabela1[[#This Row],[FTAG]],1))</f>
        <v/>
      </c>
      <c r="AQ168" s="107"/>
      <c r="AR168" s="107"/>
      <c r="AS168" s="107"/>
      <c r="AT168" s="107"/>
      <c r="AU168" s="107"/>
      <c r="AV168" s="107"/>
      <c r="AW168" s="107"/>
      <c r="AX168" s="107"/>
      <c r="AY168" s="107"/>
      <c r="AZ168" s="75"/>
      <c r="BA168" s="75"/>
      <c r="BB168" s="97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7"/>
      <c r="BS168" s="107"/>
      <c r="BT168" s="107"/>
      <c r="BU168" s="107"/>
      <c r="BV168" s="107"/>
      <c r="BW168" s="107"/>
      <c r="BX168" s="75"/>
      <c r="BY168" s="75"/>
      <c r="BZ168" s="75"/>
      <c r="CA168" s="75"/>
      <c r="CB168" s="75"/>
      <c r="CC168" s="75"/>
      <c r="CD168" s="75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2"/>
      <c r="CR168" s="102"/>
      <c r="CS168" s="102"/>
      <c r="CT168" s="102"/>
      <c r="CU168" s="102"/>
      <c r="CV168" s="102"/>
      <c r="CW168" s="102"/>
      <c r="CX168" s="102"/>
      <c r="CY168" s="102"/>
      <c r="CZ168" s="102"/>
      <c r="DA168" s="102"/>
      <c r="DB168" s="102"/>
      <c r="DC168" s="102"/>
      <c r="DD168" s="102"/>
      <c r="DE168" s="102"/>
      <c r="DF168" s="102"/>
      <c r="DG168" s="102"/>
      <c r="DH168" s="102"/>
      <c r="DI168" s="102"/>
      <c r="DJ168" s="102"/>
      <c r="DK168" s="102"/>
      <c r="DL168" s="102"/>
      <c r="DM168" s="102"/>
      <c r="DN168" s="102"/>
      <c r="DO168" s="102"/>
      <c r="DP168" s="102"/>
    </row>
    <row r="169" spans="1:120" x14ac:dyDescent="0.25">
      <c r="A169" s="4"/>
      <c r="D169"/>
      <c r="E169"/>
      <c r="F169"/>
      <c r="J169" s="68" t="str">
        <f t="shared" si="63"/>
        <v/>
      </c>
      <c r="K169" s="68" t="str">
        <f t="shared" si="64"/>
        <v/>
      </c>
      <c r="L169" s="69" t="str">
        <f t="shared" si="65"/>
        <v/>
      </c>
      <c r="M169" s="69" t="str">
        <f t="shared" si="66"/>
        <v/>
      </c>
      <c r="N169" s="69" t="str">
        <f>IF(A169="","",Tabela1[[#This Row],[PTC]]*Tabela1[[#This Row],[ODDC]])</f>
        <v/>
      </c>
      <c r="O169" s="69" t="str">
        <f>IF(A169="","",Tabela1[[#This Row],[PTV]]*Tabela1[[#This Row],[ODDV]])</f>
        <v/>
      </c>
      <c r="P169" s="68" t="str">
        <f t="shared" si="67"/>
        <v/>
      </c>
      <c r="Q169" s="68" t="str">
        <f t="shared" si="68"/>
        <v/>
      </c>
      <c r="R169" s="68" t="str">
        <f t="shared" si="69"/>
        <v/>
      </c>
      <c r="S169" s="68" t="str">
        <f t="shared" si="70"/>
        <v/>
      </c>
      <c r="T169" s="68" t="str">
        <f>IF(A169="","",IF(F169="D",Tabela1[[#This Row],[ODDE]]-1,-1))</f>
        <v/>
      </c>
      <c r="U169" s="70" t="str">
        <f>IF(A169="","",IF(AND(Tabela1[[#This Row],[FTHG]]&gt;3,F169="H"),1,0))</f>
        <v/>
      </c>
      <c r="V169" s="70" t="str">
        <f>IF(A169="","",IF(AND(Tabela1[[#This Row],[FTAG]]&gt;3,F169="A"),1,0))</f>
        <v/>
      </c>
      <c r="W169" s="70" t="str">
        <f t="shared" si="71"/>
        <v/>
      </c>
      <c r="X169" s="70" t="str">
        <f t="shared" si="72"/>
        <v/>
      </c>
      <c r="Y169" s="71" t="str">
        <f t="shared" si="73"/>
        <v/>
      </c>
      <c r="Z169" s="70" t="str">
        <f t="shared" si="74"/>
        <v/>
      </c>
      <c r="AA169" s="70" t="str">
        <f t="shared" si="75"/>
        <v/>
      </c>
      <c r="AB169" s="70" t="str">
        <f t="shared" si="76"/>
        <v/>
      </c>
      <c r="AC169" s="71" t="str">
        <f t="shared" si="77"/>
        <v/>
      </c>
      <c r="AD169" s="72" t="str">
        <f t="shared" si="78"/>
        <v/>
      </c>
      <c r="AE169" s="73" t="str">
        <f>IF(A169="","",COUNT($N$2:N169))</f>
        <v/>
      </c>
      <c r="AF169" s="74" t="str">
        <f t="shared" si="79"/>
        <v/>
      </c>
      <c r="AG169" s="74" t="str">
        <f t="shared" si="80"/>
        <v/>
      </c>
      <c r="AH169" s="74" t="str">
        <f t="shared" si="81"/>
        <v/>
      </c>
      <c r="AI169" s="74" t="str">
        <f t="shared" si="82"/>
        <v/>
      </c>
      <c r="AJ169" s="74" t="str">
        <f t="shared" si="83"/>
        <v/>
      </c>
      <c r="AK169" s="74" t="str">
        <f>IF(A169="","",1/Tabela1[[#This Row],[ODDC]])</f>
        <v/>
      </c>
      <c r="AL169" s="74" t="str">
        <f>IF(A169="","",1/Tabela1[[#This Row],[ODDE]])</f>
        <v/>
      </c>
      <c r="AM169" s="74" t="str">
        <f>IF(A169="","",1/Tabela1[[#This Row],[ODDV]])</f>
        <v/>
      </c>
      <c r="AN169" s="74" t="str">
        <f>IF(A169="","",1-(Tabela1[[#This Row],[p(H)]]+Tabela1[[#This Row],[p(D)]]+Tabela1[[#This Row],[p(A)]]))</f>
        <v/>
      </c>
      <c r="AO169" s="74" t="str">
        <f>IF(A169="","",IFERROR(Tabela1[[#This Row],[p(H)]]/Tabela1[[#This Row],[FTHG]],1))</f>
        <v/>
      </c>
      <c r="AP169" s="74" t="str">
        <f>IF(A169="","",IFERROR(Tabela1[[#This Row],[p(A)]]/Tabela1[[#This Row],[FTAG]],1))</f>
        <v/>
      </c>
      <c r="AQ169" s="107"/>
      <c r="AR169" s="107"/>
      <c r="AS169" s="107"/>
      <c r="AT169" s="107"/>
      <c r="AU169" s="107"/>
      <c r="AV169" s="107"/>
      <c r="AW169" s="107"/>
      <c r="AX169" s="107"/>
      <c r="AY169" s="107"/>
      <c r="AZ169" s="75"/>
      <c r="BA169" s="75"/>
      <c r="BB169" s="97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7"/>
      <c r="BS169" s="107"/>
      <c r="BT169" s="107"/>
      <c r="BU169" s="107"/>
      <c r="BV169" s="107"/>
      <c r="BW169" s="107"/>
      <c r="BX169" s="75"/>
      <c r="BY169" s="75"/>
      <c r="BZ169" s="75"/>
      <c r="CA169" s="75"/>
      <c r="CB169" s="75"/>
      <c r="CC169" s="75"/>
      <c r="CD169" s="75"/>
      <c r="CE169" s="102"/>
      <c r="CF169" s="102"/>
      <c r="CG169" s="102"/>
      <c r="CH169" s="102"/>
      <c r="CI169" s="102"/>
      <c r="CJ169" s="102"/>
      <c r="CK169" s="102"/>
      <c r="CL169" s="102"/>
      <c r="CM169" s="102"/>
      <c r="CN169" s="102"/>
      <c r="CO169" s="102"/>
      <c r="CP169" s="102"/>
      <c r="CQ169" s="102"/>
      <c r="CR169" s="102"/>
      <c r="CS169" s="102"/>
      <c r="CT169" s="102"/>
      <c r="CU169" s="102"/>
      <c r="CV169" s="102"/>
      <c r="CW169" s="102"/>
      <c r="CX169" s="102"/>
      <c r="CY169" s="102"/>
      <c r="CZ169" s="102"/>
      <c r="DA169" s="102"/>
      <c r="DB169" s="102"/>
      <c r="DC169" s="102"/>
      <c r="DD169" s="102"/>
      <c r="DE169" s="102"/>
      <c r="DF169" s="102"/>
      <c r="DG169" s="102"/>
      <c r="DH169" s="102"/>
      <c r="DI169" s="102"/>
      <c r="DJ169" s="102"/>
      <c r="DK169" s="102"/>
      <c r="DL169" s="102"/>
      <c r="DM169" s="102"/>
      <c r="DN169" s="102"/>
      <c r="DO169" s="102"/>
      <c r="DP169" s="102"/>
    </row>
    <row r="170" spans="1:120" x14ac:dyDescent="0.25">
      <c r="A170" s="4"/>
      <c r="D170"/>
      <c r="E170"/>
      <c r="F170"/>
      <c r="J170" s="68" t="str">
        <f t="shared" si="63"/>
        <v/>
      </c>
      <c r="K170" s="68" t="str">
        <f t="shared" si="64"/>
        <v/>
      </c>
      <c r="L170" s="69" t="str">
        <f t="shared" si="65"/>
        <v/>
      </c>
      <c r="M170" s="69" t="str">
        <f t="shared" si="66"/>
        <v/>
      </c>
      <c r="N170" s="69" t="str">
        <f>IF(A170="","",Tabela1[[#This Row],[PTC]]*Tabela1[[#This Row],[ODDC]])</f>
        <v/>
      </c>
      <c r="O170" s="69" t="str">
        <f>IF(A170="","",Tabela1[[#This Row],[PTV]]*Tabela1[[#This Row],[ODDV]])</f>
        <v/>
      </c>
      <c r="P170" s="68" t="str">
        <f t="shared" si="67"/>
        <v/>
      </c>
      <c r="Q170" s="68" t="str">
        <f t="shared" si="68"/>
        <v/>
      </c>
      <c r="R170" s="68" t="str">
        <f t="shared" si="69"/>
        <v/>
      </c>
      <c r="S170" s="68" t="str">
        <f t="shared" si="70"/>
        <v/>
      </c>
      <c r="T170" s="68" t="str">
        <f>IF(A170="","",IF(F170="D",Tabela1[[#This Row],[ODDE]]-1,-1))</f>
        <v/>
      </c>
      <c r="U170" s="70" t="str">
        <f>IF(A170="","",IF(AND(Tabela1[[#This Row],[FTHG]]&gt;3,F170="H"),1,0))</f>
        <v/>
      </c>
      <c r="V170" s="70" t="str">
        <f>IF(A170="","",IF(AND(Tabela1[[#This Row],[FTAG]]&gt;3,F170="A"),1,0))</f>
        <v/>
      </c>
      <c r="W170" s="70" t="str">
        <f t="shared" si="71"/>
        <v/>
      </c>
      <c r="X170" s="70" t="str">
        <f t="shared" si="72"/>
        <v/>
      </c>
      <c r="Y170" s="71" t="str">
        <f t="shared" si="73"/>
        <v/>
      </c>
      <c r="Z170" s="70" t="str">
        <f t="shared" si="74"/>
        <v/>
      </c>
      <c r="AA170" s="70" t="str">
        <f t="shared" si="75"/>
        <v/>
      </c>
      <c r="AB170" s="70" t="str">
        <f t="shared" si="76"/>
        <v/>
      </c>
      <c r="AC170" s="71" t="str">
        <f t="shared" si="77"/>
        <v/>
      </c>
      <c r="AD170" s="72" t="str">
        <f t="shared" si="78"/>
        <v/>
      </c>
      <c r="AE170" s="73" t="str">
        <f>IF(A170="","",COUNT($N$2:N170))</f>
        <v/>
      </c>
      <c r="AF170" s="74" t="str">
        <f t="shared" si="79"/>
        <v/>
      </c>
      <c r="AG170" s="74" t="str">
        <f t="shared" si="80"/>
        <v/>
      </c>
      <c r="AH170" s="74" t="str">
        <f t="shared" si="81"/>
        <v/>
      </c>
      <c r="AI170" s="74" t="str">
        <f t="shared" si="82"/>
        <v/>
      </c>
      <c r="AJ170" s="74" t="str">
        <f t="shared" si="83"/>
        <v/>
      </c>
      <c r="AK170" s="74" t="str">
        <f>IF(A170="","",1/Tabela1[[#This Row],[ODDC]])</f>
        <v/>
      </c>
      <c r="AL170" s="74" t="str">
        <f>IF(A170="","",1/Tabela1[[#This Row],[ODDE]])</f>
        <v/>
      </c>
      <c r="AM170" s="74" t="str">
        <f>IF(A170="","",1/Tabela1[[#This Row],[ODDV]])</f>
        <v/>
      </c>
      <c r="AN170" s="74" t="str">
        <f>IF(A170="","",1-(Tabela1[[#This Row],[p(H)]]+Tabela1[[#This Row],[p(D)]]+Tabela1[[#This Row],[p(A)]]))</f>
        <v/>
      </c>
      <c r="AO170" s="74" t="str">
        <f>IF(A170="","",IFERROR(Tabela1[[#This Row],[p(H)]]/Tabela1[[#This Row],[FTHG]],1))</f>
        <v/>
      </c>
      <c r="AP170" s="74" t="str">
        <f>IF(A170="","",IFERROR(Tabela1[[#This Row],[p(A)]]/Tabela1[[#This Row],[FTAG]],1))</f>
        <v/>
      </c>
      <c r="AQ170" s="107"/>
      <c r="AR170" s="107"/>
      <c r="AS170" s="107"/>
      <c r="AT170" s="107"/>
      <c r="AU170" s="107"/>
      <c r="AV170" s="107"/>
      <c r="AW170" s="107"/>
      <c r="AX170" s="107"/>
      <c r="AY170" s="107"/>
      <c r="AZ170" s="75"/>
      <c r="BA170" s="75"/>
      <c r="BB170" s="97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7"/>
      <c r="BS170" s="107"/>
      <c r="BT170" s="107"/>
      <c r="BU170" s="107"/>
      <c r="BV170" s="107"/>
      <c r="BW170" s="107"/>
      <c r="BX170" s="75"/>
      <c r="BY170" s="75"/>
      <c r="BZ170" s="75"/>
      <c r="CA170" s="75"/>
      <c r="CB170" s="75"/>
      <c r="CC170" s="75"/>
      <c r="CD170" s="75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  <c r="CY170" s="102"/>
      <c r="CZ170" s="102"/>
      <c r="DA170" s="102"/>
      <c r="DB170" s="102"/>
      <c r="DC170" s="102"/>
      <c r="DD170" s="102"/>
      <c r="DE170" s="102"/>
      <c r="DF170" s="102"/>
      <c r="DG170" s="102"/>
      <c r="DH170" s="102"/>
      <c r="DI170" s="102"/>
      <c r="DJ170" s="102"/>
      <c r="DK170" s="102"/>
      <c r="DL170" s="102"/>
      <c r="DM170" s="102"/>
      <c r="DN170" s="102"/>
      <c r="DO170" s="102"/>
      <c r="DP170" s="102"/>
    </row>
    <row r="171" spans="1:120" x14ac:dyDescent="0.25">
      <c r="A171" s="4"/>
      <c r="D171"/>
      <c r="E171"/>
      <c r="F171"/>
      <c r="J171" s="68" t="str">
        <f t="shared" si="63"/>
        <v/>
      </c>
      <c r="K171" s="68" t="str">
        <f t="shared" si="64"/>
        <v/>
      </c>
      <c r="L171" s="69" t="str">
        <f t="shared" si="65"/>
        <v/>
      </c>
      <c r="M171" s="69" t="str">
        <f t="shared" si="66"/>
        <v/>
      </c>
      <c r="N171" s="69" t="str">
        <f>IF(A171="","",Tabela1[[#This Row],[PTC]]*Tabela1[[#This Row],[ODDC]])</f>
        <v/>
      </c>
      <c r="O171" s="69" t="str">
        <f>IF(A171="","",Tabela1[[#This Row],[PTV]]*Tabela1[[#This Row],[ODDV]])</f>
        <v/>
      </c>
      <c r="P171" s="68" t="str">
        <f t="shared" si="67"/>
        <v/>
      </c>
      <c r="Q171" s="68" t="str">
        <f t="shared" si="68"/>
        <v/>
      </c>
      <c r="R171" s="68" t="str">
        <f t="shared" si="69"/>
        <v/>
      </c>
      <c r="S171" s="68" t="str">
        <f t="shared" si="70"/>
        <v/>
      </c>
      <c r="T171" s="68" t="str">
        <f>IF(A171="","",IF(F171="D",Tabela1[[#This Row],[ODDE]]-1,-1))</f>
        <v/>
      </c>
      <c r="U171" s="70" t="str">
        <f>IF(A171="","",IF(AND(Tabela1[[#This Row],[FTHG]]&gt;3,F171="H"),1,0))</f>
        <v/>
      </c>
      <c r="V171" s="70" t="str">
        <f>IF(A171="","",IF(AND(Tabela1[[#This Row],[FTAG]]&gt;3,F171="A"),1,0))</f>
        <v/>
      </c>
      <c r="W171" s="70" t="str">
        <f t="shared" si="71"/>
        <v/>
      </c>
      <c r="X171" s="70" t="str">
        <f t="shared" si="72"/>
        <v/>
      </c>
      <c r="Y171" s="71" t="str">
        <f t="shared" si="73"/>
        <v/>
      </c>
      <c r="Z171" s="70" t="str">
        <f t="shared" si="74"/>
        <v/>
      </c>
      <c r="AA171" s="70" t="str">
        <f t="shared" si="75"/>
        <v/>
      </c>
      <c r="AB171" s="70" t="str">
        <f t="shared" si="76"/>
        <v/>
      </c>
      <c r="AC171" s="71" t="str">
        <f t="shared" si="77"/>
        <v/>
      </c>
      <c r="AD171" s="72" t="str">
        <f t="shared" si="78"/>
        <v/>
      </c>
      <c r="AE171" s="73" t="str">
        <f>IF(A171="","",COUNT($N$2:N171))</f>
        <v/>
      </c>
      <c r="AF171" s="74" t="str">
        <f t="shared" si="79"/>
        <v/>
      </c>
      <c r="AG171" s="74" t="str">
        <f t="shared" si="80"/>
        <v/>
      </c>
      <c r="AH171" s="74" t="str">
        <f t="shared" si="81"/>
        <v/>
      </c>
      <c r="AI171" s="74" t="str">
        <f t="shared" si="82"/>
        <v/>
      </c>
      <c r="AJ171" s="74" t="str">
        <f t="shared" si="83"/>
        <v/>
      </c>
      <c r="AK171" s="74" t="str">
        <f>IF(A171="","",1/Tabela1[[#This Row],[ODDC]])</f>
        <v/>
      </c>
      <c r="AL171" s="74" t="str">
        <f>IF(A171="","",1/Tabela1[[#This Row],[ODDE]])</f>
        <v/>
      </c>
      <c r="AM171" s="74" t="str">
        <f>IF(A171="","",1/Tabela1[[#This Row],[ODDV]])</f>
        <v/>
      </c>
      <c r="AN171" s="74" t="str">
        <f>IF(A171="","",1-(Tabela1[[#This Row],[p(H)]]+Tabela1[[#This Row],[p(D)]]+Tabela1[[#This Row],[p(A)]]))</f>
        <v/>
      </c>
      <c r="AO171" s="74" t="str">
        <f>IF(A171="","",IFERROR(Tabela1[[#This Row],[p(H)]]/Tabela1[[#This Row],[FTHG]],1))</f>
        <v/>
      </c>
      <c r="AP171" s="74" t="str">
        <f>IF(A171="","",IFERROR(Tabela1[[#This Row],[p(A)]]/Tabela1[[#This Row],[FTAG]],1))</f>
        <v/>
      </c>
      <c r="AQ171" s="107"/>
      <c r="AR171" s="107"/>
      <c r="AS171" s="107"/>
      <c r="AT171" s="107"/>
      <c r="AU171" s="107"/>
      <c r="AV171" s="107"/>
      <c r="AW171" s="107"/>
      <c r="AX171" s="107"/>
      <c r="AY171" s="107"/>
      <c r="AZ171" s="75"/>
      <c r="BA171" s="75"/>
      <c r="BB171" s="97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7"/>
      <c r="BS171" s="107"/>
      <c r="BT171" s="107"/>
      <c r="BU171" s="107"/>
      <c r="BV171" s="107"/>
      <c r="BW171" s="107"/>
      <c r="BX171" s="75"/>
      <c r="BY171" s="75"/>
      <c r="BZ171" s="75"/>
      <c r="CA171" s="75"/>
      <c r="CB171" s="75"/>
      <c r="CC171" s="75"/>
      <c r="CD171" s="75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  <c r="DH171" s="102"/>
      <c r="DI171" s="102"/>
      <c r="DJ171" s="102"/>
      <c r="DK171" s="102"/>
      <c r="DL171" s="102"/>
      <c r="DM171" s="102"/>
      <c r="DN171" s="102"/>
      <c r="DO171" s="102"/>
      <c r="DP171" s="102"/>
    </row>
    <row r="172" spans="1:120" x14ac:dyDescent="0.25">
      <c r="A172" s="4"/>
      <c r="D172"/>
      <c r="E172"/>
      <c r="F172"/>
      <c r="J172" s="68" t="str">
        <f t="shared" si="63"/>
        <v/>
      </c>
      <c r="K172" s="68" t="str">
        <f t="shared" si="64"/>
        <v/>
      </c>
      <c r="L172" s="69" t="str">
        <f t="shared" si="65"/>
        <v/>
      </c>
      <c r="M172" s="69" t="str">
        <f t="shared" si="66"/>
        <v/>
      </c>
      <c r="N172" s="69" t="str">
        <f>IF(A172="","",Tabela1[[#This Row],[PTC]]*Tabela1[[#This Row],[ODDC]])</f>
        <v/>
      </c>
      <c r="O172" s="69" t="str">
        <f>IF(A172="","",Tabela1[[#This Row],[PTV]]*Tabela1[[#This Row],[ODDV]])</f>
        <v/>
      </c>
      <c r="P172" s="68" t="str">
        <f t="shared" si="67"/>
        <v/>
      </c>
      <c r="Q172" s="68" t="str">
        <f t="shared" si="68"/>
        <v/>
      </c>
      <c r="R172" s="68" t="str">
        <f t="shared" si="69"/>
        <v/>
      </c>
      <c r="S172" s="68" t="str">
        <f t="shared" si="70"/>
        <v/>
      </c>
      <c r="T172" s="68" t="str">
        <f>IF(A172="","",IF(F172="D",Tabela1[[#This Row],[ODDE]]-1,-1))</f>
        <v/>
      </c>
      <c r="U172" s="70" t="str">
        <f>IF(A172="","",IF(AND(Tabela1[[#This Row],[FTHG]]&gt;3,F172="H"),1,0))</f>
        <v/>
      </c>
      <c r="V172" s="70" t="str">
        <f>IF(A172="","",IF(AND(Tabela1[[#This Row],[FTAG]]&gt;3,F172="A"),1,0))</f>
        <v/>
      </c>
      <c r="W172" s="70" t="str">
        <f t="shared" si="71"/>
        <v/>
      </c>
      <c r="X172" s="70" t="str">
        <f t="shared" si="72"/>
        <v/>
      </c>
      <c r="Y172" s="71" t="str">
        <f t="shared" si="73"/>
        <v/>
      </c>
      <c r="Z172" s="70" t="str">
        <f t="shared" si="74"/>
        <v/>
      </c>
      <c r="AA172" s="70" t="str">
        <f t="shared" si="75"/>
        <v/>
      </c>
      <c r="AB172" s="70" t="str">
        <f t="shared" si="76"/>
        <v/>
      </c>
      <c r="AC172" s="71" t="str">
        <f t="shared" si="77"/>
        <v/>
      </c>
      <c r="AD172" s="72" t="str">
        <f t="shared" si="78"/>
        <v/>
      </c>
      <c r="AE172" s="73" t="str">
        <f>IF(A172="","",COUNT($N$2:N172))</f>
        <v/>
      </c>
      <c r="AF172" s="74" t="str">
        <f t="shared" si="79"/>
        <v/>
      </c>
      <c r="AG172" s="74" t="str">
        <f t="shared" si="80"/>
        <v/>
      </c>
      <c r="AH172" s="74" t="str">
        <f t="shared" si="81"/>
        <v/>
      </c>
      <c r="AI172" s="74" t="str">
        <f t="shared" si="82"/>
        <v/>
      </c>
      <c r="AJ172" s="74" t="str">
        <f t="shared" si="83"/>
        <v/>
      </c>
      <c r="AK172" s="74" t="str">
        <f>IF(A172="","",1/Tabela1[[#This Row],[ODDC]])</f>
        <v/>
      </c>
      <c r="AL172" s="74" t="str">
        <f>IF(A172="","",1/Tabela1[[#This Row],[ODDE]])</f>
        <v/>
      </c>
      <c r="AM172" s="74" t="str">
        <f>IF(A172="","",1/Tabela1[[#This Row],[ODDV]])</f>
        <v/>
      </c>
      <c r="AN172" s="74" t="str">
        <f>IF(A172="","",1-(Tabela1[[#This Row],[p(H)]]+Tabela1[[#This Row],[p(D)]]+Tabela1[[#This Row],[p(A)]]))</f>
        <v/>
      </c>
      <c r="AO172" s="74" t="str">
        <f>IF(A172="","",IFERROR(Tabela1[[#This Row],[p(H)]]/Tabela1[[#This Row],[FTHG]],1))</f>
        <v/>
      </c>
      <c r="AP172" s="74" t="str">
        <f>IF(A172="","",IFERROR(Tabela1[[#This Row],[p(A)]]/Tabela1[[#This Row],[FTAG]],1))</f>
        <v/>
      </c>
      <c r="AQ172" s="107"/>
      <c r="AR172" s="107"/>
      <c r="AS172" s="107"/>
      <c r="AT172" s="107"/>
      <c r="AU172" s="107"/>
      <c r="AV172" s="107"/>
      <c r="AW172" s="107"/>
      <c r="AX172" s="107"/>
      <c r="AY172" s="107"/>
      <c r="AZ172" s="75"/>
      <c r="BA172" s="75"/>
      <c r="BB172" s="97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7"/>
      <c r="BS172" s="107"/>
      <c r="BT172" s="107"/>
      <c r="BU172" s="107"/>
      <c r="BV172" s="107"/>
      <c r="BW172" s="107"/>
      <c r="BX172" s="75"/>
      <c r="BY172" s="75"/>
      <c r="BZ172" s="75"/>
      <c r="CA172" s="75"/>
      <c r="CB172" s="75"/>
      <c r="CC172" s="75"/>
      <c r="CD172" s="75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2"/>
      <c r="CR172" s="102"/>
      <c r="CS172" s="102"/>
      <c r="CT172" s="102"/>
      <c r="CU172" s="102"/>
      <c r="CV172" s="102"/>
      <c r="CW172" s="102"/>
      <c r="CX172" s="102"/>
      <c r="CY172" s="102"/>
      <c r="CZ172" s="102"/>
      <c r="DA172" s="102"/>
      <c r="DB172" s="102"/>
      <c r="DC172" s="102"/>
      <c r="DD172" s="102"/>
      <c r="DE172" s="102"/>
      <c r="DF172" s="102"/>
      <c r="DG172" s="102"/>
      <c r="DH172" s="102"/>
      <c r="DI172" s="102"/>
      <c r="DJ172" s="102"/>
      <c r="DK172" s="102"/>
      <c r="DL172" s="102"/>
      <c r="DM172" s="102"/>
      <c r="DN172" s="102"/>
      <c r="DO172" s="102"/>
      <c r="DP172" s="102"/>
    </row>
    <row r="173" spans="1:120" x14ac:dyDescent="0.25">
      <c r="A173" s="4"/>
      <c r="D173"/>
      <c r="E173"/>
      <c r="F173"/>
      <c r="J173" s="68" t="str">
        <f t="shared" si="63"/>
        <v/>
      </c>
      <c r="K173" s="68" t="str">
        <f t="shared" si="64"/>
        <v/>
      </c>
      <c r="L173" s="69" t="str">
        <f t="shared" si="65"/>
        <v/>
      </c>
      <c r="M173" s="69" t="str">
        <f t="shared" si="66"/>
        <v/>
      </c>
      <c r="N173" s="69" t="str">
        <f>IF(A173="","",Tabela1[[#This Row],[PTC]]*Tabela1[[#This Row],[ODDC]])</f>
        <v/>
      </c>
      <c r="O173" s="69" t="str">
        <f>IF(A173="","",Tabela1[[#This Row],[PTV]]*Tabela1[[#This Row],[ODDV]])</f>
        <v/>
      </c>
      <c r="P173" s="68" t="str">
        <f t="shared" si="67"/>
        <v/>
      </c>
      <c r="Q173" s="68" t="str">
        <f t="shared" si="68"/>
        <v/>
      </c>
      <c r="R173" s="68" t="str">
        <f t="shared" si="69"/>
        <v/>
      </c>
      <c r="S173" s="68" t="str">
        <f t="shared" si="70"/>
        <v/>
      </c>
      <c r="T173" s="68" t="str">
        <f>IF(A173="","",IF(F173="D",Tabela1[[#This Row],[ODDE]]-1,-1))</f>
        <v/>
      </c>
      <c r="U173" s="70" t="str">
        <f>IF(A173="","",IF(AND(Tabela1[[#This Row],[FTHG]]&gt;3,F173="H"),1,0))</f>
        <v/>
      </c>
      <c r="V173" s="70" t="str">
        <f>IF(A173="","",IF(AND(Tabela1[[#This Row],[FTAG]]&gt;3,F173="A"),1,0))</f>
        <v/>
      </c>
      <c r="W173" s="70" t="str">
        <f t="shared" si="71"/>
        <v/>
      </c>
      <c r="X173" s="70" t="str">
        <f t="shared" si="72"/>
        <v/>
      </c>
      <c r="Y173" s="71" t="str">
        <f t="shared" si="73"/>
        <v/>
      </c>
      <c r="Z173" s="70" t="str">
        <f t="shared" si="74"/>
        <v/>
      </c>
      <c r="AA173" s="70" t="str">
        <f t="shared" si="75"/>
        <v/>
      </c>
      <c r="AB173" s="70" t="str">
        <f t="shared" si="76"/>
        <v/>
      </c>
      <c r="AC173" s="71" t="str">
        <f t="shared" si="77"/>
        <v/>
      </c>
      <c r="AD173" s="72" t="str">
        <f t="shared" si="78"/>
        <v/>
      </c>
      <c r="AE173" s="73" t="str">
        <f>IF(A173="","",COUNT($N$2:N173))</f>
        <v/>
      </c>
      <c r="AF173" s="74" t="str">
        <f t="shared" si="79"/>
        <v/>
      </c>
      <c r="AG173" s="74" t="str">
        <f t="shared" si="80"/>
        <v/>
      </c>
      <c r="AH173" s="74" t="str">
        <f t="shared" si="81"/>
        <v/>
      </c>
      <c r="AI173" s="74" t="str">
        <f t="shared" si="82"/>
        <v/>
      </c>
      <c r="AJ173" s="74" t="str">
        <f t="shared" si="83"/>
        <v/>
      </c>
      <c r="AK173" s="74" t="str">
        <f>IF(A173="","",1/Tabela1[[#This Row],[ODDC]])</f>
        <v/>
      </c>
      <c r="AL173" s="74" t="str">
        <f>IF(A173="","",1/Tabela1[[#This Row],[ODDE]])</f>
        <v/>
      </c>
      <c r="AM173" s="74" t="str">
        <f>IF(A173="","",1/Tabela1[[#This Row],[ODDV]])</f>
        <v/>
      </c>
      <c r="AN173" s="74" t="str">
        <f>IF(A173="","",1-(Tabela1[[#This Row],[p(H)]]+Tabela1[[#This Row],[p(D)]]+Tabela1[[#This Row],[p(A)]]))</f>
        <v/>
      </c>
      <c r="AO173" s="74" t="str">
        <f>IF(A173="","",IFERROR(Tabela1[[#This Row],[p(H)]]/Tabela1[[#This Row],[FTHG]],1))</f>
        <v/>
      </c>
      <c r="AP173" s="74" t="str">
        <f>IF(A173="","",IFERROR(Tabela1[[#This Row],[p(A)]]/Tabela1[[#This Row],[FTAG]],1))</f>
        <v/>
      </c>
      <c r="AQ173" s="107"/>
      <c r="AR173" s="107"/>
      <c r="AS173" s="107"/>
      <c r="AT173" s="107"/>
      <c r="AU173" s="107"/>
      <c r="AV173" s="107"/>
      <c r="AW173" s="107"/>
      <c r="AX173" s="107"/>
      <c r="AY173" s="107"/>
      <c r="AZ173" s="75"/>
      <c r="BA173" s="75"/>
      <c r="BB173" s="97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7"/>
      <c r="BS173" s="107"/>
      <c r="BT173" s="107"/>
      <c r="BU173" s="107"/>
      <c r="BV173" s="107"/>
      <c r="BW173" s="107"/>
      <c r="BX173" s="75"/>
      <c r="BY173" s="75"/>
      <c r="BZ173" s="75"/>
      <c r="CA173" s="75"/>
      <c r="CB173" s="75"/>
      <c r="CC173" s="75"/>
      <c r="CD173" s="75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2"/>
      <c r="CR173" s="102"/>
      <c r="CS173" s="102"/>
      <c r="CT173" s="102"/>
      <c r="CU173" s="102"/>
      <c r="CV173" s="102"/>
      <c r="CW173" s="102"/>
      <c r="CX173" s="102"/>
      <c r="CY173" s="102"/>
      <c r="CZ173" s="102"/>
      <c r="DA173" s="102"/>
      <c r="DB173" s="102"/>
      <c r="DC173" s="102"/>
      <c r="DD173" s="102"/>
      <c r="DE173" s="102"/>
      <c r="DF173" s="102"/>
      <c r="DG173" s="102"/>
      <c r="DH173" s="102"/>
      <c r="DI173" s="102"/>
      <c r="DJ173" s="102"/>
      <c r="DK173" s="102"/>
      <c r="DL173" s="102"/>
      <c r="DM173" s="102"/>
      <c r="DN173" s="102"/>
      <c r="DO173" s="102"/>
      <c r="DP173" s="102"/>
    </row>
    <row r="174" spans="1:120" x14ac:dyDescent="0.25">
      <c r="A174" s="4"/>
      <c r="D174"/>
      <c r="E174"/>
      <c r="F174"/>
      <c r="J174" s="68" t="str">
        <f t="shared" si="63"/>
        <v/>
      </c>
      <c r="K174" s="68" t="str">
        <f t="shared" si="64"/>
        <v/>
      </c>
      <c r="L174" s="69" t="str">
        <f t="shared" si="65"/>
        <v/>
      </c>
      <c r="M174" s="69" t="str">
        <f t="shared" si="66"/>
        <v/>
      </c>
      <c r="N174" s="69" t="str">
        <f>IF(A174="","",Tabela1[[#This Row],[PTC]]*Tabela1[[#This Row],[ODDC]])</f>
        <v/>
      </c>
      <c r="O174" s="69" t="str">
        <f>IF(A174="","",Tabela1[[#This Row],[PTV]]*Tabela1[[#This Row],[ODDV]])</f>
        <v/>
      </c>
      <c r="P174" s="68" t="str">
        <f t="shared" si="67"/>
        <v/>
      </c>
      <c r="Q174" s="68" t="str">
        <f t="shared" si="68"/>
        <v/>
      </c>
      <c r="R174" s="68" t="str">
        <f t="shared" si="69"/>
        <v/>
      </c>
      <c r="S174" s="68" t="str">
        <f t="shared" si="70"/>
        <v/>
      </c>
      <c r="T174" s="68" t="str">
        <f>IF(A174="","",IF(F174="D",Tabela1[[#This Row],[ODDE]]-1,-1))</f>
        <v/>
      </c>
      <c r="U174" s="70" t="str">
        <f>IF(A174="","",IF(AND(Tabela1[[#This Row],[FTHG]]&gt;3,F174="H"),1,0))</f>
        <v/>
      </c>
      <c r="V174" s="70" t="str">
        <f>IF(A174="","",IF(AND(Tabela1[[#This Row],[FTAG]]&gt;3,F174="A"),1,0))</f>
        <v/>
      </c>
      <c r="W174" s="70" t="str">
        <f t="shared" si="71"/>
        <v/>
      </c>
      <c r="X174" s="70" t="str">
        <f t="shared" si="72"/>
        <v/>
      </c>
      <c r="Y174" s="71" t="str">
        <f t="shared" si="73"/>
        <v/>
      </c>
      <c r="Z174" s="70" t="str">
        <f t="shared" si="74"/>
        <v/>
      </c>
      <c r="AA174" s="70" t="str">
        <f t="shared" si="75"/>
        <v/>
      </c>
      <c r="AB174" s="70" t="str">
        <f t="shared" si="76"/>
        <v/>
      </c>
      <c r="AC174" s="71" t="str">
        <f t="shared" si="77"/>
        <v/>
      </c>
      <c r="AD174" s="72" t="str">
        <f t="shared" si="78"/>
        <v/>
      </c>
      <c r="AE174" s="73" t="str">
        <f>IF(A174="","",COUNT($N$2:N174))</f>
        <v/>
      </c>
      <c r="AF174" s="74" t="str">
        <f t="shared" si="79"/>
        <v/>
      </c>
      <c r="AG174" s="74" t="str">
        <f t="shared" si="80"/>
        <v/>
      </c>
      <c r="AH174" s="74" t="str">
        <f t="shared" si="81"/>
        <v/>
      </c>
      <c r="AI174" s="74" t="str">
        <f t="shared" si="82"/>
        <v/>
      </c>
      <c r="AJ174" s="74" t="str">
        <f t="shared" si="83"/>
        <v/>
      </c>
      <c r="AK174" s="74" t="str">
        <f>IF(A174="","",1/Tabela1[[#This Row],[ODDC]])</f>
        <v/>
      </c>
      <c r="AL174" s="74" t="str">
        <f>IF(A174="","",1/Tabela1[[#This Row],[ODDE]])</f>
        <v/>
      </c>
      <c r="AM174" s="74" t="str">
        <f>IF(A174="","",1/Tabela1[[#This Row],[ODDV]])</f>
        <v/>
      </c>
      <c r="AN174" s="74" t="str">
        <f>IF(A174="","",1-(Tabela1[[#This Row],[p(H)]]+Tabela1[[#This Row],[p(D)]]+Tabela1[[#This Row],[p(A)]]))</f>
        <v/>
      </c>
      <c r="AO174" s="74" t="str">
        <f>IF(A174="","",IFERROR(Tabela1[[#This Row],[p(H)]]/Tabela1[[#This Row],[FTHG]],1))</f>
        <v/>
      </c>
      <c r="AP174" s="74" t="str">
        <f>IF(A174="","",IFERROR(Tabela1[[#This Row],[p(A)]]/Tabela1[[#This Row],[FTAG]],1))</f>
        <v/>
      </c>
      <c r="AQ174" s="107"/>
      <c r="AR174" s="107"/>
      <c r="AS174" s="107"/>
      <c r="AT174" s="107"/>
      <c r="AU174" s="107"/>
      <c r="AV174" s="107"/>
      <c r="AW174" s="107"/>
      <c r="AX174" s="107"/>
      <c r="AY174" s="107"/>
      <c r="AZ174" s="75"/>
      <c r="BA174" s="75"/>
      <c r="BB174" s="97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7"/>
      <c r="BS174" s="107"/>
      <c r="BT174" s="107"/>
      <c r="BU174" s="107"/>
      <c r="BV174" s="107"/>
      <c r="BW174" s="107"/>
      <c r="BX174" s="75"/>
      <c r="BY174" s="75"/>
      <c r="BZ174" s="75"/>
      <c r="CA174" s="75"/>
      <c r="CB174" s="75"/>
      <c r="CC174" s="75"/>
      <c r="CD174" s="75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  <c r="CY174" s="102"/>
      <c r="CZ174" s="102"/>
      <c r="DA174" s="102"/>
      <c r="DB174" s="102"/>
      <c r="DC174" s="102"/>
      <c r="DD174" s="102"/>
      <c r="DE174" s="102"/>
      <c r="DF174" s="102"/>
      <c r="DG174" s="102"/>
      <c r="DH174" s="102"/>
      <c r="DI174" s="102"/>
      <c r="DJ174" s="102"/>
      <c r="DK174" s="102"/>
      <c r="DL174" s="102"/>
      <c r="DM174" s="102"/>
      <c r="DN174" s="102"/>
      <c r="DO174" s="102"/>
      <c r="DP174" s="102"/>
    </row>
    <row r="175" spans="1:120" x14ac:dyDescent="0.25">
      <c r="A175" s="4"/>
      <c r="D175"/>
      <c r="E175"/>
      <c r="F175"/>
      <c r="J175" s="68" t="str">
        <f t="shared" si="63"/>
        <v/>
      </c>
      <c r="K175" s="68" t="str">
        <f t="shared" si="64"/>
        <v/>
      </c>
      <c r="L175" s="69" t="str">
        <f t="shared" si="65"/>
        <v/>
      </c>
      <c r="M175" s="69" t="str">
        <f t="shared" si="66"/>
        <v/>
      </c>
      <c r="N175" s="69" t="str">
        <f>IF(A175="","",Tabela1[[#This Row],[PTC]]*Tabela1[[#This Row],[ODDC]])</f>
        <v/>
      </c>
      <c r="O175" s="69" t="str">
        <f>IF(A175="","",Tabela1[[#This Row],[PTV]]*Tabela1[[#This Row],[ODDV]])</f>
        <v/>
      </c>
      <c r="P175" s="68" t="str">
        <f t="shared" si="67"/>
        <v/>
      </c>
      <c r="Q175" s="68" t="str">
        <f t="shared" si="68"/>
        <v/>
      </c>
      <c r="R175" s="68" t="str">
        <f t="shared" si="69"/>
        <v/>
      </c>
      <c r="S175" s="68" t="str">
        <f t="shared" si="70"/>
        <v/>
      </c>
      <c r="T175" s="68" t="str">
        <f>IF(A175="","",IF(F175="D",Tabela1[[#This Row],[ODDE]]-1,-1))</f>
        <v/>
      </c>
      <c r="U175" s="70" t="str">
        <f>IF(A175="","",IF(AND(Tabela1[[#This Row],[FTHG]]&gt;3,F175="H"),1,0))</f>
        <v/>
      </c>
      <c r="V175" s="70" t="str">
        <f>IF(A175="","",IF(AND(Tabela1[[#This Row],[FTAG]]&gt;3,F175="A"),1,0))</f>
        <v/>
      </c>
      <c r="W175" s="70" t="str">
        <f t="shared" si="71"/>
        <v/>
      </c>
      <c r="X175" s="70" t="str">
        <f t="shared" si="72"/>
        <v/>
      </c>
      <c r="Y175" s="71" t="str">
        <f t="shared" si="73"/>
        <v/>
      </c>
      <c r="Z175" s="70" t="str">
        <f t="shared" si="74"/>
        <v/>
      </c>
      <c r="AA175" s="70" t="str">
        <f t="shared" si="75"/>
        <v/>
      </c>
      <c r="AB175" s="70" t="str">
        <f t="shared" si="76"/>
        <v/>
      </c>
      <c r="AC175" s="71" t="str">
        <f t="shared" si="77"/>
        <v/>
      </c>
      <c r="AD175" s="72" t="str">
        <f t="shared" si="78"/>
        <v/>
      </c>
      <c r="AE175" s="73" t="str">
        <f>IF(A175="","",COUNT($N$2:N175))</f>
        <v/>
      </c>
      <c r="AF175" s="74" t="str">
        <f t="shared" si="79"/>
        <v/>
      </c>
      <c r="AG175" s="74" t="str">
        <f t="shared" si="80"/>
        <v/>
      </c>
      <c r="AH175" s="74" t="str">
        <f t="shared" si="81"/>
        <v/>
      </c>
      <c r="AI175" s="74" t="str">
        <f t="shared" si="82"/>
        <v/>
      </c>
      <c r="AJ175" s="74" t="str">
        <f t="shared" si="83"/>
        <v/>
      </c>
      <c r="AK175" s="74" t="str">
        <f>IF(A175="","",1/Tabela1[[#This Row],[ODDC]])</f>
        <v/>
      </c>
      <c r="AL175" s="74" t="str">
        <f>IF(A175="","",1/Tabela1[[#This Row],[ODDE]])</f>
        <v/>
      </c>
      <c r="AM175" s="74" t="str">
        <f>IF(A175="","",1/Tabela1[[#This Row],[ODDV]])</f>
        <v/>
      </c>
      <c r="AN175" s="74" t="str">
        <f>IF(A175="","",1-(Tabela1[[#This Row],[p(H)]]+Tabela1[[#This Row],[p(D)]]+Tabela1[[#This Row],[p(A)]]))</f>
        <v/>
      </c>
      <c r="AO175" s="74" t="str">
        <f>IF(A175="","",IFERROR(Tabela1[[#This Row],[p(H)]]/Tabela1[[#This Row],[FTHG]],1))</f>
        <v/>
      </c>
      <c r="AP175" s="74" t="str">
        <f>IF(A175="","",IFERROR(Tabela1[[#This Row],[p(A)]]/Tabela1[[#This Row],[FTAG]],1))</f>
        <v/>
      </c>
      <c r="AQ175" s="107"/>
      <c r="AR175" s="107"/>
      <c r="AS175" s="107"/>
      <c r="AT175" s="107"/>
      <c r="AU175" s="107"/>
      <c r="AV175" s="107"/>
      <c r="AW175" s="107"/>
      <c r="AX175" s="107"/>
      <c r="AY175" s="107"/>
      <c r="AZ175" s="75"/>
      <c r="BA175" s="75"/>
      <c r="BB175" s="97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7"/>
      <c r="BS175" s="107"/>
      <c r="BT175" s="107"/>
      <c r="BU175" s="107"/>
      <c r="BV175" s="107"/>
      <c r="BW175" s="107"/>
      <c r="BX175" s="75"/>
      <c r="BY175" s="75"/>
      <c r="BZ175" s="75"/>
      <c r="CA175" s="75"/>
      <c r="CB175" s="75"/>
      <c r="CC175" s="75"/>
      <c r="CD175" s="75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2"/>
      <c r="CR175" s="102"/>
      <c r="CS175" s="102"/>
      <c r="CT175" s="102"/>
      <c r="CU175" s="102"/>
      <c r="CV175" s="102"/>
      <c r="CW175" s="102"/>
      <c r="CX175" s="102"/>
      <c r="CY175" s="102"/>
      <c r="CZ175" s="102"/>
      <c r="DA175" s="102"/>
      <c r="DB175" s="102"/>
      <c r="DC175" s="102"/>
      <c r="DD175" s="102"/>
      <c r="DE175" s="102"/>
      <c r="DF175" s="102"/>
      <c r="DG175" s="102"/>
      <c r="DH175" s="102"/>
      <c r="DI175" s="102"/>
      <c r="DJ175" s="102"/>
      <c r="DK175" s="102"/>
      <c r="DL175" s="102"/>
      <c r="DM175" s="102"/>
      <c r="DN175" s="102"/>
      <c r="DO175" s="102"/>
      <c r="DP175" s="102"/>
    </row>
    <row r="176" spans="1:120" x14ac:dyDescent="0.25">
      <c r="A176" s="4"/>
      <c r="D176"/>
      <c r="E176"/>
      <c r="F176"/>
      <c r="J176" s="68" t="str">
        <f t="shared" si="63"/>
        <v/>
      </c>
      <c r="K176" s="68" t="str">
        <f t="shared" si="64"/>
        <v/>
      </c>
      <c r="L176" s="69" t="str">
        <f t="shared" si="65"/>
        <v/>
      </c>
      <c r="M176" s="69" t="str">
        <f t="shared" si="66"/>
        <v/>
      </c>
      <c r="N176" s="69" t="str">
        <f>IF(A176="","",Tabela1[[#This Row],[PTC]]*Tabela1[[#This Row],[ODDC]])</f>
        <v/>
      </c>
      <c r="O176" s="69" t="str">
        <f>IF(A176="","",Tabela1[[#This Row],[PTV]]*Tabela1[[#This Row],[ODDV]])</f>
        <v/>
      </c>
      <c r="P176" s="68" t="str">
        <f t="shared" si="67"/>
        <v/>
      </c>
      <c r="Q176" s="68" t="str">
        <f t="shared" si="68"/>
        <v/>
      </c>
      <c r="R176" s="68" t="str">
        <f t="shared" si="69"/>
        <v/>
      </c>
      <c r="S176" s="68" t="str">
        <f t="shared" si="70"/>
        <v/>
      </c>
      <c r="T176" s="68" t="str">
        <f>IF(A176="","",IF(F176="D",Tabela1[[#This Row],[ODDE]]-1,-1))</f>
        <v/>
      </c>
      <c r="U176" s="70" t="str">
        <f>IF(A176="","",IF(AND(Tabela1[[#This Row],[FTHG]]&gt;3,F176="H"),1,0))</f>
        <v/>
      </c>
      <c r="V176" s="70" t="str">
        <f>IF(A176="","",IF(AND(Tabela1[[#This Row],[FTAG]]&gt;3,F176="A"),1,0))</f>
        <v/>
      </c>
      <c r="W176" s="70" t="str">
        <f t="shared" si="71"/>
        <v/>
      </c>
      <c r="X176" s="70" t="str">
        <f t="shared" si="72"/>
        <v/>
      </c>
      <c r="Y176" s="71" t="str">
        <f t="shared" si="73"/>
        <v/>
      </c>
      <c r="Z176" s="70" t="str">
        <f t="shared" si="74"/>
        <v/>
      </c>
      <c r="AA176" s="70" t="str">
        <f t="shared" si="75"/>
        <v/>
      </c>
      <c r="AB176" s="70" t="str">
        <f t="shared" si="76"/>
        <v/>
      </c>
      <c r="AC176" s="71" t="str">
        <f t="shared" si="77"/>
        <v/>
      </c>
      <c r="AD176" s="72" t="str">
        <f t="shared" si="78"/>
        <v/>
      </c>
      <c r="AE176" s="73" t="str">
        <f>IF(A176="","",COUNT($N$2:N176))</f>
        <v/>
      </c>
      <c r="AF176" s="74" t="str">
        <f t="shared" si="79"/>
        <v/>
      </c>
      <c r="AG176" s="74" t="str">
        <f t="shared" si="80"/>
        <v/>
      </c>
      <c r="AH176" s="74" t="str">
        <f t="shared" si="81"/>
        <v/>
      </c>
      <c r="AI176" s="74" t="str">
        <f t="shared" si="82"/>
        <v/>
      </c>
      <c r="AJ176" s="74" t="str">
        <f t="shared" si="83"/>
        <v/>
      </c>
      <c r="AK176" s="74" t="str">
        <f>IF(A176="","",1/Tabela1[[#This Row],[ODDC]])</f>
        <v/>
      </c>
      <c r="AL176" s="74" t="str">
        <f>IF(A176="","",1/Tabela1[[#This Row],[ODDE]])</f>
        <v/>
      </c>
      <c r="AM176" s="74" t="str">
        <f>IF(A176="","",1/Tabela1[[#This Row],[ODDV]])</f>
        <v/>
      </c>
      <c r="AN176" s="74" t="str">
        <f>IF(A176="","",1-(Tabela1[[#This Row],[p(H)]]+Tabela1[[#This Row],[p(D)]]+Tabela1[[#This Row],[p(A)]]))</f>
        <v/>
      </c>
      <c r="AO176" s="74" t="str">
        <f>IF(A176="","",IFERROR(Tabela1[[#This Row],[p(H)]]/Tabela1[[#This Row],[FTHG]],1))</f>
        <v/>
      </c>
      <c r="AP176" s="74" t="str">
        <f>IF(A176="","",IFERROR(Tabela1[[#This Row],[p(A)]]/Tabela1[[#This Row],[FTAG]],1))</f>
        <v/>
      </c>
      <c r="AQ176" s="107"/>
      <c r="AR176" s="107"/>
      <c r="AS176" s="107"/>
      <c r="AT176" s="107"/>
      <c r="AU176" s="107"/>
      <c r="AV176" s="107"/>
      <c r="AW176" s="107"/>
      <c r="AX176" s="107"/>
      <c r="AY176" s="107"/>
      <c r="AZ176" s="75"/>
      <c r="BA176" s="75"/>
      <c r="BB176" s="97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7"/>
      <c r="BS176" s="107"/>
      <c r="BT176" s="107"/>
      <c r="BU176" s="107"/>
      <c r="BV176" s="107"/>
      <c r="BW176" s="107"/>
      <c r="BX176" s="75"/>
      <c r="BY176" s="75"/>
      <c r="BZ176" s="75"/>
      <c r="CA176" s="75"/>
      <c r="CB176" s="75"/>
      <c r="CC176" s="75"/>
      <c r="CD176" s="75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2"/>
      <c r="CR176" s="102"/>
      <c r="CS176" s="102"/>
      <c r="CT176" s="102"/>
      <c r="CU176" s="102"/>
      <c r="CV176" s="102"/>
      <c r="CW176" s="102"/>
      <c r="CX176" s="102"/>
      <c r="CY176" s="102"/>
      <c r="CZ176" s="102"/>
      <c r="DA176" s="102"/>
      <c r="DB176" s="102"/>
      <c r="DC176" s="102"/>
      <c r="DD176" s="102"/>
      <c r="DE176" s="102"/>
      <c r="DF176" s="102"/>
      <c r="DG176" s="102"/>
      <c r="DH176" s="102"/>
      <c r="DI176" s="102"/>
      <c r="DJ176" s="102"/>
      <c r="DK176" s="102"/>
      <c r="DL176" s="102"/>
      <c r="DM176" s="102"/>
      <c r="DN176" s="102"/>
      <c r="DO176" s="102"/>
      <c r="DP176" s="102"/>
    </row>
    <row r="177" spans="1:120" x14ac:dyDescent="0.25">
      <c r="A177" s="4"/>
      <c r="D177"/>
      <c r="E177"/>
      <c r="F177"/>
      <c r="J177" s="68" t="str">
        <f t="shared" si="63"/>
        <v/>
      </c>
      <c r="K177" s="68" t="str">
        <f t="shared" si="64"/>
        <v/>
      </c>
      <c r="L177" s="69" t="str">
        <f t="shared" si="65"/>
        <v/>
      </c>
      <c r="M177" s="69" t="str">
        <f t="shared" si="66"/>
        <v/>
      </c>
      <c r="N177" s="69" t="str">
        <f>IF(A177="","",Tabela1[[#This Row],[PTC]]*Tabela1[[#This Row],[ODDC]])</f>
        <v/>
      </c>
      <c r="O177" s="69" t="str">
        <f>IF(A177="","",Tabela1[[#This Row],[PTV]]*Tabela1[[#This Row],[ODDV]])</f>
        <v/>
      </c>
      <c r="P177" s="68" t="str">
        <f t="shared" si="67"/>
        <v/>
      </c>
      <c r="Q177" s="68" t="str">
        <f t="shared" si="68"/>
        <v/>
      </c>
      <c r="R177" s="68" t="str">
        <f t="shared" si="69"/>
        <v/>
      </c>
      <c r="S177" s="68" t="str">
        <f t="shared" si="70"/>
        <v/>
      </c>
      <c r="T177" s="68" t="str">
        <f>IF(A177="","",IF(F177="D",Tabela1[[#This Row],[ODDE]]-1,-1))</f>
        <v/>
      </c>
      <c r="U177" s="70" t="str">
        <f>IF(A177="","",IF(AND(Tabela1[[#This Row],[FTHG]]&gt;3,F177="H"),1,0))</f>
        <v/>
      </c>
      <c r="V177" s="70" t="str">
        <f>IF(A177="","",IF(AND(Tabela1[[#This Row],[FTAG]]&gt;3,F177="A"),1,0))</f>
        <v/>
      </c>
      <c r="W177" s="70" t="str">
        <f t="shared" si="71"/>
        <v/>
      </c>
      <c r="X177" s="70" t="str">
        <f t="shared" si="72"/>
        <v/>
      </c>
      <c r="Y177" s="71" t="str">
        <f t="shared" si="73"/>
        <v/>
      </c>
      <c r="Z177" s="70" t="str">
        <f t="shared" si="74"/>
        <v/>
      </c>
      <c r="AA177" s="70" t="str">
        <f t="shared" si="75"/>
        <v/>
      </c>
      <c r="AB177" s="70" t="str">
        <f t="shared" si="76"/>
        <v/>
      </c>
      <c r="AC177" s="71" t="str">
        <f t="shared" si="77"/>
        <v/>
      </c>
      <c r="AD177" s="72" t="str">
        <f t="shared" si="78"/>
        <v/>
      </c>
      <c r="AE177" s="73" t="str">
        <f>IF(A177="","",COUNT($N$2:N177))</f>
        <v/>
      </c>
      <c r="AF177" s="74" t="str">
        <f t="shared" si="79"/>
        <v/>
      </c>
      <c r="AG177" s="74" t="str">
        <f t="shared" si="80"/>
        <v/>
      </c>
      <c r="AH177" s="74" t="str">
        <f t="shared" si="81"/>
        <v/>
      </c>
      <c r="AI177" s="74" t="str">
        <f t="shared" si="82"/>
        <v/>
      </c>
      <c r="AJ177" s="74" t="str">
        <f t="shared" si="83"/>
        <v/>
      </c>
      <c r="AK177" s="74" t="str">
        <f>IF(A177="","",1/Tabela1[[#This Row],[ODDC]])</f>
        <v/>
      </c>
      <c r="AL177" s="74" t="str">
        <f>IF(A177="","",1/Tabela1[[#This Row],[ODDE]])</f>
        <v/>
      </c>
      <c r="AM177" s="74" t="str">
        <f>IF(A177="","",1/Tabela1[[#This Row],[ODDV]])</f>
        <v/>
      </c>
      <c r="AN177" s="74" t="str">
        <f>IF(A177="","",1-(Tabela1[[#This Row],[p(H)]]+Tabela1[[#This Row],[p(D)]]+Tabela1[[#This Row],[p(A)]]))</f>
        <v/>
      </c>
      <c r="AO177" s="74" t="str">
        <f>IF(A177="","",IFERROR(Tabela1[[#This Row],[p(H)]]/Tabela1[[#This Row],[FTHG]],1))</f>
        <v/>
      </c>
      <c r="AP177" s="74" t="str">
        <f>IF(A177="","",IFERROR(Tabela1[[#This Row],[p(A)]]/Tabela1[[#This Row],[FTAG]],1))</f>
        <v/>
      </c>
      <c r="AQ177" s="107"/>
      <c r="AR177" s="107"/>
      <c r="AS177" s="107"/>
      <c r="AT177" s="107"/>
      <c r="AU177" s="107"/>
      <c r="AV177" s="107"/>
      <c r="AW177" s="107"/>
      <c r="AX177" s="107"/>
      <c r="AY177" s="107"/>
      <c r="AZ177" s="75"/>
      <c r="BA177" s="75"/>
      <c r="BB177" s="97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7"/>
      <c r="BS177" s="107"/>
      <c r="BT177" s="107"/>
      <c r="BU177" s="107"/>
      <c r="BV177" s="107"/>
      <c r="BW177" s="107"/>
      <c r="BX177" s="75"/>
      <c r="BY177" s="75"/>
      <c r="BZ177" s="75"/>
      <c r="CA177" s="75"/>
      <c r="CB177" s="75"/>
      <c r="CC177" s="75"/>
      <c r="CD177" s="75"/>
      <c r="CE177" s="102"/>
      <c r="CF177" s="102"/>
      <c r="CG177" s="102"/>
      <c r="CH177" s="102"/>
      <c r="CI177" s="102"/>
      <c r="CJ177" s="102"/>
      <c r="CK177" s="102"/>
      <c r="CL177" s="102"/>
      <c r="CM177" s="102"/>
      <c r="CN177" s="102"/>
      <c r="CO177" s="102"/>
      <c r="CP177" s="102"/>
      <c r="CQ177" s="102"/>
      <c r="CR177" s="102"/>
      <c r="CS177" s="102"/>
      <c r="CT177" s="102"/>
      <c r="CU177" s="102"/>
      <c r="CV177" s="102"/>
      <c r="CW177" s="102"/>
      <c r="CX177" s="102"/>
      <c r="CY177" s="102"/>
      <c r="CZ177" s="102"/>
      <c r="DA177" s="102"/>
      <c r="DB177" s="102"/>
      <c r="DC177" s="102"/>
      <c r="DD177" s="102"/>
      <c r="DE177" s="102"/>
      <c r="DF177" s="102"/>
      <c r="DG177" s="102"/>
      <c r="DH177" s="102"/>
      <c r="DI177" s="102"/>
      <c r="DJ177" s="102"/>
      <c r="DK177" s="102"/>
      <c r="DL177" s="102"/>
      <c r="DM177" s="102"/>
      <c r="DN177" s="102"/>
      <c r="DO177" s="102"/>
      <c r="DP177" s="102"/>
    </row>
    <row r="178" spans="1:120" x14ac:dyDescent="0.25">
      <c r="A178" s="4"/>
      <c r="D178"/>
      <c r="E178"/>
      <c r="F178"/>
      <c r="J178" s="68" t="str">
        <f t="shared" si="63"/>
        <v/>
      </c>
      <c r="K178" s="68" t="str">
        <f t="shared" si="64"/>
        <v/>
      </c>
      <c r="L178" s="69" t="str">
        <f t="shared" si="65"/>
        <v/>
      </c>
      <c r="M178" s="69" t="str">
        <f t="shared" si="66"/>
        <v/>
      </c>
      <c r="N178" s="69" t="str">
        <f>IF(A178="","",Tabela1[[#This Row],[PTC]]*Tabela1[[#This Row],[ODDC]])</f>
        <v/>
      </c>
      <c r="O178" s="69" t="str">
        <f>IF(A178="","",Tabela1[[#This Row],[PTV]]*Tabela1[[#This Row],[ODDV]])</f>
        <v/>
      </c>
      <c r="P178" s="68" t="str">
        <f t="shared" si="67"/>
        <v/>
      </c>
      <c r="Q178" s="68" t="str">
        <f t="shared" si="68"/>
        <v/>
      </c>
      <c r="R178" s="68" t="str">
        <f t="shared" si="69"/>
        <v/>
      </c>
      <c r="S178" s="68" t="str">
        <f t="shared" si="70"/>
        <v/>
      </c>
      <c r="T178" s="68" t="str">
        <f>IF(A178="","",IF(F178="D",Tabela1[[#This Row],[ODDE]]-1,-1))</f>
        <v/>
      </c>
      <c r="U178" s="70" t="str">
        <f>IF(A178="","",IF(AND(Tabela1[[#This Row],[FTHG]]&gt;3,F178="H"),1,0))</f>
        <v/>
      </c>
      <c r="V178" s="70" t="str">
        <f>IF(A178="","",IF(AND(Tabela1[[#This Row],[FTAG]]&gt;3,F178="A"),1,0))</f>
        <v/>
      </c>
      <c r="W178" s="70" t="str">
        <f t="shared" si="71"/>
        <v/>
      </c>
      <c r="X178" s="70" t="str">
        <f t="shared" si="72"/>
        <v/>
      </c>
      <c r="Y178" s="71" t="str">
        <f t="shared" si="73"/>
        <v/>
      </c>
      <c r="Z178" s="70" t="str">
        <f t="shared" si="74"/>
        <v/>
      </c>
      <c r="AA178" s="70" t="str">
        <f t="shared" si="75"/>
        <v/>
      </c>
      <c r="AB178" s="70" t="str">
        <f t="shared" si="76"/>
        <v/>
      </c>
      <c r="AC178" s="71" t="str">
        <f t="shared" si="77"/>
        <v/>
      </c>
      <c r="AD178" s="72" t="str">
        <f t="shared" si="78"/>
        <v/>
      </c>
      <c r="AE178" s="73" t="str">
        <f>IF(A178="","",COUNT($N$2:N178))</f>
        <v/>
      </c>
      <c r="AF178" s="74" t="str">
        <f t="shared" si="79"/>
        <v/>
      </c>
      <c r="AG178" s="74" t="str">
        <f t="shared" si="80"/>
        <v/>
      </c>
      <c r="AH178" s="74" t="str">
        <f t="shared" si="81"/>
        <v/>
      </c>
      <c r="AI178" s="74" t="str">
        <f t="shared" si="82"/>
        <v/>
      </c>
      <c r="AJ178" s="74" t="str">
        <f t="shared" si="83"/>
        <v/>
      </c>
      <c r="AK178" s="74" t="str">
        <f>IF(A178="","",1/Tabela1[[#This Row],[ODDC]])</f>
        <v/>
      </c>
      <c r="AL178" s="74" t="str">
        <f>IF(A178="","",1/Tabela1[[#This Row],[ODDE]])</f>
        <v/>
      </c>
      <c r="AM178" s="74" t="str">
        <f>IF(A178="","",1/Tabela1[[#This Row],[ODDV]])</f>
        <v/>
      </c>
      <c r="AN178" s="74" t="str">
        <f>IF(A178="","",1-(Tabela1[[#This Row],[p(H)]]+Tabela1[[#This Row],[p(D)]]+Tabela1[[#This Row],[p(A)]]))</f>
        <v/>
      </c>
      <c r="AO178" s="74" t="str">
        <f>IF(A178="","",IFERROR(Tabela1[[#This Row],[p(H)]]/Tabela1[[#This Row],[FTHG]],1))</f>
        <v/>
      </c>
      <c r="AP178" s="74" t="str">
        <f>IF(A178="","",IFERROR(Tabela1[[#This Row],[p(A)]]/Tabela1[[#This Row],[FTAG]],1))</f>
        <v/>
      </c>
      <c r="AQ178" s="107"/>
      <c r="AR178" s="107"/>
      <c r="AS178" s="107"/>
      <c r="AT178" s="107"/>
      <c r="AU178" s="107"/>
      <c r="AV178" s="107"/>
      <c r="AW178" s="107"/>
      <c r="AX178" s="107"/>
      <c r="AY178" s="107"/>
      <c r="AZ178" s="75"/>
      <c r="BA178" s="75"/>
      <c r="BB178" s="97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7"/>
      <c r="BS178" s="107"/>
      <c r="BT178" s="107"/>
      <c r="BU178" s="107"/>
      <c r="BV178" s="107"/>
      <c r="BW178" s="107"/>
      <c r="BX178" s="75"/>
      <c r="BY178" s="75"/>
      <c r="BZ178" s="75"/>
      <c r="CA178" s="75"/>
      <c r="CB178" s="75"/>
      <c r="CC178" s="75"/>
      <c r="CD178" s="75"/>
      <c r="CE178" s="102"/>
      <c r="CF178" s="102"/>
      <c r="CG178" s="102"/>
      <c r="CH178" s="102"/>
      <c r="CI178" s="102"/>
      <c r="CJ178" s="102"/>
      <c r="CK178" s="102"/>
      <c r="CL178" s="102"/>
      <c r="CM178" s="102"/>
      <c r="CN178" s="102"/>
      <c r="CO178" s="102"/>
      <c r="CP178" s="102"/>
      <c r="CQ178" s="102"/>
      <c r="CR178" s="102"/>
      <c r="CS178" s="102"/>
      <c r="CT178" s="102"/>
      <c r="CU178" s="102"/>
      <c r="CV178" s="102"/>
      <c r="CW178" s="102"/>
      <c r="CX178" s="102"/>
      <c r="CY178" s="102"/>
      <c r="CZ178" s="102"/>
      <c r="DA178" s="102"/>
      <c r="DB178" s="102"/>
      <c r="DC178" s="102"/>
      <c r="DD178" s="102"/>
      <c r="DE178" s="102"/>
      <c r="DF178" s="102"/>
      <c r="DG178" s="102"/>
      <c r="DH178" s="102"/>
      <c r="DI178" s="102"/>
      <c r="DJ178" s="102"/>
      <c r="DK178" s="102"/>
      <c r="DL178" s="102"/>
      <c r="DM178" s="102"/>
      <c r="DN178" s="102"/>
      <c r="DO178" s="102"/>
      <c r="DP178" s="102"/>
    </row>
    <row r="179" spans="1:120" x14ac:dyDescent="0.25">
      <c r="A179" s="4"/>
      <c r="D179"/>
      <c r="E179"/>
      <c r="F179"/>
      <c r="J179" s="68" t="str">
        <f t="shared" si="63"/>
        <v/>
      </c>
      <c r="K179" s="68" t="str">
        <f t="shared" si="64"/>
        <v/>
      </c>
      <c r="L179" s="69" t="str">
        <f t="shared" si="65"/>
        <v/>
      </c>
      <c r="M179" s="69" t="str">
        <f t="shared" si="66"/>
        <v/>
      </c>
      <c r="N179" s="69" t="str">
        <f>IF(A179="","",Tabela1[[#This Row],[PTC]]*Tabela1[[#This Row],[ODDC]])</f>
        <v/>
      </c>
      <c r="O179" s="69" t="str">
        <f>IF(A179="","",Tabela1[[#This Row],[PTV]]*Tabela1[[#This Row],[ODDV]])</f>
        <v/>
      </c>
      <c r="P179" s="68" t="str">
        <f t="shared" si="67"/>
        <v/>
      </c>
      <c r="Q179" s="68" t="str">
        <f t="shared" si="68"/>
        <v/>
      </c>
      <c r="R179" s="68" t="str">
        <f t="shared" si="69"/>
        <v/>
      </c>
      <c r="S179" s="68" t="str">
        <f t="shared" si="70"/>
        <v/>
      </c>
      <c r="T179" s="68" t="str">
        <f>IF(A179="","",IF(F179="D",Tabela1[[#This Row],[ODDE]]-1,-1))</f>
        <v/>
      </c>
      <c r="U179" s="70" t="str">
        <f>IF(A179="","",IF(AND(Tabela1[[#This Row],[FTHG]]&gt;3,F179="H"),1,0))</f>
        <v/>
      </c>
      <c r="V179" s="70" t="str">
        <f>IF(A179="","",IF(AND(Tabela1[[#This Row],[FTAG]]&gt;3,F179="A"),1,0))</f>
        <v/>
      </c>
      <c r="W179" s="70" t="str">
        <f t="shared" si="71"/>
        <v/>
      </c>
      <c r="X179" s="70" t="str">
        <f t="shared" si="72"/>
        <v/>
      </c>
      <c r="Y179" s="71" t="str">
        <f t="shared" si="73"/>
        <v/>
      </c>
      <c r="Z179" s="70" t="str">
        <f t="shared" si="74"/>
        <v/>
      </c>
      <c r="AA179" s="70" t="str">
        <f t="shared" si="75"/>
        <v/>
      </c>
      <c r="AB179" s="70" t="str">
        <f t="shared" si="76"/>
        <v/>
      </c>
      <c r="AC179" s="71" t="str">
        <f t="shared" si="77"/>
        <v/>
      </c>
      <c r="AD179" s="72" t="str">
        <f t="shared" si="78"/>
        <v/>
      </c>
      <c r="AE179" s="73" t="str">
        <f>IF(A179="","",COUNT($N$2:N179))</f>
        <v/>
      </c>
      <c r="AF179" s="74" t="str">
        <f t="shared" si="79"/>
        <v/>
      </c>
      <c r="AG179" s="74" t="str">
        <f t="shared" si="80"/>
        <v/>
      </c>
      <c r="AH179" s="74" t="str">
        <f t="shared" si="81"/>
        <v/>
      </c>
      <c r="AI179" s="74" t="str">
        <f t="shared" si="82"/>
        <v/>
      </c>
      <c r="AJ179" s="74" t="str">
        <f t="shared" si="83"/>
        <v/>
      </c>
      <c r="AK179" s="74" t="str">
        <f>IF(A179="","",1/Tabela1[[#This Row],[ODDC]])</f>
        <v/>
      </c>
      <c r="AL179" s="74" t="str">
        <f>IF(A179="","",1/Tabela1[[#This Row],[ODDE]])</f>
        <v/>
      </c>
      <c r="AM179" s="74" t="str">
        <f>IF(A179="","",1/Tabela1[[#This Row],[ODDV]])</f>
        <v/>
      </c>
      <c r="AN179" s="74" t="str">
        <f>IF(A179="","",1-(Tabela1[[#This Row],[p(H)]]+Tabela1[[#This Row],[p(D)]]+Tabela1[[#This Row],[p(A)]]))</f>
        <v/>
      </c>
      <c r="AO179" s="74" t="str">
        <f>IF(A179="","",IFERROR(Tabela1[[#This Row],[p(H)]]/Tabela1[[#This Row],[FTHG]],1))</f>
        <v/>
      </c>
      <c r="AP179" s="74" t="str">
        <f>IF(A179="","",IFERROR(Tabela1[[#This Row],[p(A)]]/Tabela1[[#This Row],[FTAG]],1))</f>
        <v/>
      </c>
      <c r="AQ179" s="107"/>
      <c r="AR179" s="107"/>
      <c r="AS179" s="107"/>
      <c r="AT179" s="107"/>
      <c r="AU179" s="107"/>
      <c r="AV179" s="107"/>
      <c r="AW179" s="107"/>
      <c r="AX179" s="107"/>
      <c r="AY179" s="107"/>
      <c r="AZ179" s="75"/>
      <c r="BA179" s="75"/>
      <c r="BB179" s="97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7"/>
      <c r="BS179" s="107"/>
      <c r="BT179" s="107"/>
      <c r="BU179" s="107"/>
      <c r="BV179" s="107"/>
      <c r="BW179" s="107"/>
      <c r="BX179" s="75"/>
      <c r="BY179" s="75"/>
      <c r="BZ179" s="75"/>
      <c r="CA179" s="75"/>
      <c r="CB179" s="75"/>
      <c r="CC179" s="75"/>
      <c r="CD179" s="75"/>
      <c r="CE179" s="102"/>
      <c r="CF179" s="102"/>
      <c r="CG179" s="102"/>
      <c r="CH179" s="102"/>
      <c r="CI179" s="102"/>
      <c r="CJ179" s="102"/>
      <c r="CK179" s="102"/>
      <c r="CL179" s="102"/>
      <c r="CM179" s="102"/>
      <c r="CN179" s="102"/>
      <c r="CO179" s="102"/>
      <c r="CP179" s="102"/>
      <c r="CQ179" s="102"/>
      <c r="CR179" s="102"/>
      <c r="CS179" s="102"/>
      <c r="CT179" s="102"/>
      <c r="CU179" s="102"/>
      <c r="CV179" s="102"/>
      <c r="CW179" s="102"/>
      <c r="CX179" s="102"/>
      <c r="CY179" s="102"/>
      <c r="CZ179" s="102"/>
      <c r="DA179" s="102"/>
      <c r="DB179" s="102"/>
      <c r="DC179" s="102"/>
      <c r="DD179" s="102"/>
      <c r="DE179" s="102"/>
      <c r="DF179" s="102"/>
      <c r="DG179" s="102"/>
      <c r="DH179" s="102"/>
      <c r="DI179" s="102"/>
      <c r="DJ179" s="102"/>
      <c r="DK179" s="102"/>
      <c r="DL179" s="102"/>
      <c r="DM179" s="102"/>
      <c r="DN179" s="102"/>
      <c r="DO179" s="102"/>
      <c r="DP179" s="102"/>
    </row>
    <row r="180" spans="1:120" x14ac:dyDescent="0.25">
      <c r="A180" s="4"/>
      <c r="D180"/>
      <c r="E180"/>
      <c r="F180"/>
      <c r="J180" s="68" t="str">
        <f t="shared" si="63"/>
        <v/>
      </c>
      <c r="K180" s="68" t="str">
        <f t="shared" si="64"/>
        <v/>
      </c>
      <c r="L180" s="69" t="str">
        <f t="shared" si="65"/>
        <v/>
      </c>
      <c r="M180" s="69" t="str">
        <f t="shared" si="66"/>
        <v/>
      </c>
      <c r="N180" s="69" t="str">
        <f>IF(A180="","",Tabela1[[#This Row],[PTC]]*Tabela1[[#This Row],[ODDC]])</f>
        <v/>
      </c>
      <c r="O180" s="69" t="str">
        <f>IF(A180="","",Tabela1[[#This Row],[PTV]]*Tabela1[[#This Row],[ODDV]])</f>
        <v/>
      </c>
      <c r="P180" s="68" t="str">
        <f t="shared" si="67"/>
        <v/>
      </c>
      <c r="Q180" s="68" t="str">
        <f t="shared" si="68"/>
        <v/>
      </c>
      <c r="R180" s="68" t="str">
        <f t="shared" si="69"/>
        <v/>
      </c>
      <c r="S180" s="68" t="str">
        <f t="shared" si="70"/>
        <v/>
      </c>
      <c r="T180" s="68" t="str">
        <f>IF(A180="","",IF(F180="D",Tabela1[[#This Row],[ODDE]]-1,-1))</f>
        <v/>
      </c>
      <c r="U180" s="70" t="str">
        <f>IF(A180="","",IF(AND(Tabela1[[#This Row],[FTHG]]&gt;3,F180="H"),1,0))</f>
        <v/>
      </c>
      <c r="V180" s="70" t="str">
        <f>IF(A180="","",IF(AND(Tabela1[[#This Row],[FTAG]]&gt;3,F180="A"),1,0))</f>
        <v/>
      </c>
      <c r="W180" s="70" t="str">
        <f t="shared" si="71"/>
        <v/>
      </c>
      <c r="X180" s="70" t="str">
        <f t="shared" si="72"/>
        <v/>
      </c>
      <c r="Y180" s="71" t="str">
        <f t="shared" si="73"/>
        <v/>
      </c>
      <c r="Z180" s="70" t="str">
        <f t="shared" si="74"/>
        <v/>
      </c>
      <c r="AA180" s="70" t="str">
        <f t="shared" si="75"/>
        <v/>
      </c>
      <c r="AB180" s="70" t="str">
        <f t="shared" si="76"/>
        <v/>
      </c>
      <c r="AC180" s="71" t="str">
        <f t="shared" si="77"/>
        <v/>
      </c>
      <c r="AD180" s="72" t="str">
        <f t="shared" si="78"/>
        <v/>
      </c>
      <c r="AE180" s="73" t="str">
        <f>IF(A180="","",COUNT($N$2:N180))</f>
        <v/>
      </c>
      <c r="AF180" s="74" t="str">
        <f t="shared" si="79"/>
        <v/>
      </c>
      <c r="AG180" s="74" t="str">
        <f t="shared" si="80"/>
        <v/>
      </c>
      <c r="AH180" s="74" t="str">
        <f t="shared" si="81"/>
        <v/>
      </c>
      <c r="AI180" s="74" t="str">
        <f t="shared" si="82"/>
        <v/>
      </c>
      <c r="AJ180" s="74" t="str">
        <f t="shared" si="83"/>
        <v/>
      </c>
      <c r="AK180" s="74" t="str">
        <f>IF(A180="","",1/Tabela1[[#This Row],[ODDC]])</f>
        <v/>
      </c>
      <c r="AL180" s="74" t="str">
        <f>IF(A180="","",1/Tabela1[[#This Row],[ODDE]])</f>
        <v/>
      </c>
      <c r="AM180" s="74" t="str">
        <f>IF(A180="","",1/Tabela1[[#This Row],[ODDV]])</f>
        <v/>
      </c>
      <c r="AN180" s="74" t="str">
        <f>IF(A180="","",1-(Tabela1[[#This Row],[p(H)]]+Tabela1[[#This Row],[p(D)]]+Tabela1[[#This Row],[p(A)]]))</f>
        <v/>
      </c>
      <c r="AO180" s="74" t="str">
        <f>IF(A180="","",IFERROR(Tabela1[[#This Row],[p(H)]]/Tabela1[[#This Row],[FTHG]],1))</f>
        <v/>
      </c>
      <c r="AP180" s="74" t="str">
        <f>IF(A180="","",IFERROR(Tabela1[[#This Row],[p(A)]]/Tabela1[[#This Row],[FTAG]],1))</f>
        <v/>
      </c>
      <c r="AQ180" s="107"/>
      <c r="AR180" s="107"/>
      <c r="AS180" s="107"/>
      <c r="AT180" s="107"/>
      <c r="AU180" s="107"/>
      <c r="AV180" s="107"/>
      <c r="AW180" s="107"/>
      <c r="AX180" s="107"/>
      <c r="AY180" s="107"/>
      <c r="AZ180" s="75"/>
      <c r="BA180" s="75"/>
      <c r="BB180" s="97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7"/>
      <c r="BS180" s="107"/>
      <c r="BT180" s="107"/>
      <c r="BU180" s="107"/>
      <c r="BV180" s="107"/>
      <c r="BW180" s="107"/>
      <c r="BX180" s="75"/>
      <c r="BY180" s="75"/>
      <c r="BZ180" s="75"/>
      <c r="CA180" s="75"/>
      <c r="CB180" s="75"/>
      <c r="CC180" s="75"/>
      <c r="CD180" s="75"/>
      <c r="CE180" s="102"/>
      <c r="CF180" s="102"/>
      <c r="CG180" s="102"/>
      <c r="CH180" s="102"/>
      <c r="CI180" s="102"/>
      <c r="CJ180" s="102"/>
      <c r="CK180" s="102"/>
      <c r="CL180" s="102"/>
      <c r="CM180" s="102"/>
      <c r="CN180" s="102"/>
      <c r="CO180" s="102"/>
      <c r="CP180" s="102"/>
      <c r="CQ180" s="102"/>
      <c r="CR180" s="102"/>
      <c r="CS180" s="102"/>
      <c r="CT180" s="102"/>
      <c r="CU180" s="102"/>
      <c r="CV180" s="102"/>
      <c r="CW180" s="102"/>
      <c r="CX180" s="102"/>
      <c r="CY180" s="102"/>
      <c r="CZ180" s="102"/>
      <c r="DA180" s="102"/>
      <c r="DB180" s="102"/>
      <c r="DC180" s="102"/>
      <c r="DD180" s="102"/>
      <c r="DE180" s="102"/>
      <c r="DF180" s="102"/>
      <c r="DG180" s="102"/>
      <c r="DH180" s="102"/>
      <c r="DI180" s="102"/>
      <c r="DJ180" s="102"/>
      <c r="DK180" s="102"/>
      <c r="DL180" s="102"/>
      <c r="DM180" s="102"/>
      <c r="DN180" s="102"/>
      <c r="DO180" s="102"/>
      <c r="DP180" s="102"/>
    </row>
    <row r="181" spans="1:120" x14ac:dyDescent="0.25">
      <c r="A181" s="4"/>
      <c r="D181"/>
      <c r="E181"/>
      <c r="F181"/>
      <c r="J181" s="68" t="str">
        <f t="shared" si="63"/>
        <v/>
      </c>
      <c r="K181" s="68" t="str">
        <f t="shared" si="64"/>
        <v/>
      </c>
      <c r="L181" s="69" t="str">
        <f t="shared" si="65"/>
        <v/>
      </c>
      <c r="M181" s="69" t="str">
        <f t="shared" si="66"/>
        <v/>
      </c>
      <c r="N181" s="69" t="str">
        <f>IF(A181="","",Tabela1[[#This Row],[PTC]]*Tabela1[[#This Row],[ODDC]])</f>
        <v/>
      </c>
      <c r="O181" s="69" t="str">
        <f>IF(A181="","",Tabela1[[#This Row],[PTV]]*Tabela1[[#This Row],[ODDV]])</f>
        <v/>
      </c>
      <c r="P181" s="68" t="str">
        <f t="shared" si="67"/>
        <v/>
      </c>
      <c r="Q181" s="68" t="str">
        <f t="shared" si="68"/>
        <v/>
      </c>
      <c r="R181" s="68" t="str">
        <f t="shared" si="69"/>
        <v/>
      </c>
      <c r="S181" s="68" t="str">
        <f t="shared" si="70"/>
        <v/>
      </c>
      <c r="T181" s="68" t="str">
        <f>IF(A181="","",IF(F181="D",Tabela1[[#This Row],[ODDE]]-1,-1))</f>
        <v/>
      </c>
      <c r="U181" s="70" t="str">
        <f>IF(A181="","",IF(AND(Tabela1[[#This Row],[FTHG]]&gt;3,F181="H"),1,0))</f>
        <v/>
      </c>
      <c r="V181" s="70" t="str">
        <f>IF(A181="","",IF(AND(Tabela1[[#This Row],[FTAG]]&gt;3,F181="A"),1,0))</f>
        <v/>
      </c>
      <c r="W181" s="70" t="str">
        <f t="shared" si="71"/>
        <v/>
      </c>
      <c r="X181" s="70" t="str">
        <f t="shared" si="72"/>
        <v/>
      </c>
      <c r="Y181" s="71" t="str">
        <f t="shared" si="73"/>
        <v/>
      </c>
      <c r="Z181" s="70" t="str">
        <f t="shared" si="74"/>
        <v/>
      </c>
      <c r="AA181" s="70" t="str">
        <f t="shared" si="75"/>
        <v/>
      </c>
      <c r="AB181" s="70" t="str">
        <f t="shared" si="76"/>
        <v/>
      </c>
      <c r="AC181" s="71" t="str">
        <f t="shared" si="77"/>
        <v/>
      </c>
      <c r="AD181" s="72" t="str">
        <f t="shared" si="78"/>
        <v/>
      </c>
      <c r="AE181" s="73" t="str">
        <f>IF(A181="","",COUNT($N$2:N181))</f>
        <v/>
      </c>
      <c r="AF181" s="74" t="str">
        <f t="shared" si="79"/>
        <v/>
      </c>
      <c r="AG181" s="74" t="str">
        <f t="shared" si="80"/>
        <v/>
      </c>
      <c r="AH181" s="74" t="str">
        <f t="shared" si="81"/>
        <v/>
      </c>
      <c r="AI181" s="74" t="str">
        <f t="shared" si="82"/>
        <v/>
      </c>
      <c r="AJ181" s="74" t="str">
        <f t="shared" si="83"/>
        <v/>
      </c>
      <c r="AK181" s="74" t="str">
        <f>IF(A181="","",1/Tabela1[[#This Row],[ODDC]])</f>
        <v/>
      </c>
      <c r="AL181" s="74" t="str">
        <f>IF(A181="","",1/Tabela1[[#This Row],[ODDE]])</f>
        <v/>
      </c>
      <c r="AM181" s="74" t="str">
        <f>IF(A181="","",1/Tabela1[[#This Row],[ODDV]])</f>
        <v/>
      </c>
      <c r="AN181" s="74" t="str">
        <f>IF(A181="","",1-(Tabela1[[#This Row],[p(H)]]+Tabela1[[#This Row],[p(D)]]+Tabela1[[#This Row],[p(A)]]))</f>
        <v/>
      </c>
      <c r="AO181" s="74" t="str">
        <f>IF(A181="","",IFERROR(Tabela1[[#This Row],[p(H)]]/Tabela1[[#This Row],[FTHG]],1))</f>
        <v/>
      </c>
      <c r="AP181" s="74" t="str">
        <f>IF(A181="","",IFERROR(Tabela1[[#This Row],[p(A)]]/Tabela1[[#This Row],[FTAG]],1))</f>
        <v/>
      </c>
      <c r="AQ181" s="107"/>
      <c r="AR181" s="107"/>
      <c r="AS181" s="107"/>
      <c r="AT181" s="107"/>
      <c r="AU181" s="107"/>
      <c r="AV181" s="107"/>
      <c r="AW181" s="107"/>
      <c r="AX181" s="107"/>
      <c r="AY181" s="107"/>
      <c r="AZ181" s="75"/>
      <c r="BA181" s="75"/>
      <c r="BB181" s="97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7"/>
      <c r="BS181" s="107"/>
      <c r="BT181" s="107"/>
      <c r="BU181" s="107"/>
      <c r="BV181" s="107"/>
      <c r="BW181" s="107"/>
      <c r="BX181" s="75"/>
      <c r="BY181" s="75"/>
      <c r="BZ181" s="75"/>
      <c r="CA181" s="75"/>
      <c r="CB181" s="75"/>
      <c r="CC181" s="75"/>
      <c r="CD181" s="75"/>
      <c r="CE181" s="102"/>
      <c r="CF181" s="102"/>
      <c r="CG181" s="102"/>
      <c r="CH181" s="102"/>
      <c r="CI181" s="102"/>
      <c r="CJ181" s="102"/>
      <c r="CK181" s="102"/>
      <c r="CL181" s="102"/>
      <c r="CM181" s="102"/>
      <c r="CN181" s="102"/>
      <c r="CO181" s="102"/>
      <c r="CP181" s="102"/>
      <c r="CQ181" s="102"/>
      <c r="CR181" s="102"/>
      <c r="CS181" s="102"/>
      <c r="CT181" s="102"/>
      <c r="CU181" s="102"/>
      <c r="CV181" s="102"/>
      <c r="CW181" s="102"/>
      <c r="CX181" s="102"/>
      <c r="CY181" s="102"/>
      <c r="CZ181" s="102"/>
      <c r="DA181" s="102"/>
      <c r="DB181" s="102"/>
      <c r="DC181" s="102"/>
      <c r="DD181" s="102"/>
      <c r="DE181" s="102"/>
      <c r="DF181" s="102"/>
      <c r="DG181" s="102"/>
      <c r="DH181" s="102"/>
      <c r="DI181" s="102"/>
      <c r="DJ181" s="102"/>
      <c r="DK181" s="102"/>
      <c r="DL181" s="102"/>
      <c r="DM181" s="102"/>
      <c r="DN181" s="102"/>
      <c r="DO181" s="102"/>
      <c r="DP181" s="102"/>
    </row>
    <row r="182" spans="1:120" x14ac:dyDescent="0.25">
      <c r="A182" s="4"/>
      <c r="D182"/>
      <c r="E182"/>
      <c r="F182"/>
      <c r="J182" s="68" t="str">
        <f t="shared" si="63"/>
        <v/>
      </c>
      <c r="K182" s="68" t="str">
        <f t="shared" si="64"/>
        <v/>
      </c>
      <c r="L182" s="69" t="str">
        <f t="shared" si="65"/>
        <v/>
      </c>
      <c r="M182" s="69" t="str">
        <f t="shared" si="66"/>
        <v/>
      </c>
      <c r="N182" s="69" t="str">
        <f>IF(A182="","",Tabela1[[#This Row],[PTC]]*Tabela1[[#This Row],[ODDC]])</f>
        <v/>
      </c>
      <c r="O182" s="69" t="str">
        <f>IF(A182="","",Tabela1[[#This Row],[PTV]]*Tabela1[[#This Row],[ODDV]])</f>
        <v/>
      </c>
      <c r="P182" s="68" t="str">
        <f t="shared" si="67"/>
        <v/>
      </c>
      <c r="Q182" s="68" t="str">
        <f t="shared" si="68"/>
        <v/>
      </c>
      <c r="R182" s="68" t="str">
        <f t="shared" si="69"/>
        <v/>
      </c>
      <c r="S182" s="68" t="str">
        <f t="shared" si="70"/>
        <v/>
      </c>
      <c r="T182" s="68" t="str">
        <f>IF(A182="","",IF(F182="D",Tabela1[[#This Row],[ODDE]]-1,-1))</f>
        <v/>
      </c>
      <c r="U182" s="70" t="str">
        <f>IF(A182="","",IF(AND(Tabela1[[#This Row],[FTHG]]&gt;3,F182="H"),1,0))</f>
        <v/>
      </c>
      <c r="V182" s="70" t="str">
        <f>IF(A182="","",IF(AND(Tabela1[[#This Row],[FTAG]]&gt;3,F182="A"),1,0))</f>
        <v/>
      </c>
      <c r="W182" s="70" t="str">
        <f t="shared" si="71"/>
        <v/>
      </c>
      <c r="X182" s="70" t="str">
        <f t="shared" si="72"/>
        <v/>
      </c>
      <c r="Y182" s="71" t="str">
        <f t="shared" si="73"/>
        <v/>
      </c>
      <c r="Z182" s="70" t="str">
        <f t="shared" si="74"/>
        <v/>
      </c>
      <c r="AA182" s="70" t="str">
        <f t="shared" si="75"/>
        <v/>
      </c>
      <c r="AB182" s="70" t="str">
        <f t="shared" si="76"/>
        <v/>
      </c>
      <c r="AC182" s="71" t="str">
        <f t="shared" si="77"/>
        <v/>
      </c>
      <c r="AD182" s="72" t="str">
        <f t="shared" si="78"/>
        <v/>
      </c>
      <c r="AE182" s="73" t="str">
        <f>IF(A182="","",COUNT($N$2:N182))</f>
        <v/>
      </c>
      <c r="AF182" s="74" t="str">
        <f t="shared" si="79"/>
        <v/>
      </c>
      <c r="AG182" s="74" t="str">
        <f t="shared" si="80"/>
        <v/>
      </c>
      <c r="AH182" s="74" t="str">
        <f t="shared" si="81"/>
        <v/>
      </c>
      <c r="AI182" s="74" t="str">
        <f t="shared" si="82"/>
        <v/>
      </c>
      <c r="AJ182" s="74" t="str">
        <f t="shared" si="83"/>
        <v/>
      </c>
      <c r="AK182" s="74" t="str">
        <f>IF(A182="","",1/Tabela1[[#This Row],[ODDC]])</f>
        <v/>
      </c>
      <c r="AL182" s="74" t="str">
        <f>IF(A182="","",1/Tabela1[[#This Row],[ODDE]])</f>
        <v/>
      </c>
      <c r="AM182" s="74" t="str">
        <f>IF(A182="","",1/Tabela1[[#This Row],[ODDV]])</f>
        <v/>
      </c>
      <c r="AN182" s="74" t="str">
        <f>IF(A182="","",1-(Tabela1[[#This Row],[p(H)]]+Tabela1[[#This Row],[p(D)]]+Tabela1[[#This Row],[p(A)]]))</f>
        <v/>
      </c>
      <c r="AO182" s="74" t="str">
        <f>IF(A182="","",IFERROR(Tabela1[[#This Row],[p(H)]]/Tabela1[[#This Row],[FTHG]],1))</f>
        <v/>
      </c>
      <c r="AP182" s="74" t="str">
        <f>IF(A182="","",IFERROR(Tabela1[[#This Row],[p(A)]]/Tabela1[[#This Row],[FTAG]],1))</f>
        <v/>
      </c>
      <c r="AQ182" s="107"/>
      <c r="AR182" s="107"/>
      <c r="AS182" s="107"/>
      <c r="AT182" s="107"/>
      <c r="AU182" s="107"/>
      <c r="AV182" s="107"/>
      <c r="AW182" s="107"/>
      <c r="AX182" s="107"/>
      <c r="AY182" s="107"/>
      <c r="AZ182" s="75"/>
      <c r="BA182" s="75"/>
      <c r="BB182" s="97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7"/>
      <c r="BS182" s="107"/>
      <c r="BT182" s="107"/>
      <c r="BU182" s="107"/>
      <c r="BV182" s="107"/>
      <c r="BW182" s="107"/>
      <c r="BX182" s="75"/>
      <c r="BY182" s="75"/>
      <c r="BZ182" s="75"/>
      <c r="CA182" s="75"/>
      <c r="CB182" s="75"/>
      <c r="CC182" s="75"/>
      <c r="CD182" s="75"/>
      <c r="CE182" s="102"/>
      <c r="CF182" s="102"/>
      <c r="CG182" s="102"/>
      <c r="CH182" s="102"/>
      <c r="CI182" s="102"/>
      <c r="CJ182" s="102"/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2"/>
      <c r="CU182" s="102"/>
      <c r="CV182" s="102"/>
      <c r="CW182" s="102"/>
      <c r="CX182" s="102"/>
      <c r="CY182" s="102"/>
      <c r="CZ182" s="102"/>
      <c r="DA182" s="102"/>
      <c r="DB182" s="102"/>
      <c r="DC182" s="102"/>
      <c r="DD182" s="102"/>
      <c r="DE182" s="102"/>
      <c r="DF182" s="102"/>
      <c r="DG182" s="102"/>
      <c r="DH182" s="102"/>
      <c r="DI182" s="102"/>
      <c r="DJ182" s="102"/>
      <c r="DK182" s="102"/>
      <c r="DL182" s="102"/>
      <c r="DM182" s="102"/>
      <c r="DN182" s="102"/>
      <c r="DO182" s="102"/>
      <c r="DP182" s="102"/>
    </row>
    <row r="183" spans="1:120" x14ac:dyDescent="0.25">
      <c r="A183" s="4"/>
      <c r="D183"/>
      <c r="E183"/>
      <c r="F183"/>
      <c r="J183" s="68" t="str">
        <f t="shared" si="63"/>
        <v/>
      </c>
      <c r="K183" s="68" t="str">
        <f t="shared" si="64"/>
        <v/>
      </c>
      <c r="L183" s="69" t="str">
        <f t="shared" si="65"/>
        <v/>
      </c>
      <c r="M183" s="69" t="str">
        <f t="shared" si="66"/>
        <v/>
      </c>
      <c r="N183" s="69" t="str">
        <f>IF(A183="","",Tabela1[[#This Row],[PTC]]*Tabela1[[#This Row],[ODDC]])</f>
        <v/>
      </c>
      <c r="O183" s="69" t="str">
        <f>IF(A183="","",Tabela1[[#This Row],[PTV]]*Tabela1[[#This Row],[ODDV]])</f>
        <v/>
      </c>
      <c r="P183" s="68" t="str">
        <f t="shared" si="67"/>
        <v/>
      </c>
      <c r="Q183" s="68" t="str">
        <f t="shared" si="68"/>
        <v/>
      </c>
      <c r="R183" s="68" t="str">
        <f t="shared" si="69"/>
        <v/>
      </c>
      <c r="S183" s="68" t="str">
        <f t="shared" si="70"/>
        <v/>
      </c>
      <c r="T183" s="68" t="str">
        <f>IF(A183="","",IF(F183="D",Tabela1[[#This Row],[ODDE]]-1,-1))</f>
        <v/>
      </c>
      <c r="U183" s="70" t="str">
        <f>IF(A183="","",IF(AND(Tabela1[[#This Row],[FTHG]]&gt;3,F183="H"),1,0))</f>
        <v/>
      </c>
      <c r="V183" s="70" t="str">
        <f>IF(A183="","",IF(AND(Tabela1[[#This Row],[FTAG]]&gt;3,F183="A"),1,0))</f>
        <v/>
      </c>
      <c r="W183" s="70" t="str">
        <f t="shared" si="71"/>
        <v/>
      </c>
      <c r="X183" s="70" t="str">
        <f t="shared" si="72"/>
        <v/>
      </c>
      <c r="Y183" s="71" t="str">
        <f t="shared" si="73"/>
        <v/>
      </c>
      <c r="Z183" s="70" t="str">
        <f t="shared" si="74"/>
        <v/>
      </c>
      <c r="AA183" s="70" t="str">
        <f t="shared" si="75"/>
        <v/>
      </c>
      <c r="AB183" s="70" t="str">
        <f t="shared" si="76"/>
        <v/>
      </c>
      <c r="AC183" s="71" t="str">
        <f t="shared" si="77"/>
        <v/>
      </c>
      <c r="AD183" s="72" t="str">
        <f t="shared" si="78"/>
        <v/>
      </c>
      <c r="AE183" s="73" t="str">
        <f>IF(A183="","",COUNT($N$2:N183))</f>
        <v/>
      </c>
      <c r="AF183" s="74" t="str">
        <f t="shared" si="79"/>
        <v/>
      </c>
      <c r="AG183" s="74" t="str">
        <f t="shared" si="80"/>
        <v/>
      </c>
      <c r="AH183" s="74" t="str">
        <f t="shared" si="81"/>
        <v/>
      </c>
      <c r="AI183" s="74" t="str">
        <f t="shared" si="82"/>
        <v/>
      </c>
      <c r="AJ183" s="74" t="str">
        <f t="shared" si="83"/>
        <v/>
      </c>
      <c r="AK183" s="74" t="str">
        <f>IF(A183="","",1/Tabela1[[#This Row],[ODDC]])</f>
        <v/>
      </c>
      <c r="AL183" s="74" t="str">
        <f>IF(A183="","",1/Tabela1[[#This Row],[ODDE]])</f>
        <v/>
      </c>
      <c r="AM183" s="74" t="str">
        <f>IF(A183="","",1/Tabela1[[#This Row],[ODDV]])</f>
        <v/>
      </c>
      <c r="AN183" s="74" t="str">
        <f>IF(A183="","",1-(Tabela1[[#This Row],[p(H)]]+Tabela1[[#This Row],[p(D)]]+Tabela1[[#This Row],[p(A)]]))</f>
        <v/>
      </c>
      <c r="AO183" s="74" t="str">
        <f>IF(A183="","",IFERROR(Tabela1[[#This Row],[p(H)]]/Tabela1[[#This Row],[FTHG]],1))</f>
        <v/>
      </c>
      <c r="AP183" s="74" t="str">
        <f>IF(A183="","",IFERROR(Tabela1[[#This Row],[p(A)]]/Tabela1[[#This Row],[FTAG]],1))</f>
        <v/>
      </c>
      <c r="AQ183" s="107"/>
      <c r="AR183" s="107"/>
      <c r="AS183" s="107"/>
      <c r="AT183" s="107"/>
      <c r="AU183" s="107"/>
      <c r="AV183" s="107"/>
      <c r="AW183" s="107"/>
      <c r="AX183" s="107"/>
      <c r="AY183" s="107"/>
      <c r="AZ183" s="75"/>
      <c r="BA183" s="75"/>
      <c r="BB183" s="97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7"/>
      <c r="BS183" s="107"/>
      <c r="BT183" s="107"/>
      <c r="BU183" s="107"/>
      <c r="BV183" s="107"/>
      <c r="BW183" s="107"/>
      <c r="BX183" s="75"/>
      <c r="BY183" s="75"/>
      <c r="BZ183" s="75"/>
      <c r="CA183" s="75"/>
      <c r="CB183" s="75"/>
      <c r="CC183" s="75"/>
      <c r="CD183" s="75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  <c r="CY183" s="102"/>
      <c r="CZ183" s="102"/>
      <c r="DA183" s="102"/>
      <c r="DB183" s="102"/>
      <c r="DC183" s="102"/>
      <c r="DD183" s="102"/>
      <c r="DE183" s="102"/>
      <c r="DF183" s="102"/>
      <c r="DG183" s="102"/>
      <c r="DH183" s="102"/>
      <c r="DI183" s="102"/>
      <c r="DJ183" s="102"/>
      <c r="DK183" s="102"/>
      <c r="DL183" s="102"/>
      <c r="DM183" s="102"/>
      <c r="DN183" s="102"/>
      <c r="DO183" s="102"/>
      <c r="DP183" s="102"/>
    </row>
    <row r="184" spans="1:120" x14ac:dyDescent="0.25">
      <c r="A184" s="4"/>
      <c r="D184"/>
      <c r="E184"/>
      <c r="F184"/>
      <c r="J184" s="68" t="str">
        <f t="shared" si="63"/>
        <v/>
      </c>
      <c r="K184" s="68" t="str">
        <f t="shared" si="64"/>
        <v/>
      </c>
      <c r="L184" s="69" t="str">
        <f t="shared" si="65"/>
        <v/>
      </c>
      <c r="M184" s="69" t="str">
        <f t="shared" si="66"/>
        <v/>
      </c>
      <c r="N184" s="69" t="str">
        <f>IF(A184="","",Tabela1[[#This Row],[PTC]]*Tabela1[[#This Row],[ODDC]])</f>
        <v/>
      </c>
      <c r="O184" s="69" t="str">
        <f>IF(A184="","",Tabela1[[#This Row],[PTV]]*Tabela1[[#This Row],[ODDV]])</f>
        <v/>
      </c>
      <c r="P184" s="68" t="str">
        <f t="shared" si="67"/>
        <v/>
      </c>
      <c r="Q184" s="68" t="str">
        <f t="shared" si="68"/>
        <v/>
      </c>
      <c r="R184" s="68" t="str">
        <f t="shared" si="69"/>
        <v/>
      </c>
      <c r="S184" s="68" t="str">
        <f t="shared" si="70"/>
        <v/>
      </c>
      <c r="T184" s="68" t="str">
        <f>IF(A184="","",IF(F184="D",Tabela1[[#This Row],[ODDE]]-1,-1))</f>
        <v/>
      </c>
      <c r="U184" s="70" t="str">
        <f>IF(A184="","",IF(AND(Tabela1[[#This Row],[FTHG]]&gt;3,F184="H"),1,0))</f>
        <v/>
      </c>
      <c r="V184" s="70" t="str">
        <f>IF(A184="","",IF(AND(Tabela1[[#This Row],[FTAG]]&gt;3,F184="A"),1,0))</f>
        <v/>
      </c>
      <c r="W184" s="70" t="str">
        <f t="shared" si="71"/>
        <v/>
      </c>
      <c r="X184" s="70" t="str">
        <f t="shared" si="72"/>
        <v/>
      </c>
      <c r="Y184" s="71" t="str">
        <f t="shared" si="73"/>
        <v/>
      </c>
      <c r="Z184" s="70" t="str">
        <f t="shared" si="74"/>
        <v/>
      </c>
      <c r="AA184" s="70" t="str">
        <f t="shared" si="75"/>
        <v/>
      </c>
      <c r="AB184" s="70" t="str">
        <f t="shared" si="76"/>
        <v/>
      </c>
      <c r="AC184" s="71" t="str">
        <f t="shared" si="77"/>
        <v/>
      </c>
      <c r="AD184" s="72" t="str">
        <f t="shared" si="78"/>
        <v/>
      </c>
      <c r="AE184" s="73" t="str">
        <f>IF(A184="","",COUNT($N$2:N184))</f>
        <v/>
      </c>
      <c r="AF184" s="74" t="str">
        <f t="shared" si="79"/>
        <v/>
      </c>
      <c r="AG184" s="74" t="str">
        <f t="shared" si="80"/>
        <v/>
      </c>
      <c r="AH184" s="74" t="str">
        <f t="shared" si="81"/>
        <v/>
      </c>
      <c r="AI184" s="74" t="str">
        <f t="shared" si="82"/>
        <v/>
      </c>
      <c r="AJ184" s="74" t="str">
        <f t="shared" si="83"/>
        <v/>
      </c>
      <c r="AK184" s="74" t="str">
        <f>IF(A184="","",1/Tabela1[[#This Row],[ODDC]])</f>
        <v/>
      </c>
      <c r="AL184" s="74" t="str">
        <f>IF(A184="","",1/Tabela1[[#This Row],[ODDE]])</f>
        <v/>
      </c>
      <c r="AM184" s="74" t="str">
        <f>IF(A184="","",1/Tabela1[[#This Row],[ODDV]])</f>
        <v/>
      </c>
      <c r="AN184" s="74" t="str">
        <f>IF(A184="","",1-(Tabela1[[#This Row],[p(H)]]+Tabela1[[#This Row],[p(D)]]+Tabela1[[#This Row],[p(A)]]))</f>
        <v/>
      </c>
      <c r="AO184" s="74" t="str">
        <f>IF(A184="","",IFERROR(Tabela1[[#This Row],[p(H)]]/Tabela1[[#This Row],[FTHG]],1))</f>
        <v/>
      </c>
      <c r="AP184" s="74" t="str">
        <f>IF(A184="","",IFERROR(Tabela1[[#This Row],[p(A)]]/Tabela1[[#This Row],[FTAG]],1))</f>
        <v/>
      </c>
      <c r="AQ184" s="107"/>
      <c r="AR184" s="107"/>
      <c r="AS184" s="107"/>
      <c r="AT184" s="107"/>
      <c r="AU184" s="107"/>
      <c r="AV184" s="107"/>
      <c r="AW184" s="107"/>
      <c r="AX184" s="107"/>
      <c r="AY184" s="107"/>
      <c r="AZ184" s="75"/>
      <c r="BA184" s="75"/>
      <c r="BB184" s="97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7"/>
      <c r="BS184" s="107"/>
      <c r="BT184" s="107"/>
      <c r="BU184" s="107"/>
      <c r="BV184" s="107"/>
      <c r="BW184" s="107"/>
      <c r="BX184" s="75"/>
      <c r="BY184" s="75"/>
      <c r="BZ184" s="75"/>
      <c r="CA184" s="75"/>
      <c r="CB184" s="75"/>
      <c r="CC184" s="75"/>
      <c r="CD184" s="75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2"/>
      <c r="DC184" s="102"/>
      <c r="DD184" s="102"/>
      <c r="DE184" s="102"/>
      <c r="DF184" s="102"/>
      <c r="DG184" s="102"/>
      <c r="DH184" s="102"/>
      <c r="DI184" s="102"/>
      <c r="DJ184" s="102"/>
      <c r="DK184" s="102"/>
      <c r="DL184" s="102"/>
      <c r="DM184" s="102"/>
      <c r="DN184" s="102"/>
      <c r="DO184" s="102"/>
      <c r="DP184" s="102"/>
    </row>
    <row r="185" spans="1:120" x14ac:dyDescent="0.25">
      <c r="A185" s="4"/>
      <c r="D185"/>
      <c r="E185"/>
      <c r="F185"/>
      <c r="J185" s="68" t="str">
        <f t="shared" si="63"/>
        <v/>
      </c>
      <c r="K185" s="68" t="str">
        <f t="shared" si="64"/>
        <v/>
      </c>
      <c r="L185" s="69" t="str">
        <f t="shared" si="65"/>
        <v/>
      </c>
      <c r="M185" s="69" t="str">
        <f t="shared" si="66"/>
        <v/>
      </c>
      <c r="N185" s="69" t="str">
        <f>IF(A185="","",Tabela1[[#This Row],[PTC]]*Tabela1[[#This Row],[ODDC]])</f>
        <v/>
      </c>
      <c r="O185" s="69" t="str">
        <f>IF(A185="","",Tabela1[[#This Row],[PTV]]*Tabela1[[#This Row],[ODDV]])</f>
        <v/>
      </c>
      <c r="P185" s="68" t="str">
        <f t="shared" si="67"/>
        <v/>
      </c>
      <c r="Q185" s="68" t="str">
        <f t="shared" si="68"/>
        <v/>
      </c>
      <c r="R185" s="68" t="str">
        <f t="shared" si="69"/>
        <v/>
      </c>
      <c r="S185" s="68" t="str">
        <f t="shared" si="70"/>
        <v/>
      </c>
      <c r="T185" s="68" t="str">
        <f>IF(A185="","",IF(F185="D",Tabela1[[#This Row],[ODDE]]-1,-1))</f>
        <v/>
      </c>
      <c r="U185" s="70" t="str">
        <f>IF(A185="","",IF(AND(Tabela1[[#This Row],[FTHG]]&gt;3,F185="H"),1,0))</f>
        <v/>
      </c>
      <c r="V185" s="70" t="str">
        <f>IF(A185="","",IF(AND(Tabela1[[#This Row],[FTAG]]&gt;3,F185="A"),1,0))</f>
        <v/>
      </c>
      <c r="W185" s="70" t="str">
        <f t="shared" si="71"/>
        <v/>
      </c>
      <c r="X185" s="70" t="str">
        <f t="shared" si="72"/>
        <v/>
      </c>
      <c r="Y185" s="71" t="str">
        <f t="shared" si="73"/>
        <v/>
      </c>
      <c r="Z185" s="70" t="str">
        <f t="shared" si="74"/>
        <v/>
      </c>
      <c r="AA185" s="70" t="str">
        <f t="shared" si="75"/>
        <v/>
      </c>
      <c r="AB185" s="70" t="str">
        <f t="shared" si="76"/>
        <v/>
      </c>
      <c r="AC185" s="71" t="str">
        <f t="shared" si="77"/>
        <v/>
      </c>
      <c r="AD185" s="72" t="str">
        <f t="shared" si="78"/>
        <v/>
      </c>
      <c r="AE185" s="73" t="str">
        <f>IF(A185="","",COUNT($N$2:N185))</f>
        <v/>
      </c>
      <c r="AF185" s="74" t="str">
        <f t="shared" si="79"/>
        <v/>
      </c>
      <c r="AG185" s="74" t="str">
        <f t="shared" si="80"/>
        <v/>
      </c>
      <c r="AH185" s="74" t="str">
        <f t="shared" si="81"/>
        <v/>
      </c>
      <c r="AI185" s="74" t="str">
        <f t="shared" si="82"/>
        <v/>
      </c>
      <c r="AJ185" s="74" t="str">
        <f t="shared" si="83"/>
        <v/>
      </c>
      <c r="AK185" s="74" t="str">
        <f>IF(A185="","",1/Tabela1[[#This Row],[ODDC]])</f>
        <v/>
      </c>
      <c r="AL185" s="74" t="str">
        <f>IF(A185="","",1/Tabela1[[#This Row],[ODDE]])</f>
        <v/>
      </c>
      <c r="AM185" s="74" t="str">
        <f>IF(A185="","",1/Tabela1[[#This Row],[ODDV]])</f>
        <v/>
      </c>
      <c r="AN185" s="74" t="str">
        <f>IF(A185="","",1-(Tabela1[[#This Row],[p(H)]]+Tabela1[[#This Row],[p(D)]]+Tabela1[[#This Row],[p(A)]]))</f>
        <v/>
      </c>
      <c r="AO185" s="74" t="str">
        <f>IF(A185="","",IFERROR(Tabela1[[#This Row],[p(H)]]/Tabela1[[#This Row],[FTHG]],1))</f>
        <v/>
      </c>
      <c r="AP185" s="74" t="str">
        <f>IF(A185="","",IFERROR(Tabela1[[#This Row],[p(A)]]/Tabela1[[#This Row],[FTAG]],1))</f>
        <v/>
      </c>
      <c r="AQ185" s="107"/>
      <c r="AR185" s="107"/>
      <c r="AS185" s="107"/>
      <c r="AT185" s="107"/>
      <c r="AU185" s="107"/>
      <c r="AV185" s="107"/>
      <c r="AW185" s="107"/>
      <c r="AX185" s="107"/>
      <c r="AY185" s="107"/>
      <c r="AZ185" s="75"/>
      <c r="BA185" s="75"/>
      <c r="BB185" s="97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7"/>
      <c r="BS185" s="107"/>
      <c r="BT185" s="107"/>
      <c r="BU185" s="107"/>
      <c r="BV185" s="107"/>
      <c r="BW185" s="107"/>
      <c r="BX185" s="75"/>
      <c r="BY185" s="75"/>
      <c r="BZ185" s="75"/>
      <c r="CA185" s="75"/>
      <c r="CB185" s="75"/>
      <c r="CC185" s="75"/>
      <c r="CD185" s="75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2"/>
      <c r="CR185" s="102"/>
      <c r="CS185" s="102"/>
      <c r="CT185" s="102"/>
      <c r="CU185" s="102"/>
      <c r="CV185" s="102"/>
      <c r="CW185" s="102"/>
      <c r="CX185" s="102"/>
      <c r="CY185" s="102"/>
      <c r="CZ185" s="102"/>
      <c r="DA185" s="102"/>
      <c r="DB185" s="102"/>
      <c r="DC185" s="102"/>
      <c r="DD185" s="102"/>
      <c r="DE185" s="102"/>
      <c r="DF185" s="102"/>
      <c r="DG185" s="102"/>
      <c r="DH185" s="102"/>
      <c r="DI185" s="102"/>
      <c r="DJ185" s="102"/>
      <c r="DK185" s="102"/>
      <c r="DL185" s="102"/>
      <c r="DM185" s="102"/>
      <c r="DN185" s="102"/>
      <c r="DO185" s="102"/>
      <c r="DP185" s="102"/>
    </row>
    <row r="186" spans="1:120" x14ac:dyDescent="0.25">
      <c r="A186" s="4"/>
      <c r="D186"/>
      <c r="E186"/>
      <c r="F186"/>
      <c r="J186" s="68" t="str">
        <f t="shared" si="63"/>
        <v/>
      </c>
      <c r="K186" s="68" t="str">
        <f t="shared" si="64"/>
        <v/>
      </c>
      <c r="L186" s="69" t="str">
        <f t="shared" si="65"/>
        <v/>
      </c>
      <c r="M186" s="69" t="str">
        <f t="shared" si="66"/>
        <v/>
      </c>
      <c r="N186" s="69" t="str">
        <f>IF(A186="","",Tabela1[[#This Row],[PTC]]*Tabela1[[#This Row],[ODDC]])</f>
        <v/>
      </c>
      <c r="O186" s="69" t="str">
        <f>IF(A186="","",Tabela1[[#This Row],[PTV]]*Tabela1[[#This Row],[ODDV]])</f>
        <v/>
      </c>
      <c r="P186" s="68" t="str">
        <f t="shared" si="67"/>
        <v/>
      </c>
      <c r="Q186" s="68" t="str">
        <f t="shared" si="68"/>
        <v/>
      </c>
      <c r="R186" s="68" t="str">
        <f t="shared" si="69"/>
        <v/>
      </c>
      <c r="S186" s="68" t="str">
        <f t="shared" si="70"/>
        <v/>
      </c>
      <c r="T186" s="68" t="str">
        <f>IF(A186="","",IF(F186="D",Tabela1[[#This Row],[ODDE]]-1,-1))</f>
        <v/>
      </c>
      <c r="U186" s="70" t="str">
        <f>IF(A186="","",IF(AND(Tabela1[[#This Row],[FTHG]]&gt;3,F186="H"),1,0))</f>
        <v/>
      </c>
      <c r="V186" s="70" t="str">
        <f>IF(A186="","",IF(AND(Tabela1[[#This Row],[FTAG]]&gt;3,F186="A"),1,0))</f>
        <v/>
      </c>
      <c r="W186" s="70" t="str">
        <f t="shared" si="71"/>
        <v/>
      </c>
      <c r="X186" s="70" t="str">
        <f t="shared" si="72"/>
        <v/>
      </c>
      <c r="Y186" s="71" t="str">
        <f t="shared" si="73"/>
        <v/>
      </c>
      <c r="Z186" s="70" t="str">
        <f t="shared" si="74"/>
        <v/>
      </c>
      <c r="AA186" s="70" t="str">
        <f t="shared" si="75"/>
        <v/>
      </c>
      <c r="AB186" s="70" t="str">
        <f t="shared" si="76"/>
        <v/>
      </c>
      <c r="AC186" s="71" t="str">
        <f t="shared" si="77"/>
        <v/>
      </c>
      <c r="AD186" s="72" t="str">
        <f t="shared" si="78"/>
        <v/>
      </c>
      <c r="AE186" s="73" t="str">
        <f>IF(A186="","",COUNT($N$2:N186))</f>
        <v/>
      </c>
      <c r="AF186" s="74" t="str">
        <f t="shared" si="79"/>
        <v/>
      </c>
      <c r="AG186" s="74" t="str">
        <f t="shared" si="80"/>
        <v/>
      </c>
      <c r="AH186" s="74" t="str">
        <f t="shared" si="81"/>
        <v/>
      </c>
      <c r="AI186" s="74" t="str">
        <f t="shared" si="82"/>
        <v/>
      </c>
      <c r="AJ186" s="74" t="str">
        <f t="shared" si="83"/>
        <v/>
      </c>
      <c r="AK186" s="74" t="str">
        <f>IF(A186="","",1/Tabela1[[#This Row],[ODDC]])</f>
        <v/>
      </c>
      <c r="AL186" s="74" t="str">
        <f>IF(A186="","",1/Tabela1[[#This Row],[ODDE]])</f>
        <v/>
      </c>
      <c r="AM186" s="74" t="str">
        <f>IF(A186="","",1/Tabela1[[#This Row],[ODDV]])</f>
        <v/>
      </c>
      <c r="AN186" s="74" t="str">
        <f>IF(A186="","",1-(Tabela1[[#This Row],[p(H)]]+Tabela1[[#This Row],[p(D)]]+Tabela1[[#This Row],[p(A)]]))</f>
        <v/>
      </c>
      <c r="AO186" s="74" t="str">
        <f>IF(A186="","",IFERROR(Tabela1[[#This Row],[p(H)]]/Tabela1[[#This Row],[FTHG]],1))</f>
        <v/>
      </c>
      <c r="AP186" s="74" t="str">
        <f>IF(A186="","",IFERROR(Tabela1[[#This Row],[p(A)]]/Tabela1[[#This Row],[FTAG]],1))</f>
        <v/>
      </c>
      <c r="AQ186" s="107"/>
      <c r="AR186" s="107"/>
      <c r="AS186" s="107"/>
      <c r="AT186" s="107"/>
      <c r="AU186" s="107"/>
      <c r="AV186" s="107"/>
      <c r="AW186" s="107"/>
      <c r="AX186" s="107"/>
      <c r="AY186" s="107"/>
      <c r="AZ186" s="75"/>
      <c r="BA186" s="75"/>
      <c r="BB186" s="97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7"/>
      <c r="BS186" s="107"/>
      <c r="BT186" s="107"/>
      <c r="BU186" s="107"/>
      <c r="BV186" s="107"/>
      <c r="BW186" s="107"/>
      <c r="BX186" s="75"/>
      <c r="BY186" s="75"/>
      <c r="BZ186" s="75"/>
      <c r="CA186" s="75"/>
      <c r="CB186" s="75"/>
      <c r="CC186" s="75"/>
      <c r="CD186" s="75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2"/>
      <c r="DC186" s="102"/>
      <c r="DD186" s="102"/>
      <c r="DE186" s="102"/>
      <c r="DF186" s="102"/>
      <c r="DG186" s="102"/>
      <c r="DH186" s="102"/>
      <c r="DI186" s="102"/>
      <c r="DJ186" s="102"/>
      <c r="DK186" s="102"/>
      <c r="DL186" s="102"/>
      <c r="DM186" s="102"/>
      <c r="DN186" s="102"/>
      <c r="DO186" s="102"/>
      <c r="DP186" s="102"/>
    </row>
    <row r="187" spans="1:120" x14ac:dyDescent="0.25">
      <c r="A187" s="4"/>
      <c r="D187"/>
      <c r="E187"/>
      <c r="F187"/>
      <c r="J187" s="68" t="str">
        <f t="shared" si="63"/>
        <v/>
      </c>
      <c r="K187" s="68" t="str">
        <f t="shared" si="64"/>
        <v/>
      </c>
      <c r="L187" s="69" t="str">
        <f t="shared" si="65"/>
        <v/>
      </c>
      <c r="M187" s="69" t="str">
        <f t="shared" si="66"/>
        <v/>
      </c>
      <c r="N187" s="69" t="str">
        <f>IF(A187="","",Tabela1[[#This Row],[PTC]]*Tabela1[[#This Row],[ODDC]])</f>
        <v/>
      </c>
      <c r="O187" s="69" t="str">
        <f>IF(A187="","",Tabela1[[#This Row],[PTV]]*Tabela1[[#This Row],[ODDV]])</f>
        <v/>
      </c>
      <c r="P187" s="68" t="str">
        <f t="shared" si="67"/>
        <v/>
      </c>
      <c r="Q187" s="68" t="str">
        <f t="shared" si="68"/>
        <v/>
      </c>
      <c r="R187" s="68" t="str">
        <f t="shared" si="69"/>
        <v/>
      </c>
      <c r="S187" s="68" t="str">
        <f t="shared" si="70"/>
        <v/>
      </c>
      <c r="T187" s="68" t="str">
        <f>IF(A187="","",IF(F187="D",Tabela1[[#This Row],[ODDE]]-1,-1))</f>
        <v/>
      </c>
      <c r="U187" s="70" t="str">
        <f>IF(A187="","",IF(AND(Tabela1[[#This Row],[FTHG]]&gt;3,F187="H"),1,0))</f>
        <v/>
      </c>
      <c r="V187" s="70" t="str">
        <f>IF(A187="","",IF(AND(Tabela1[[#This Row],[FTAG]]&gt;3,F187="A"),1,0))</f>
        <v/>
      </c>
      <c r="W187" s="70" t="str">
        <f t="shared" si="71"/>
        <v/>
      </c>
      <c r="X187" s="70" t="str">
        <f t="shared" si="72"/>
        <v/>
      </c>
      <c r="Y187" s="71" t="str">
        <f t="shared" si="73"/>
        <v/>
      </c>
      <c r="Z187" s="70" t="str">
        <f t="shared" si="74"/>
        <v/>
      </c>
      <c r="AA187" s="70" t="str">
        <f t="shared" si="75"/>
        <v/>
      </c>
      <c r="AB187" s="70" t="str">
        <f t="shared" si="76"/>
        <v/>
      </c>
      <c r="AC187" s="71" t="str">
        <f t="shared" si="77"/>
        <v/>
      </c>
      <c r="AD187" s="72" t="str">
        <f t="shared" si="78"/>
        <v/>
      </c>
      <c r="AE187" s="73" t="str">
        <f>IF(A187="","",COUNT($N$2:N187))</f>
        <v/>
      </c>
      <c r="AF187" s="74" t="str">
        <f t="shared" si="79"/>
        <v/>
      </c>
      <c r="AG187" s="74" t="str">
        <f t="shared" si="80"/>
        <v/>
      </c>
      <c r="AH187" s="74" t="str">
        <f t="shared" si="81"/>
        <v/>
      </c>
      <c r="AI187" s="74" t="str">
        <f t="shared" si="82"/>
        <v/>
      </c>
      <c r="AJ187" s="74" t="str">
        <f t="shared" si="83"/>
        <v/>
      </c>
      <c r="AK187" s="74" t="str">
        <f>IF(A187="","",1/Tabela1[[#This Row],[ODDC]])</f>
        <v/>
      </c>
      <c r="AL187" s="74" t="str">
        <f>IF(A187="","",1/Tabela1[[#This Row],[ODDE]])</f>
        <v/>
      </c>
      <c r="AM187" s="74" t="str">
        <f>IF(A187="","",1/Tabela1[[#This Row],[ODDV]])</f>
        <v/>
      </c>
      <c r="AN187" s="74" t="str">
        <f>IF(A187="","",1-(Tabela1[[#This Row],[p(H)]]+Tabela1[[#This Row],[p(D)]]+Tabela1[[#This Row],[p(A)]]))</f>
        <v/>
      </c>
      <c r="AO187" s="74" t="str">
        <f>IF(A187="","",IFERROR(Tabela1[[#This Row],[p(H)]]/Tabela1[[#This Row],[FTHG]],1))</f>
        <v/>
      </c>
      <c r="AP187" s="74" t="str">
        <f>IF(A187="","",IFERROR(Tabela1[[#This Row],[p(A)]]/Tabela1[[#This Row],[FTAG]],1))</f>
        <v/>
      </c>
      <c r="AQ187" s="107"/>
      <c r="AR187" s="107"/>
      <c r="AS187" s="107"/>
      <c r="AT187" s="107"/>
      <c r="AU187" s="107"/>
      <c r="AV187" s="107"/>
      <c r="AW187" s="107"/>
      <c r="AX187" s="107"/>
      <c r="AY187" s="107"/>
      <c r="AZ187" s="75"/>
      <c r="BA187" s="75"/>
      <c r="BB187" s="97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7"/>
      <c r="BS187" s="107"/>
      <c r="BT187" s="107"/>
      <c r="BU187" s="107"/>
      <c r="BV187" s="107"/>
      <c r="BW187" s="107"/>
      <c r="BX187" s="75"/>
      <c r="BY187" s="75"/>
      <c r="BZ187" s="75"/>
      <c r="CA187" s="75"/>
      <c r="CB187" s="75"/>
      <c r="CC187" s="75"/>
      <c r="CD187" s="75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2"/>
      <c r="DC187" s="102"/>
      <c r="DD187" s="102"/>
      <c r="DE187" s="102"/>
      <c r="DF187" s="102"/>
      <c r="DG187" s="102"/>
      <c r="DH187" s="102"/>
      <c r="DI187" s="102"/>
      <c r="DJ187" s="102"/>
      <c r="DK187" s="102"/>
      <c r="DL187" s="102"/>
      <c r="DM187" s="102"/>
      <c r="DN187" s="102"/>
      <c r="DO187" s="102"/>
      <c r="DP187" s="102"/>
    </row>
    <row r="188" spans="1:120" x14ac:dyDescent="0.25">
      <c r="A188" s="4"/>
      <c r="D188"/>
      <c r="E188"/>
      <c r="F188"/>
      <c r="J188" s="68" t="str">
        <f t="shared" si="63"/>
        <v/>
      </c>
      <c r="K188" s="68" t="str">
        <f t="shared" si="64"/>
        <v/>
      </c>
      <c r="L188" s="69" t="str">
        <f t="shared" si="65"/>
        <v/>
      </c>
      <c r="M188" s="69" t="str">
        <f t="shared" si="66"/>
        <v/>
      </c>
      <c r="N188" s="69" t="str">
        <f>IF(A188="","",Tabela1[[#This Row],[PTC]]*Tabela1[[#This Row],[ODDC]])</f>
        <v/>
      </c>
      <c r="O188" s="69" t="str">
        <f>IF(A188="","",Tabela1[[#This Row],[PTV]]*Tabela1[[#This Row],[ODDV]])</f>
        <v/>
      </c>
      <c r="P188" s="68" t="str">
        <f t="shared" si="67"/>
        <v/>
      </c>
      <c r="Q188" s="68" t="str">
        <f t="shared" si="68"/>
        <v/>
      </c>
      <c r="R188" s="68" t="str">
        <f t="shared" si="69"/>
        <v/>
      </c>
      <c r="S188" s="68" t="str">
        <f t="shared" si="70"/>
        <v/>
      </c>
      <c r="T188" s="68" t="str">
        <f>IF(A188="","",IF(F188="D",Tabela1[[#This Row],[ODDE]]-1,-1))</f>
        <v/>
      </c>
      <c r="U188" s="70" t="str">
        <f>IF(A188="","",IF(AND(Tabela1[[#This Row],[FTHG]]&gt;3,F188="H"),1,0))</f>
        <v/>
      </c>
      <c r="V188" s="70" t="str">
        <f>IF(A188="","",IF(AND(Tabela1[[#This Row],[FTAG]]&gt;3,F188="A"),1,0))</f>
        <v/>
      </c>
      <c r="W188" s="70" t="str">
        <f t="shared" si="71"/>
        <v/>
      </c>
      <c r="X188" s="70" t="str">
        <f t="shared" si="72"/>
        <v/>
      </c>
      <c r="Y188" s="71" t="str">
        <f t="shared" si="73"/>
        <v/>
      </c>
      <c r="Z188" s="70" t="str">
        <f t="shared" si="74"/>
        <v/>
      </c>
      <c r="AA188" s="70" t="str">
        <f t="shared" si="75"/>
        <v/>
      </c>
      <c r="AB188" s="70" t="str">
        <f t="shared" si="76"/>
        <v/>
      </c>
      <c r="AC188" s="71" t="str">
        <f t="shared" si="77"/>
        <v/>
      </c>
      <c r="AD188" s="72" t="str">
        <f t="shared" si="78"/>
        <v/>
      </c>
      <c r="AE188" s="73" t="str">
        <f>IF(A188="","",COUNT($N$2:N188))</f>
        <v/>
      </c>
      <c r="AF188" s="74" t="str">
        <f t="shared" si="79"/>
        <v/>
      </c>
      <c r="AG188" s="74" t="str">
        <f t="shared" si="80"/>
        <v/>
      </c>
      <c r="AH188" s="74" t="str">
        <f t="shared" si="81"/>
        <v/>
      </c>
      <c r="AI188" s="74" t="str">
        <f t="shared" si="82"/>
        <v/>
      </c>
      <c r="AJ188" s="74" t="str">
        <f t="shared" si="83"/>
        <v/>
      </c>
      <c r="AK188" s="74" t="str">
        <f>IF(A188="","",1/Tabela1[[#This Row],[ODDC]])</f>
        <v/>
      </c>
      <c r="AL188" s="74" t="str">
        <f>IF(A188="","",1/Tabela1[[#This Row],[ODDE]])</f>
        <v/>
      </c>
      <c r="AM188" s="74" t="str">
        <f>IF(A188="","",1/Tabela1[[#This Row],[ODDV]])</f>
        <v/>
      </c>
      <c r="AN188" s="74" t="str">
        <f>IF(A188="","",1-(Tabela1[[#This Row],[p(H)]]+Tabela1[[#This Row],[p(D)]]+Tabela1[[#This Row],[p(A)]]))</f>
        <v/>
      </c>
      <c r="AO188" s="74" t="str">
        <f>IF(A188="","",IFERROR(Tabela1[[#This Row],[p(H)]]/Tabela1[[#This Row],[FTHG]],1))</f>
        <v/>
      </c>
      <c r="AP188" s="74" t="str">
        <f>IF(A188="","",IFERROR(Tabela1[[#This Row],[p(A)]]/Tabela1[[#This Row],[FTAG]],1))</f>
        <v/>
      </c>
      <c r="AQ188" s="107"/>
      <c r="AR188" s="107"/>
      <c r="AS188" s="107"/>
      <c r="AT188" s="107"/>
      <c r="AU188" s="107"/>
      <c r="AV188" s="107"/>
      <c r="AW188" s="107"/>
      <c r="AX188" s="107"/>
      <c r="AY188" s="107"/>
      <c r="AZ188" s="75"/>
      <c r="BA188" s="75"/>
      <c r="BB188" s="97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7"/>
      <c r="BS188" s="107"/>
      <c r="BT188" s="107"/>
      <c r="BU188" s="107"/>
      <c r="BV188" s="107"/>
      <c r="BW188" s="107"/>
      <c r="BX188" s="75"/>
      <c r="BY188" s="75"/>
      <c r="BZ188" s="75"/>
      <c r="CA188" s="75"/>
      <c r="CB188" s="75"/>
      <c r="CC188" s="75"/>
      <c r="CD188" s="75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2"/>
      <c r="CR188" s="102"/>
      <c r="CS188" s="102"/>
      <c r="CT188" s="102"/>
      <c r="CU188" s="102"/>
      <c r="CV188" s="102"/>
      <c r="CW188" s="102"/>
      <c r="CX188" s="102"/>
      <c r="CY188" s="102"/>
      <c r="CZ188" s="102"/>
      <c r="DA188" s="102"/>
      <c r="DB188" s="102"/>
      <c r="DC188" s="102"/>
      <c r="DD188" s="102"/>
      <c r="DE188" s="102"/>
      <c r="DF188" s="102"/>
      <c r="DG188" s="102"/>
      <c r="DH188" s="102"/>
      <c r="DI188" s="102"/>
      <c r="DJ188" s="102"/>
      <c r="DK188" s="102"/>
      <c r="DL188" s="102"/>
      <c r="DM188" s="102"/>
      <c r="DN188" s="102"/>
      <c r="DO188" s="102"/>
      <c r="DP188" s="102"/>
    </row>
    <row r="189" spans="1:120" x14ac:dyDescent="0.25">
      <c r="A189" s="4"/>
      <c r="D189"/>
      <c r="E189"/>
      <c r="F189"/>
      <c r="J189" s="68" t="str">
        <f t="shared" si="63"/>
        <v/>
      </c>
      <c r="K189" s="68" t="str">
        <f t="shared" si="64"/>
        <v/>
      </c>
      <c r="L189" s="69" t="str">
        <f t="shared" si="65"/>
        <v/>
      </c>
      <c r="M189" s="69" t="str">
        <f t="shared" si="66"/>
        <v/>
      </c>
      <c r="N189" s="69" t="str">
        <f>IF(A189="","",Tabela1[[#This Row],[PTC]]*Tabela1[[#This Row],[ODDC]])</f>
        <v/>
      </c>
      <c r="O189" s="69" t="str">
        <f>IF(A189="","",Tabela1[[#This Row],[PTV]]*Tabela1[[#This Row],[ODDV]])</f>
        <v/>
      </c>
      <c r="P189" s="68" t="str">
        <f t="shared" si="67"/>
        <v/>
      </c>
      <c r="Q189" s="68" t="str">
        <f t="shared" si="68"/>
        <v/>
      </c>
      <c r="R189" s="68" t="str">
        <f t="shared" si="69"/>
        <v/>
      </c>
      <c r="S189" s="68" t="str">
        <f t="shared" si="70"/>
        <v/>
      </c>
      <c r="T189" s="68" t="str">
        <f>IF(A189="","",IF(F189="D",Tabela1[[#This Row],[ODDE]]-1,-1))</f>
        <v/>
      </c>
      <c r="U189" s="70" t="str">
        <f>IF(A189="","",IF(AND(Tabela1[[#This Row],[FTHG]]&gt;3,F189="H"),1,0))</f>
        <v/>
      </c>
      <c r="V189" s="70" t="str">
        <f>IF(A189="","",IF(AND(Tabela1[[#This Row],[FTAG]]&gt;3,F189="A"),1,0))</f>
        <v/>
      </c>
      <c r="W189" s="70" t="str">
        <f t="shared" si="71"/>
        <v/>
      </c>
      <c r="X189" s="70" t="str">
        <f t="shared" si="72"/>
        <v/>
      </c>
      <c r="Y189" s="71" t="str">
        <f t="shared" si="73"/>
        <v/>
      </c>
      <c r="Z189" s="70" t="str">
        <f t="shared" si="74"/>
        <v/>
      </c>
      <c r="AA189" s="70" t="str">
        <f t="shared" si="75"/>
        <v/>
      </c>
      <c r="AB189" s="70" t="str">
        <f t="shared" si="76"/>
        <v/>
      </c>
      <c r="AC189" s="71" t="str">
        <f t="shared" si="77"/>
        <v/>
      </c>
      <c r="AD189" s="72" t="str">
        <f t="shared" si="78"/>
        <v/>
      </c>
      <c r="AE189" s="73" t="str">
        <f>IF(A189="","",COUNT($N$2:N189))</f>
        <v/>
      </c>
      <c r="AF189" s="74" t="str">
        <f t="shared" si="79"/>
        <v/>
      </c>
      <c r="AG189" s="74" t="str">
        <f t="shared" si="80"/>
        <v/>
      </c>
      <c r="AH189" s="74" t="str">
        <f t="shared" si="81"/>
        <v/>
      </c>
      <c r="AI189" s="74" t="str">
        <f t="shared" si="82"/>
        <v/>
      </c>
      <c r="AJ189" s="74" t="str">
        <f t="shared" si="83"/>
        <v/>
      </c>
      <c r="AK189" s="74" t="str">
        <f>IF(A189="","",1/Tabela1[[#This Row],[ODDC]])</f>
        <v/>
      </c>
      <c r="AL189" s="74" t="str">
        <f>IF(A189="","",1/Tabela1[[#This Row],[ODDE]])</f>
        <v/>
      </c>
      <c r="AM189" s="74" t="str">
        <f>IF(A189="","",1/Tabela1[[#This Row],[ODDV]])</f>
        <v/>
      </c>
      <c r="AN189" s="74" t="str">
        <f>IF(A189="","",1-(Tabela1[[#This Row],[p(H)]]+Tabela1[[#This Row],[p(D)]]+Tabela1[[#This Row],[p(A)]]))</f>
        <v/>
      </c>
      <c r="AO189" s="74" t="str">
        <f>IF(A189="","",IFERROR(Tabela1[[#This Row],[p(H)]]/Tabela1[[#This Row],[FTHG]],1))</f>
        <v/>
      </c>
      <c r="AP189" s="74" t="str">
        <f>IF(A189="","",IFERROR(Tabela1[[#This Row],[p(A)]]/Tabela1[[#This Row],[FTAG]],1))</f>
        <v/>
      </c>
      <c r="AQ189" s="107"/>
      <c r="AR189" s="107"/>
      <c r="AS189" s="107"/>
      <c r="AT189" s="107"/>
      <c r="AU189" s="107"/>
      <c r="AV189" s="107"/>
      <c r="AW189" s="107"/>
      <c r="AX189" s="107"/>
      <c r="AY189" s="107"/>
      <c r="AZ189" s="75"/>
      <c r="BA189" s="75"/>
      <c r="BB189" s="97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7"/>
      <c r="BS189" s="107"/>
      <c r="BT189" s="107"/>
      <c r="BU189" s="107"/>
      <c r="BV189" s="107"/>
      <c r="BW189" s="107"/>
      <c r="BX189" s="75"/>
      <c r="BY189" s="75"/>
      <c r="BZ189" s="75"/>
      <c r="CA189" s="75"/>
      <c r="CB189" s="75"/>
      <c r="CC189" s="75"/>
      <c r="CD189" s="75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2"/>
      <c r="DC189" s="102"/>
      <c r="DD189" s="102"/>
      <c r="DE189" s="102"/>
      <c r="DF189" s="102"/>
      <c r="DG189" s="102"/>
      <c r="DH189" s="102"/>
      <c r="DI189" s="102"/>
      <c r="DJ189" s="102"/>
      <c r="DK189" s="102"/>
      <c r="DL189" s="102"/>
      <c r="DM189" s="102"/>
      <c r="DN189" s="102"/>
      <c r="DO189" s="102"/>
      <c r="DP189" s="102"/>
    </row>
    <row r="190" spans="1:120" x14ac:dyDescent="0.25">
      <c r="A190" s="4"/>
      <c r="D190"/>
      <c r="E190"/>
      <c r="F190"/>
      <c r="J190" s="68" t="str">
        <f t="shared" si="63"/>
        <v/>
      </c>
      <c r="K190" s="68" t="str">
        <f t="shared" si="64"/>
        <v/>
      </c>
      <c r="L190" s="69" t="str">
        <f t="shared" si="65"/>
        <v/>
      </c>
      <c r="M190" s="69" t="str">
        <f t="shared" si="66"/>
        <v/>
      </c>
      <c r="N190" s="69" t="str">
        <f>IF(A190="","",Tabela1[[#This Row],[PTC]]*Tabela1[[#This Row],[ODDC]])</f>
        <v/>
      </c>
      <c r="O190" s="69" t="str">
        <f>IF(A190="","",Tabela1[[#This Row],[PTV]]*Tabela1[[#This Row],[ODDV]])</f>
        <v/>
      </c>
      <c r="P190" s="68" t="str">
        <f t="shared" si="67"/>
        <v/>
      </c>
      <c r="Q190" s="68" t="str">
        <f t="shared" si="68"/>
        <v/>
      </c>
      <c r="R190" s="68" t="str">
        <f t="shared" si="69"/>
        <v/>
      </c>
      <c r="S190" s="68" t="str">
        <f t="shared" si="70"/>
        <v/>
      </c>
      <c r="T190" s="68" t="str">
        <f>IF(A190="","",IF(F190="D",Tabela1[[#This Row],[ODDE]]-1,-1))</f>
        <v/>
      </c>
      <c r="U190" s="70" t="str">
        <f>IF(A190="","",IF(AND(Tabela1[[#This Row],[FTHG]]&gt;3,F190="H"),1,0))</f>
        <v/>
      </c>
      <c r="V190" s="70" t="str">
        <f>IF(A190="","",IF(AND(Tabela1[[#This Row],[FTAG]]&gt;3,F190="A"),1,0))</f>
        <v/>
      </c>
      <c r="W190" s="70" t="str">
        <f t="shared" si="71"/>
        <v/>
      </c>
      <c r="X190" s="70" t="str">
        <f t="shared" si="72"/>
        <v/>
      </c>
      <c r="Y190" s="71" t="str">
        <f t="shared" si="73"/>
        <v/>
      </c>
      <c r="Z190" s="70" t="str">
        <f t="shared" si="74"/>
        <v/>
      </c>
      <c r="AA190" s="70" t="str">
        <f t="shared" si="75"/>
        <v/>
      </c>
      <c r="AB190" s="70" t="str">
        <f t="shared" si="76"/>
        <v/>
      </c>
      <c r="AC190" s="71" t="str">
        <f t="shared" si="77"/>
        <v/>
      </c>
      <c r="AD190" s="72" t="str">
        <f t="shared" si="78"/>
        <v/>
      </c>
      <c r="AE190" s="73" t="str">
        <f>IF(A190="","",COUNT($N$2:N190))</f>
        <v/>
      </c>
      <c r="AF190" s="74" t="str">
        <f t="shared" si="79"/>
        <v/>
      </c>
      <c r="AG190" s="74" t="str">
        <f t="shared" si="80"/>
        <v/>
      </c>
      <c r="AH190" s="74" t="str">
        <f t="shared" si="81"/>
        <v/>
      </c>
      <c r="AI190" s="74" t="str">
        <f t="shared" si="82"/>
        <v/>
      </c>
      <c r="AJ190" s="74" t="str">
        <f t="shared" si="83"/>
        <v/>
      </c>
      <c r="AK190" s="74" t="str">
        <f>IF(A190="","",1/Tabela1[[#This Row],[ODDC]])</f>
        <v/>
      </c>
      <c r="AL190" s="74" t="str">
        <f>IF(A190="","",1/Tabela1[[#This Row],[ODDE]])</f>
        <v/>
      </c>
      <c r="AM190" s="74" t="str">
        <f>IF(A190="","",1/Tabela1[[#This Row],[ODDV]])</f>
        <v/>
      </c>
      <c r="AN190" s="74" t="str">
        <f>IF(A190="","",1-(Tabela1[[#This Row],[p(H)]]+Tabela1[[#This Row],[p(D)]]+Tabela1[[#This Row],[p(A)]]))</f>
        <v/>
      </c>
      <c r="AO190" s="74" t="str">
        <f>IF(A190="","",IFERROR(Tabela1[[#This Row],[p(H)]]/Tabela1[[#This Row],[FTHG]],1))</f>
        <v/>
      </c>
      <c r="AP190" s="74" t="str">
        <f>IF(A190="","",IFERROR(Tabela1[[#This Row],[p(A)]]/Tabela1[[#This Row],[FTAG]],1))</f>
        <v/>
      </c>
      <c r="AQ190" s="107"/>
      <c r="AR190" s="107"/>
      <c r="AS190" s="107"/>
      <c r="AT190" s="107"/>
      <c r="AU190" s="107"/>
      <c r="AV190" s="107"/>
      <c r="AW190" s="107"/>
      <c r="AX190" s="107"/>
      <c r="AY190" s="107"/>
      <c r="AZ190" s="75"/>
      <c r="BA190" s="75"/>
      <c r="BB190" s="97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7"/>
      <c r="BS190" s="107"/>
      <c r="BT190" s="107"/>
      <c r="BU190" s="107"/>
      <c r="BV190" s="107"/>
      <c r="BW190" s="107"/>
      <c r="BX190" s="75"/>
      <c r="BY190" s="75"/>
      <c r="BZ190" s="75"/>
      <c r="CA190" s="75"/>
      <c r="CB190" s="75"/>
      <c r="CC190" s="75"/>
      <c r="CD190" s="75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2"/>
      <c r="DC190" s="102"/>
      <c r="DD190" s="102"/>
      <c r="DE190" s="102"/>
      <c r="DF190" s="102"/>
      <c r="DG190" s="102"/>
      <c r="DH190" s="102"/>
      <c r="DI190" s="102"/>
      <c r="DJ190" s="102"/>
      <c r="DK190" s="102"/>
      <c r="DL190" s="102"/>
      <c r="DM190" s="102"/>
      <c r="DN190" s="102"/>
      <c r="DO190" s="102"/>
      <c r="DP190" s="102"/>
    </row>
    <row r="191" spans="1:120" x14ac:dyDescent="0.25">
      <c r="A191" s="4"/>
      <c r="D191"/>
      <c r="E191"/>
      <c r="F191"/>
      <c r="J191" s="68" t="str">
        <f t="shared" si="63"/>
        <v/>
      </c>
      <c r="K191" s="68" t="str">
        <f t="shared" si="64"/>
        <v/>
      </c>
      <c r="L191" s="69" t="str">
        <f t="shared" si="65"/>
        <v/>
      </c>
      <c r="M191" s="69" t="str">
        <f t="shared" si="66"/>
        <v/>
      </c>
      <c r="N191" s="69" t="str">
        <f>IF(A191="","",Tabela1[[#This Row],[PTC]]*Tabela1[[#This Row],[ODDC]])</f>
        <v/>
      </c>
      <c r="O191" s="69" t="str">
        <f>IF(A191="","",Tabela1[[#This Row],[PTV]]*Tabela1[[#This Row],[ODDV]])</f>
        <v/>
      </c>
      <c r="P191" s="68" t="str">
        <f t="shared" si="67"/>
        <v/>
      </c>
      <c r="Q191" s="68" t="str">
        <f t="shared" si="68"/>
        <v/>
      </c>
      <c r="R191" s="68" t="str">
        <f t="shared" si="69"/>
        <v/>
      </c>
      <c r="S191" s="68" t="str">
        <f t="shared" si="70"/>
        <v/>
      </c>
      <c r="T191" s="68" t="str">
        <f>IF(A191="","",IF(F191="D",Tabela1[[#This Row],[ODDE]]-1,-1))</f>
        <v/>
      </c>
      <c r="U191" s="70" t="str">
        <f>IF(A191="","",IF(AND(Tabela1[[#This Row],[FTHG]]&gt;3,F191="H"),1,0))</f>
        <v/>
      </c>
      <c r="V191" s="70" t="str">
        <f>IF(A191="","",IF(AND(Tabela1[[#This Row],[FTAG]]&gt;3,F191="A"),1,0))</f>
        <v/>
      </c>
      <c r="W191" s="70" t="str">
        <f t="shared" si="71"/>
        <v/>
      </c>
      <c r="X191" s="70" t="str">
        <f t="shared" si="72"/>
        <v/>
      </c>
      <c r="Y191" s="71" t="str">
        <f t="shared" si="73"/>
        <v/>
      </c>
      <c r="Z191" s="70" t="str">
        <f t="shared" si="74"/>
        <v/>
      </c>
      <c r="AA191" s="70" t="str">
        <f t="shared" si="75"/>
        <v/>
      </c>
      <c r="AB191" s="70" t="str">
        <f t="shared" si="76"/>
        <v/>
      </c>
      <c r="AC191" s="71" t="str">
        <f t="shared" si="77"/>
        <v/>
      </c>
      <c r="AD191" s="72" t="str">
        <f t="shared" si="78"/>
        <v/>
      </c>
      <c r="AE191" s="73" t="str">
        <f>IF(A191="","",COUNT($N$2:N191))</f>
        <v/>
      </c>
      <c r="AF191" s="74" t="str">
        <f t="shared" si="79"/>
        <v/>
      </c>
      <c r="AG191" s="74" t="str">
        <f t="shared" si="80"/>
        <v/>
      </c>
      <c r="AH191" s="74" t="str">
        <f t="shared" si="81"/>
        <v/>
      </c>
      <c r="AI191" s="74" t="str">
        <f t="shared" si="82"/>
        <v/>
      </c>
      <c r="AJ191" s="74" t="str">
        <f t="shared" si="83"/>
        <v/>
      </c>
      <c r="AK191" s="74" t="str">
        <f>IF(A191="","",1/Tabela1[[#This Row],[ODDC]])</f>
        <v/>
      </c>
      <c r="AL191" s="74" t="str">
        <f>IF(A191="","",1/Tabela1[[#This Row],[ODDE]])</f>
        <v/>
      </c>
      <c r="AM191" s="74" t="str">
        <f>IF(A191="","",1/Tabela1[[#This Row],[ODDV]])</f>
        <v/>
      </c>
      <c r="AN191" s="74" t="str">
        <f>IF(A191="","",1-(Tabela1[[#This Row],[p(H)]]+Tabela1[[#This Row],[p(D)]]+Tabela1[[#This Row],[p(A)]]))</f>
        <v/>
      </c>
      <c r="AO191" s="74" t="str">
        <f>IF(A191="","",IFERROR(Tabela1[[#This Row],[p(H)]]/Tabela1[[#This Row],[FTHG]],1))</f>
        <v/>
      </c>
      <c r="AP191" s="74" t="str">
        <f>IF(A191="","",IFERROR(Tabela1[[#This Row],[p(A)]]/Tabela1[[#This Row],[FTAG]],1))</f>
        <v/>
      </c>
      <c r="AQ191" s="107"/>
      <c r="AR191" s="107"/>
      <c r="AS191" s="107"/>
      <c r="AT191" s="107"/>
      <c r="AU191" s="107"/>
      <c r="AV191" s="107"/>
      <c r="AW191" s="107"/>
      <c r="AX191" s="107"/>
      <c r="AY191" s="107"/>
      <c r="AZ191" s="75"/>
      <c r="BA191" s="75"/>
      <c r="BB191" s="97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7"/>
      <c r="BS191" s="107"/>
      <c r="BT191" s="107"/>
      <c r="BU191" s="107"/>
      <c r="BV191" s="107"/>
      <c r="BW191" s="107"/>
      <c r="BX191" s="75"/>
      <c r="BY191" s="75"/>
      <c r="BZ191" s="75"/>
      <c r="CA191" s="75"/>
      <c r="CB191" s="75"/>
      <c r="CC191" s="75"/>
      <c r="CD191" s="75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2"/>
      <c r="CR191" s="102"/>
      <c r="CS191" s="102"/>
      <c r="CT191" s="102"/>
      <c r="CU191" s="102"/>
      <c r="CV191" s="102"/>
      <c r="CW191" s="102"/>
      <c r="CX191" s="102"/>
      <c r="CY191" s="102"/>
      <c r="CZ191" s="102"/>
      <c r="DA191" s="102"/>
      <c r="DB191" s="102"/>
      <c r="DC191" s="102"/>
      <c r="DD191" s="102"/>
      <c r="DE191" s="102"/>
      <c r="DF191" s="102"/>
      <c r="DG191" s="102"/>
      <c r="DH191" s="102"/>
      <c r="DI191" s="102"/>
      <c r="DJ191" s="102"/>
      <c r="DK191" s="102"/>
      <c r="DL191" s="102"/>
      <c r="DM191" s="102"/>
      <c r="DN191" s="102"/>
      <c r="DO191" s="102"/>
      <c r="DP191" s="102"/>
    </row>
    <row r="192" spans="1:120" x14ac:dyDescent="0.25">
      <c r="A192" s="4"/>
      <c r="D192"/>
      <c r="E192"/>
      <c r="F192"/>
      <c r="J192" s="68" t="str">
        <f t="shared" si="63"/>
        <v/>
      </c>
      <c r="K192" s="68" t="str">
        <f t="shared" si="64"/>
        <v/>
      </c>
      <c r="L192" s="69" t="str">
        <f t="shared" si="65"/>
        <v/>
      </c>
      <c r="M192" s="69" t="str">
        <f t="shared" si="66"/>
        <v/>
      </c>
      <c r="N192" s="69" t="str">
        <f>IF(A192="","",Tabela1[[#This Row],[PTC]]*Tabela1[[#This Row],[ODDC]])</f>
        <v/>
      </c>
      <c r="O192" s="69" t="str">
        <f>IF(A192="","",Tabela1[[#This Row],[PTV]]*Tabela1[[#This Row],[ODDV]])</f>
        <v/>
      </c>
      <c r="P192" s="68" t="str">
        <f t="shared" si="67"/>
        <v/>
      </c>
      <c r="Q192" s="68" t="str">
        <f t="shared" si="68"/>
        <v/>
      </c>
      <c r="R192" s="68" t="str">
        <f t="shared" si="69"/>
        <v/>
      </c>
      <c r="S192" s="68" t="str">
        <f t="shared" si="70"/>
        <v/>
      </c>
      <c r="T192" s="68" t="str">
        <f>IF(A192="","",IF(F192="D",Tabela1[[#This Row],[ODDE]]-1,-1))</f>
        <v/>
      </c>
      <c r="U192" s="70" t="str">
        <f>IF(A192="","",IF(AND(Tabela1[[#This Row],[FTHG]]&gt;3,F192="H"),1,0))</f>
        <v/>
      </c>
      <c r="V192" s="70" t="str">
        <f>IF(A192="","",IF(AND(Tabela1[[#This Row],[FTAG]]&gt;3,F192="A"),1,0))</f>
        <v/>
      </c>
      <c r="W192" s="70" t="str">
        <f t="shared" si="71"/>
        <v/>
      </c>
      <c r="X192" s="70" t="str">
        <f t="shared" si="72"/>
        <v/>
      </c>
      <c r="Y192" s="71" t="str">
        <f t="shared" si="73"/>
        <v/>
      </c>
      <c r="Z192" s="70" t="str">
        <f t="shared" si="74"/>
        <v/>
      </c>
      <c r="AA192" s="70" t="str">
        <f t="shared" si="75"/>
        <v/>
      </c>
      <c r="AB192" s="70" t="str">
        <f t="shared" si="76"/>
        <v/>
      </c>
      <c r="AC192" s="71" t="str">
        <f t="shared" si="77"/>
        <v/>
      </c>
      <c r="AD192" s="72" t="str">
        <f t="shared" si="78"/>
        <v/>
      </c>
      <c r="AE192" s="73" t="str">
        <f>IF(A192="","",COUNT($N$2:N192))</f>
        <v/>
      </c>
      <c r="AF192" s="74" t="str">
        <f t="shared" si="79"/>
        <v/>
      </c>
      <c r="AG192" s="74" t="str">
        <f t="shared" si="80"/>
        <v/>
      </c>
      <c r="AH192" s="74" t="str">
        <f t="shared" si="81"/>
        <v/>
      </c>
      <c r="AI192" s="74" t="str">
        <f t="shared" si="82"/>
        <v/>
      </c>
      <c r="AJ192" s="74" t="str">
        <f t="shared" si="83"/>
        <v/>
      </c>
      <c r="AK192" s="74" t="str">
        <f>IF(A192="","",1/Tabela1[[#This Row],[ODDC]])</f>
        <v/>
      </c>
      <c r="AL192" s="74" t="str">
        <f>IF(A192="","",1/Tabela1[[#This Row],[ODDE]])</f>
        <v/>
      </c>
      <c r="AM192" s="74" t="str">
        <f>IF(A192="","",1/Tabela1[[#This Row],[ODDV]])</f>
        <v/>
      </c>
      <c r="AN192" s="74" t="str">
        <f>IF(A192="","",1-(Tabela1[[#This Row],[p(H)]]+Tabela1[[#This Row],[p(D)]]+Tabela1[[#This Row],[p(A)]]))</f>
        <v/>
      </c>
      <c r="AO192" s="74" t="str">
        <f>IF(A192="","",IFERROR(Tabela1[[#This Row],[p(H)]]/Tabela1[[#This Row],[FTHG]],1))</f>
        <v/>
      </c>
      <c r="AP192" s="74" t="str">
        <f>IF(A192="","",IFERROR(Tabela1[[#This Row],[p(A)]]/Tabela1[[#This Row],[FTAG]],1))</f>
        <v/>
      </c>
      <c r="AQ192" s="107"/>
      <c r="AR192" s="107"/>
      <c r="AS192" s="107"/>
      <c r="AT192" s="107"/>
      <c r="AU192" s="107"/>
      <c r="AV192" s="107"/>
      <c r="AW192" s="107"/>
      <c r="AX192" s="107"/>
      <c r="AY192" s="107"/>
      <c r="AZ192" s="75"/>
      <c r="BA192" s="75"/>
      <c r="BB192" s="97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7"/>
      <c r="BS192" s="107"/>
      <c r="BT192" s="107"/>
      <c r="BU192" s="107"/>
      <c r="BV192" s="107"/>
      <c r="BW192" s="107"/>
      <c r="BX192" s="75"/>
      <c r="BY192" s="75"/>
      <c r="BZ192" s="75"/>
      <c r="CA192" s="75"/>
      <c r="CB192" s="75"/>
      <c r="CC192" s="75"/>
      <c r="CD192" s="75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2"/>
      <c r="DC192" s="102"/>
      <c r="DD192" s="102"/>
      <c r="DE192" s="102"/>
      <c r="DF192" s="102"/>
      <c r="DG192" s="102"/>
      <c r="DH192" s="102"/>
      <c r="DI192" s="102"/>
      <c r="DJ192" s="102"/>
      <c r="DK192" s="102"/>
      <c r="DL192" s="102"/>
      <c r="DM192" s="102"/>
      <c r="DN192" s="102"/>
      <c r="DO192" s="102"/>
      <c r="DP192" s="102"/>
    </row>
    <row r="193" spans="1:120" x14ac:dyDescent="0.25">
      <c r="A193" s="4"/>
      <c r="D193"/>
      <c r="E193"/>
      <c r="F193"/>
      <c r="J193" s="68" t="str">
        <f t="shared" si="63"/>
        <v/>
      </c>
      <c r="K193" s="68" t="str">
        <f t="shared" si="64"/>
        <v/>
      </c>
      <c r="L193" s="69" t="str">
        <f t="shared" si="65"/>
        <v/>
      </c>
      <c r="M193" s="69" t="str">
        <f t="shared" si="66"/>
        <v/>
      </c>
      <c r="N193" s="69" t="str">
        <f>IF(A193="","",Tabela1[[#This Row],[PTC]]*Tabela1[[#This Row],[ODDC]])</f>
        <v/>
      </c>
      <c r="O193" s="69" t="str">
        <f>IF(A193="","",Tabela1[[#This Row],[PTV]]*Tabela1[[#This Row],[ODDV]])</f>
        <v/>
      </c>
      <c r="P193" s="68" t="str">
        <f t="shared" si="67"/>
        <v/>
      </c>
      <c r="Q193" s="68" t="str">
        <f t="shared" si="68"/>
        <v/>
      </c>
      <c r="R193" s="68" t="str">
        <f t="shared" si="69"/>
        <v/>
      </c>
      <c r="S193" s="68" t="str">
        <f t="shared" si="70"/>
        <v/>
      </c>
      <c r="T193" s="68" t="str">
        <f>IF(A193="","",IF(F193="D",Tabela1[[#This Row],[ODDE]]-1,-1))</f>
        <v/>
      </c>
      <c r="U193" s="70" t="str">
        <f>IF(A193="","",IF(AND(Tabela1[[#This Row],[FTHG]]&gt;3,F193="H"),1,0))</f>
        <v/>
      </c>
      <c r="V193" s="70" t="str">
        <f>IF(A193="","",IF(AND(Tabela1[[#This Row],[FTAG]]&gt;3,F193="A"),1,0))</f>
        <v/>
      </c>
      <c r="W193" s="70" t="str">
        <f t="shared" si="71"/>
        <v/>
      </c>
      <c r="X193" s="70" t="str">
        <f t="shared" si="72"/>
        <v/>
      </c>
      <c r="Y193" s="71" t="str">
        <f t="shared" si="73"/>
        <v/>
      </c>
      <c r="Z193" s="70" t="str">
        <f t="shared" si="74"/>
        <v/>
      </c>
      <c r="AA193" s="70" t="str">
        <f t="shared" si="75"/>
        <v/>
      </c>
      <c r="AB193" s="70" t="str">
        <f t="shared" si="76"/>
        <v/>
      </c>
      <c r="AC193" s="71" t="str">
        <f t="shared" si="77"/>
        <v/>
      </c>
      <c r="AD193" s="72" t="str">
        <f t="shared" si="78"/>
        <v/>
      </c>
      <c r="AE193" s="73" t="str">
        <f>IF(A193="","",COUNT($N$2:N193))</f>
        <v/>
      </c>
      <c r="AF193" s="74" t="str">
        <f t="shared" si="79"/>
        <v/>
      </c>
      <c r="AG193" s="74" t="str">
        <f t="shared" si="80"/>
        <v/>
      </c>
      <c r="AH193" s="74" t="str">
        <f t="shared" si="81"/>
        <v/>
      </c>
      <c r="AI193" s="74" t="str">
        <f t="shared" si="82"/>
        <v/>
      </c>
      <c r="AJ193" s="74" t="str">
        <f t="shared" si="83"/>
        <v/>
      </c>
      <c r="AK193" s="74" t="str">
        <f>IF(A193="","",1/Tabela1[[#This Row],[ODDC]])</f>
        <v/>
      </c>
      <c r="AL193" s="74" t="str">
        <f>IF(A193="","",1/Tabela1[[#This Row],[ODDE]])</f>
        <v/>
      </c>
      <c r="AM193" s="74" t="str">
        <f>IF(A193="","",1/Tabela1[[#This Row],[ODDV]])</f>
        <v/>
      </c>
      <c r="AN193" s="74" t="str">
        <f>IF(A193="","",1-(Tabela1[[#This Row],[p(H)]]+Tabela1[[#This Row],[p(D)]]+Tabela1[[#This Row],[p(A)]]))</f>
        <v/>
      </c>
      <c r="AO193" s="74" t="str">
        <f>IF(A193="","",IFERROR(Tabela1[[#This Row],[p(H)]]/Tabela1[[#This Row],[FTHG]],1))</f>
        <v/>
      </c>
      <c r="AP193" s="74" t="str">
        <f>IF(A193="","",IFERROR(Tabela1[[#This Row],[p(A)]]/Tabela1[[#This Row],[FTAG]],1))</f>
        <v/>
      </c>
      <c r="AQ193" s="107"/>
      <c r="AR193" s="107"/>
      <c r="AS193" s="107"/>
      <c r="AT193" s="107"/>
      <c r="AU193" s="107"/>
      <c r="AV193" s="107"/>
      <c r="AW193" s="107"/>
      <c r="AX193" s="107"/>
      <c r="AY193" s="107"/>
      <c r="AZ193" s="75"/>
      <c r="BA193" s="75"/>
      <c r="BB193" s="97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7"/>
      <c r="BS193" s="107"/>
      <c r="BT193" s="107"/>
      <c r="BU193" s="107"/>
      <c r="BV193" s="107"/>
      <c r="BW193" s="107"/>
      <c r="BX193" s="75"/>
      <c r="BY193" s="75"/>
      <c r="BZ193" s="75"/>
      <c r="CA193" s="75"/>
      <c r="CB193" s="75"/>
      <c r="CC193" s="75"/>
      <c r="CD193" s="75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  <c r="DH193" s="102"/>
      <c r="DI193" s="102"/>
      <c r="DJ193" s="102"/>
      <c r="DK193" s="102"/>
      <c r="DL193" s="102"/>
      <c r="DM193" s="102"/>
      <c r="DN193" s="102"/>
      <c r="DO193" s="102"/>
      <c r="DP193" s="102"/>
    </row>
    <row r="194" spans="1:120" x14ac:dyDescent="0.25">
      <c r="A194" s="4"/>
      <c r="D194"/>
      <c r="E194"/>
      <c r="F194"/>
      <c r="J194" s="68" t="str">
        <f t="shared" si="63"/>
        <v/>
      </c>
      <c r="K194" s="68" t="str">
        <f t="shared" si="64"/>
        <v/>
      </c>
      <c r="L194" s="69" t="str">
        <f t="shared" si="65"/>
        <v/>
      </c>
      <c r="M194" s="69" t="str">
        <f t="shared" si="66"/>
        <v/>
      </c>
      <c r="N194" s="69" t="str">
        <f>IF(A194="","",Tabela1[[#This Row],[PTC]]*Tabela1[[#This Row],[ODDC]])</f>
        <v/>
      </c>
      <c r="O194" s="69" t="str">
        <f>IF(A194="","",Tabela1[[#This Row],[PTV]]*Tabela1[[#This Row],[ODDV]])</f>
        <v/>
      </c>
      <c r="P194" s="68" t="str">
        <f t="shared" si="67"/>
        <v/>
      </c>
      <c r="Q194" s="68" t="str">
        <f t="shared" si="68"/>
        <v/>
      </c>
      <c r="R194" s="68" t="str">
        <f t="shared" si="69"/>
        <v/>
      </c>
      <c r="S194" s="68" t="str">
        <f t="shared" si="70"/>
        <v/>
      </c>
      <c r="T194" s="68" t="str">
        <f>IF(A194="","",IF(F194="D",Tabela1[[#This Row],[ODDE]]-1,-1))</f>
        <v/>
      </c>
      <c r="U194" s="70" t="str">
        <f>IF(A194="","",IF(AND(Tabela1[[#This Row],[FTHG]]&gt;3,F194="H"),1,0))</f>
        <v/>
      </c>
      <c r="V194" s="70" t="str">
        <f>IF(A194="","",IF(AND(Tabela1[[#This Row],[FTAG]]&gt;3,F194="A"),1,0))</f>
        <v/>
      </c>
      <c r="W194" s="70" t="str">
        <f t="shared" si="71"/>
        <v/>
      </c>
      <c r="X194" s="70" t="str">
        <f t="shared" si="72"/>
        <v/>
      </c>
      <c r="Y194" s="71" t="str">
        <f t="shared" si="73"/>
        <v/>
      </c>
      <c r="Z194" s="70" t="str">
        <f t="shared" si="74"/>
        <v/>
      </c>
      <c r="AA194" s="70" t="str">
        <f t="shared" si="75"/>
        <v/>
      </c>
      <c r="AB194" s="70" t="str">
        <f t="shared" si="76"/>
        <v/>
      </c>
      <c r="AC194" s="71" t="str">
        <f t="shared" si="77"/>
        <v/>
      </c>
      <c r="AD194" s="72" t="str">
        <f t="shared" si="78"/>
        <v/>
      </c>
      <c r="AE194" s="73" t="str">
        <f>IF(A194="","",COUNT($N$2:N194))</f>
        <v/>
      </c>
      <c r="AF194" s="74" t="str">
        <f t="shared" si="79"/>
        <v/>
      </c>
      <c r="AG194" s="74" t="str">
        <f t="shared" si="80"/>
        <v/>
      </c>
      <c r="AH194" s="74" t="str">
        <f t="shared" si="81"/>
        <v/>
      </c>
      <c r="AI194" s="74" t="str">
        <f t="shared" si="82"/>
        <v/>
      </c>
      <c r="AJ194" s="74" t="str">
        <f t="shared" si="83"/>
        <v/>
      </c>
      <c r="AK194" s="74" t="str">
        <f>IF(A194="","",1/Tabela1[[#This Row],[ODDC]])</f>
        <v/>
      </c>
      <c r="AL194" s="74" t="str">
        <f>IF(A194="","",1/Tabela1[[#This Row],[ODDE]])</f>
        <v/>
      </c>
      <c r="AM194" s="74" t="str">
        <f>IF(A194="","",1/Tabela1[[#This Row],[ODDV]])</f>
        <v/>
      </c>
      <c r="AN194" s="74" t="str">
        <f>IF(A194="","",1-(Tabela1[[#This Row],[p(H)]]+Tabela1[[#This Row],[p(D)]]+Tabela1[[#This Row],[p(A)]]))</f>
        <v/>
      </c>
      <c r="AO194" s="74" t="str">
        <f>IF(A194="","",IFERROR(Tabela1[[#This Row],[p(H)]]/Tabela1[[#This Row],[FTHG]],1))</f>
        <v/>
      </c>
      <c r="AP194" s="74" t="str">
        <f>IF(A194="","",IFERROR(Tabela1[[#This Row],[p(A)]]/Tabela1[[#This Row],[FTAG]],1))</f>
        <v/>
      </c>
      <c r="AQ194" s="107"/>
      <c r="AR194" s="107"/>
      <c r="AS194" s="107"/>
      <c r="AT194" s="107"/>
      <c r="AU194" s="107"/>
      <c r="AV194" s="107"/>
      <c r="AW194" s="107"/>
      <c r="AX194" s="107"/>
      <c r="AY194" s="107"/>
      <c r="AZ194" s="75"/>
      <c r="BA194" s="75"/>
      <c r="BB194" s="97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7"/>
      <c r="BS194" s="107"/>
      <c r="BT194" s="107"/>
      <c r="BU194" s="107"/>
      <c r="BV194" s="107"/>
      <c r="BW194" s="107"/>
      <c r="BX194" s="75"/>
      <c r="BY194" s="75"/>
      <c r="BZ194" s="75"/>
      <c r="CA194" s="75"/>
      <c r="CB194" s="75"/>
      <c r="CC194" s="75"/>
      <c r="CD194" s="75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2"/>
      <c r="DC194" s="102"/>
      <c r="DD194" s="102"/>
      <c r="DE194" s="102"/>
      <c r="DF194" s="102"/>
      <c r="DG194" s="102"/>
      <c r="DH194" s="102"/>
      <c r="DI194" s="102"/>
      <c r="DJ194" s="102"/>
      <c r="DK194" s="102"/>
      <c r="DL194" s="102"/>
      <c r="DM194" s="102"/>
      <c r="DN194" s="102"/>
      <c r="DO194" s="102"/>
      <c r="DP194" s="102"/>
    </row>
    <row r="195" spans="1:120" x14ac:dyDescent="0.25">
      <c r="A195" s="4"/>
      <c r="D195"/>
      <c r="E195"/>
      <c r="F195"/>
      <c r="J195" s="68" t="str">
        <f t="shared" ref="J195:J258" si="84">IF(A195="","",IF(F195="H",3,IF(F195="D",1,0)))</f>
        <v/>
      </c>
      <c r="K195" s="68" t="str">
        <f t="shared" ref="K195:K258" si="85">IF(A195="","",IF(F195="H",0,IF(F195="D",1,3)))</f>
        <v/>
      </c>
      <c r="L195" s="69" t="str">
        <f t="shared" ref="L195:L258" si="86">IF(A195="","",D195/I195)</f>
        <v/>
      </c>
      <c r="M195" s="69" t="str">
        <f t="shared" ref="M195:M258" si="87">IF(A195="","",E195/G195)</f>
        <v/>
      </c>
      <c r="N195" s="69" t="str">
        <f>IF(A195="","",Tabela1[[#This Row],[PTC]]*Tabela1[[#This Row],[ODDC]])</f>
        <v/>
      </c>
      <c r="O195" s="69" t="str">
        <f>IF(A195="","",Tabela1[[#This Row],[PTV]]*Tabela1[[#This Row],[ODDV]])</f>
        <v/>
      </c>
      <c r="P195" s="68" t="str">
        <f t="shared" ref="P195:P258" si="88">IF(A195="","",D195-E195)</f>
        <v/>
      </c>
      <c r="Q195" s="68" t="str">
        <f t="shared" ref="Q195:Q258" si="89">IF(A195="","",E195-D195)</f>
        <v/>
      </c>
      <c r="R195" s="68" t="str">
        <f t="shared" ref="R195:R258" si="90">IF(A195="","",IF(F195="H",G195-1,-1))</f>
        <v/>
      </c>
      <c r="S195" s="68" t="str">
        <f t="shared" ref="S195:S258" si="91">IF(A195="","",IF(F195="A",I195-1,-1))</f>
        <v/>
      </c>
      <c r="T195" s="68" t="str">
        <f>IF(A195="","",IF(F195="D",Tabela1[[#This Row],[ODDE]]-1,-1))</f>
        <v/>
      </c>
      <c r="U195" s="70" t="str">
        <f>IF(A195="","",IF(AND(Tabela1[[#This Row],[FTHG]]&gt;3,F195="H"),1,0))</f>
        <v/>
      </c>
      <c r="V195" s="70" t="str">
        <f>IF(A195="","",IF(AND(Tabela1[[#This Row],[FTAG]]&gt;3,F195="A"),1,0))</f>
        <v/>
      </c>
      <c r="W195" s="70" t="str">
        <f t="shared" ref="W195:W258" si="92">IF(A195="","",IF(D195+E195&gt;0,1,0))</f>
        <v/>
      </c>
      <c r="X195" s="70" t="str">
        <f t="shared" ref="X195:X258" si="93">IF(A195="","",IF(D195+E195&gt;1,1,0))</f>
        <v/>
      </c>
      <c r="Y195" s="71" t="str">
        <f t="shared" ref="Y195:Y258" si="94">IF(A195="","",IF(D195+E195&gt;2,1,0))</f>
        <v/>
      </c>
      <c r="Z195" s="70" t="str">
        <f t="shared" ref="Z195:Z258" si="95">IF(A195="","",IF(D195+E195&gt;3,1,0))</f>
        <v/>
      </c>
      <c r="AA195" s="70" t="str">
        <f t="shared" ref="AA195:AA258" si="96">IF(A195="","",IF(D195+E195&gt;4,1,0))</f>
        <v/>
      </c>
      <c r="AB195" s="70" t="str">
        <f t="shared" ref="AB195:AB258" si="97">IF(A195="","",IF(D195+E195&gt;5,1,0))</f>
        <v/>
      </c>
      <c r="AC195" s="71" t="str">
        <f t="shared" ref="AC195:AC258" si="98">IF(A195="","",IFERROR(IF(AND(D195&gt;0,E195&gt;0),1,0),0))</f>
        <v/>
      </c>
      <c r="AD195" s="72" t="str">
        <f t="shared" ref="AD195:AD258" si="99">IF(A195="","",UPPER(TEXT(A195,"MMM")))</f>
        <v/>
      </c>
      <c r="AE195" s="73" t="str">
        <f>IF(A195="","",COUNT($N$2:N195))</f>
        <v/>
      </c>
      <c r="AF195" s="74" t="str">
        <f t="shared" ref="AF195:AF258" si="100">IF(A195="","",IF(F195="H",1,0))</f>
        <v/>
      </c>
      <c r="AG195" s="74" t="str">
        <f t="shared" ref="AG195:AG258" si="101">IF(A195="","",IF(F195="D",1,0))</f>
        <v/>
      </c>
      <c r="AH195" s="74" t="str">
        <f t="shared" ref="AH195:AH258" si="102">IF(A195="","",IF(F195="A",1,0))</f>
        <v/>
      </c>
      <c r="AI195" s="74" t="str">
        <f t="shared" ref="AI195:AI258" si="103">IF(A195="","",IF(G195&lt;1.21,"1,01-1,2",IF(G195&lt;1.41,"1,21-1,4",IF(G195&lt;1.71,"1,41-1,7",IF(G195&lt;2.01,"1,71-2,0",IF(G195&lt;2.41,"2,01-2,4",IF(G195&lt;3.01,"2,41-3,0",IF(G195&lt;4.01,"3,01-4.0",IF(G195&lt;5.51,"4,01-5,5",IF(G195&lt;9.01,"5,51-9,0",IF(G195&lt;16.01,"9,01-16","Z16-99")))))))))))</f>
        <v/>
      </c>
      <c r="AJ195" s="74" t="str">
        <f t="shared" ref="AJ195:AJ258" si="104">IF(A195="","",IF(I195&lt;1.21,"1,01-1,2",IF(I195&lt;1.41,"1,21-1,4",IF(I195&lt;1.71,"1,41-1,7",IF(I195&lt;2.01,"1,71-2,0",IF(I195&lt;2.41,"2,01-2,4",IF(I195&lt;3.01,"2,41-3,0",IF(I195&lt;4.01,"3,01-4.0",IF(I195&lt;5.51,"4,01-5,5",IF(I195&lt;9.01,"5,51-9,0",IF(I195&lt;16.01,"9,01-16","Z16-99")))))))))))</f>
        <v/>
      </c>
      <c r="AK195" s="74" t="str">
        <f>IF(A195="","",1/Tabela1[[#This Row],[ODDC]])</f>
        <v/>
      </c>
      <c r="AL195" s="74" t="str">
        <f>IF(A195="","",1/Tabela1[[#This Row],[ODDE]])</f>
        <v/>
      </c>
      <c r="AM195" s="74" t="str">
        <f>IF(A195="","",1/Tabela1[[#This Row],[ODDV]])</f>
        <v/>
      </c>
      <c r="AN195" s="74" t="str">
        <f>IF(A195="","",1-(Tabela1[[#This Row],[p(H)]]+Tabela1[[#This Row],[p(D)]]+Tabela1[[#This Row],[p(A)]]))</f>
        <v/>
      </c>
      <c r="AO195" s="74" t="str">
        <f>IF(A195="","",IFERROR(Tabela1[[#This Row],[p(H)]]/Tabela1[[#This Row],[FTHG]],1))</f>
        <v/>
      </c>
      <c r="AP195" s="74" t="str">
        <f>IF(A195="","",IFERROR(Tabela1[[#This Row],[p(A)]]/Tabela1[[#This Row],[FTAG]],1))</f>
        <v/>
      </c>
      <c r="AQ195" s="107"/>
      <c r="AR195" s="107"/>
      <c r="AS195" s="107"/>
      <c r="AT195" s="107"/>
      <c r="AU195" s="107"/>
      <c r="AV195" s="107"/>
      <c r="AW195" s="107"/>
      <c r="AX195" s="107"/>
      <c r="AY195" s="107"/>
      <c r="AZ195" s="75"/>
      <c r="BA195" s="75"/>
      <c r="BB195" s="97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7"/>
      <c r="BS195" s="107"/>
      <c r="BT195" s="107"/>
      <c r="BU195" s="107"/>
      <c r="BV195" s="107"/>
      <c r="BW195" s="107"/>
      <c r="BX195" s="75"/>
      <c r="BY195" s="75"/>
      <c r="BZ195" s="75"/>
      <c r="CA195" s="75"/>
      <c r="CB195" s="75"/>
      <c r="CC195" s="75"/>
      <c r="CD195" s="75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  <c r="DH195" s="102"/>
      <c r="DI195" s="102"/>
      <c r="DJ195" s="102"/>
      <c r="DK195" s="102"/>
      <c r="DL195" s="102"/>
      <c r="DM195" s="102"/>
      <c r="DN195" s="102"/>
      <c r="DO195" s="102"/>
      <c r="DP195" s="102"/>
    </row>
    <row r="196" spans="1:120" x14ac:dyDescent="0.25">
      <c r="A196" s="4"/>
      <c r="D196"/>
      <c r="E196"/>
      <c r="F196"/>
      <c r="J196" s="68" t="str">
        <f t="shared" si="84"/>
        <v/>
      </c>
      <c r="K196" s="68" t="str">
        <f t="shared" si="85"/>
        <v/>
      </c>
      <c r="L196" s="69" t="str">
        <f t="shared" si="86"/>
        <v/>
      </c>
      <c r="M196" s="69" t="str">
        <f t="shared" si="87"/>
        <v/>
      </c>
      <c r="N196" s="69" t="str">
        <f>IF(A196="","",Tabela1[[#This Row],[PTC]]*Tabela1[[#This Row],[ODDC]])</f>
        <v/>
      </c>
      <c r="O196" s="69" t="str">
        <f>IF(A196="","",Tabela1[[#This Row],[PTV]]*Tabela1[[#This Row],[ODDV]])</f>
        <v/>
      </c>
      <c r="P196" s="68" t="str">
        <f t="shared" si="88"/>
        <v/>
      </c>
      <c r="Q196" s="68" t="str">
        <f t="shared" si="89"/>
        <v/>
      </c>
      <c r="R196" s="68" t="str">
        <f t="shared" si="90"/>
        <v/>
      </c>
      <c r="S196" s="68" t="str">
        <f t="shared" si="91"/>
        <v/>
      </c>
      <c r="T196" s="68" t="str">
        <f>IF(A196="","",IF(F196="D",Tabela1[[#This Row],[ODDE]]-1,-1))</f>
        <v/>
      </c>
      <c r="U196" s="70" t="str">
        <f>IF(A196="","",IF(AND(Tabela1[[#This Row],[FTHG]]&gt;3,F196="H"),1,0))</f>
        <v/>
      </c>
      <c r="V196" s="70" t="str">
        <f>IF(A196="","",IF(AND(Tabela1[[#This Row],[FTAG]]&gt;3,F196="A"),1,0))</f>
        <v/>
      </c>
      <c r="W196" s="70" t="str">
        <f t="shared" si="92"/>
        <v/>
      </c>
      <c r="X196" s="70" t="str">
        <f t="shared" si="93"/>
        <v/>
      </c>
      <c r="Y196" s="71" t="str">
        <f t="shared" si="94"/>
        <v/>
      </c>
      <c r="Z196" s="70" t="str">
        <f t="shared" si="95"/>
        <v/>
      </c>
      <c r="AA196" s="70" t="str">
        <f t="shared" si="96"/>
        <v/>
      </c>
      <c r="AB196" s="70" t="str">
        <f t="shared" si="97"/>
        <v/>
      </c>
      <c r="AC196" s="71" t="str">
        <f t="shared" si="98"/>
        <v/>
      </c>
      <c r="AD196" s="72" t="str">
        <f t="shared" si="99"/>
        <v/>
      </c>
      <c r="AE196" s="73" t="str">
        <f>IF(A196="","",COUNT($N$2:N196))</f>
        <v/>
      </c>
      <c r="AF196" s="74" t="str">
        <f t="shared" si="100"/>
        <v/>
      </c>
      <c r="AG196" s="74" t="str">
        <f t="shared" si="101"/>
        <v/>
      </c>
      <c r="AH196" s="74" t="str">
        <f t="shared" si="102"/>
        <v/>
      </c>
      <c r="AI196" s="74" t="str">
        <f t="shared" si="103"/>
        <v/>
      </c>
      <c r="AJ196" s="74" t="str">
        <f t="shared" si="104"/>
        <v/>
      </c>
      <c r="AK196" s="74" t="str">
        <f>IF(A196="","",1/Tabela1[[#This Row],[ODDC]])</f>
        <v/>
      </c>
      <c r="AL196" s="74" t="str">
        <f>IF(A196="","",1/Tabela1[[#This Row],[ODDE]])</f>
        <v/>
      </c>
      <c r="AM196" s="74" t="str">
        <f>IF(A196="","",1/Tabela1[[#This Row],[ODDV]])</f>
        <v/>
      </c>
      <c r="AN196" s="74" t="str">
        <f>IF(A196="","",1-(Tabela1[[#This Row],[p(H)]]+Tabela1[[#This Row],[p(D)]]+Tabela1[[#This Row],[p(A)]]))</f>
        <v/>
      </c>
      <c r="AO196" s="74" t="str">
        <f>IF(A196="","",IFERROR(Tabela1[[#This Row],[p(H)]]/Tabela1[[#This Row],[FTHG]],1))</f>
        <v/>
      </c>
      <c r="AP196" s="74" t="str">
        <f>IF(A196="","",IFERROR(Tabela1[[#This Row],[p(A)]]/Tabela1[[#This Row],[FTAG]],1))</f>
        <v/>
      </c>
      <c r="AQ196" s="107"/>
      <c r="AR196" s="107"/>
      <c r="AS196" s="107"/>
      <c r="AT196" s="107"/>
      <c r="AU196" s="107"/>
      <c r="AV196" s="107"/>
      <c r="AW196" s="107"/>
      <c r="AX196" s="107"/>
      <c r="AY196" s="107"/>
      <c r="AZ196" s="75"/>
      <c r="BA196" s="75"/>
      <c r="BB196" s="97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7"/>
      <c r="BS196" s="107"/>
      <c r="BT196" s="107"/>
      <c r="BU196" s="107"/>
      <c r="BV196" s="107"/>
      <c r="BW196" s="107"/>
      <c r="BX196" s="75"/>
      <c r="BY196" s="75"/>
      <c r="BZ196" s="75"/>
      <c r="CA196" s="75"/>
      <c r="CB196" s="75"/>
      <c r="CC196" s="75"/>
      <c r="CD196" s="75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  <c r="DH196" s="102"/>
      <c r="DI196" s="102"/>
      <c r="DJ196" s="102"/>
      <c r="DK196" s="102"/>
      <c r="DL196" s="102"/>
      <c r="DM196" s="102"/>
      <c r="DN196" s="102"/>
      <c r="DO196" s="102"/>
      <c r="DP196" s="102"/>
    </row>
    <row r="197" spans="1:120" x14ac:dyDescent="0.25">
      <c r="A197" s="4"/>
      <c r="D197"/>
      <c r="E197"/>
      <c r="F197"/>
      <c r="J197" s="68" t="str">
        <f t="shared" si="84"/>
        <v/>
      </c>
      <c r="K197" s="68" t="str">
        <f t="shared" si="85"/>
        <v/>
      </c>
      <c r="L197" s="69" t="str">
        <f t="shared" si="86"/>
        <v/>
      </c>
      <c r="M197" s="69" t="str">
        <f t="shared" si="87"/>
        <v/>
      </c>
      <c r="N197" s="69" t="str">
        <f>IF(A197="","",Tabela1[[#This Row],[PTC]]*Tabela1[[#This Row],[ODDC]])</f>
        <v/>
      </c>
      <c r="O197" s="69" t="str">
        <f>IF(A197="","",Tabela1[[#This Row],[PTV]]*Tabela1[[#This Row],[ODDV]])</f>
        <v/>
      </c>
      <c r="P197" s="68" t="str">
        <f t="shared" si="88"/>
        <v/>
      </c>
      <c r="Q197" s="68" t="str">
        <f t="shared" si="89"/>
        <v/>
      </c>
      <c r="R197" s="68" t="str">
        <f t="shared" si="90"/>
        <v/>
      </c>
      <c r="S197" s="68" t="str">
        <f t="shared" si="91"/>
        <v/>
      </c>
      <c r="T197" s="68" t="str">
        <f>IF(A197="","",IF(F197="D",Tabela1[[#This Row],[ODDE]]-1,-1))</f>
        <v/>
      </c>
      <c r="U197" s="70" t="str">
        <f>IF(A197="","",IF(AND(Tabela1[[#This Row],[FTHG]]&gt;3,F197="H"),1,0))</f>
        <v/>
      </c>
      <c r="V197" s="70" t="str">
        <f>IF(A197="","",IF(AND(Tabela1[[#This Row],[FTAG]]&gt;3,F197="A"),1,0))</f>
        <v/>
      </c>
      <c r="W197" s="70" t="str">
        <f t="shared" si="92"/>
        <v/>
      </c>
      <c r="X197" s="70" t="str">
        <f t="shared" si="93"/>
        <v/>
      </c>
      <c r="Y197" s="71" t="str">
        <f t="shared" si="94"/>
        <v/>
      </c>
      <c r="Z197" s="70" t="str">
        <f t="shared" si="95"/>
        <v/>
      </c>
      <c r="AA197" s="70" t="str">
        <f t="shared" si="96"/>
        <v/>
      </c>
      <c r="AB197" s="70" t="str">
        <f t="shared" si="97"/>
        <v/>
      </c>
      <c r="AC197" s="71" t="str">
        <f t="shared" si="98"/>
        <v/>
      </c>
      <c r="AD197" s="72" t="str">
        <f t="shared" si="99"/>
        <v/>
      </c>
      <c r="AE197" s="73" t="str">
        <f>IF(A197="","",COUNT($N$2:N197))</f>
        <v/>
      </c>
      <c r="AF197" s="74" t="str">
        <f t="shared" si="100"/>
        <v/>
      </c>
      <c r="AG197" s="74" t="str">
        <f t="shared" si="101"/>
        <v/>
      </c>
      <c r="AH197" s="74" t="str">
        <f t="shared" si="102"/>
        <v/>
      </c>
      <c r="AI197" s="74" t="str">
        <f t="shared" si="103"/>
        <v/>
      </c>
      <c r="AJ197" s="74" t="str">
        <f t="shared" si="104"/>
        <v/>
      </c>
      <c r="AK197" s="74" t="str">
        <f>IF(A197="","",1/Tabela1[[#This Row],[ODDC]])</f>
        <v/>
      </c>
      <c r="AL197" s="74" t="str">
        <f>IF(A197="","",1/Tabela1[[#This Row],[ODDE]])</f>
        <v/>
      </c>
      <c r="AM197" s="74" t="str">
        <f>IF(A197="","",1/Tabela1[[#This Row],[ODDV]])</f>
        <v/>
      </c>
      <c r="AN197" s="74" t="str">
        <f>IF(A197="","",1-(Tabela1[[#This Row],[p(H)]]+Tabela1[[#This Row],[p(D)]]+Tabela1[[#This Row],[p(A)]]))</f>
        <v/>
      </c>
      <c r="AO197" s="74" t="str">
        <f>IF(A197="","",IFERROR(Tabela1[[#This Row],[p(H)]]/Tabela1[[#This Row],[FTHG]],1))</f>
        <v/>
      </c>
      <c r="AP197" s="74" t="str">
        <f>IF(A197="","",IFERROR(Tabela1[[#This Row],[p(A)]]/Tabela1[[#This Row],[FTAG]],1))</f>
        <v/>
      </c>
      <c r="AQ197" s="107"/>
      <c r="AR197" s="107"/>
      <c r="AS197" s="107"/>
      <c r="AT197" s="107"/>
      <c r="AU197" s="107"/>
      <c r="AV197" s="107"/>
      <c r="AW197" s="107"/>
      <c r="AX197" s="107"/>
      <c r="AY197" s="107"/>
      <c r="AZ197" s="75"/>
      <c r="BA197" s="75"/>
      <c r="BB197" s="97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7"/>
      <c r="BS197" s="107"/>
      <c r="BT197" s="107"/>
      <c r="BU197" s="107"/>
      <c r="BV197" s="107"/>
      <c r="BW197" s="107"/>
      <c r="BX197" s="75"/>
      <c r="BY197" s="75"/>
      <c r="BZ197" s="75"/>
      <c r="CA197" s="75"/>
      <c r="CB197" s="75"/>
      <c r="CC197" s="75"/>
      <c r="CD197" s="75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  <c r="DH197" s="102"/>
      <c r="DI197" s="102"/>
      <c r="DJ197" s="102"/>
      <c r="DK197" s="102"/>
      <c r="DL197" s="102"/>
      <c r="DM197" s="102"/>
      <c r="DN197" s="102"/>
      <c r="DO197" s="102"/>
      <c r="DP197" s="102"/>
    </row>
    <row r="198" spans="1:120" x14ac:dyDescent="0.25">
      <c r="A198" s="4"/>
      <c r="D198"/>
      <c r="E198"/>
      <c r="F198"/>
      <c r="J198" s="68" t="str">
        <f t="shared" si="84"/>
        <v/>
      </c>
      <c r="K198" s="68" t="str">
        <f t="shared" si="85"/>
        <v/>
      </c>
      <c r="L198" s="69" t="str">
        <f t="shared" si="86"/>
        <v/>
      </c>
      <c r="M198" s="69" t="str">
        <f t="shared" si="87"/>
        <v/>
      </c>
      <c r="N198" s="69" t="str">
        <f>IF(A198="","",Tabela1[[#This Row],[PTC]]*Tabela1[[#This Row],[ODDC]])</f>
        <v/>
      </c>
      <c r="O198" s="69" t="str">
        <f>IF(A198="","",Tabela1[[#This Row],[PTV]]*Tabela1[[#This Row],[ODDV]])</f>
        <v/>
      </c>
      <c r="P198" s="68" t="str">
        <f t="shared" si="88"/>
        <v/>
      </c>
      <c r="Q198" s="68" t="str">
        <f t="shared" si="89"/>
        <v/>
      </c>
      <c r="R198" s="68" t="str">
        <f t="shared" si="90"/>
        <v/>
      </c>
      <c r="S198" s="68" t="str">
        <f t="shared" si="91"/>
        <v/>
      </c>
      <c r="T198" s="68" t="str">
        <f>IF(A198="","",IF(F198="D",Tabela1[[#This Row],[ODDE]]-1,-1))</f>
        <v/>
      </c>
      <c r="U198" s="70" t="str">
        <f>IF(A198="","",IF(AND(Tabela1[[#This Row],[FTHG]]&gt;3,F198="H"),1,0))</f>
        <v/>
      </c>
      <c r="V198" s="70" t="str">
        <f>IF(A198="","",IF(AND(Tabela1[[#This Row],[FTAG]]&gt;3,F198="A"),1,0))</f>
        <v/>
      </c>
      <c r="W198" s="70" t="str">
        <f t="shared" si="92"/>
        <v/>
      </c>
      <c r="X198" s="70" t="str">
        <f t="shared" si="93"/>
        <v/>
      </c>
      <c r="Y198" s="71" t="str">
        <f t="shared" si="94"/>
        <v/>
      </c>
      <c r="Z198" s="70" t="str">
        <f t="shared" si="95"/>
        <v/>
      </c>
      <c r="AA198" s="70" t="str">
        <f t="shared" si="96"/>
        <v/>
      </c>
      <c r="AB198" s="70" t="str">
        <f t="shared" si="97"/>
        <v/>
      </c>
      <c r="AC198" s="71" t="str">
        <f t="shared" si="98"/>
        <v/>
      </c>
      <c r="AD198" s="72" t="str">
        <f t="shared" si="99"/>
        <v/>
      </c>
      <c r="AE198" s="73" t="str">
        <f>IF(A198="","",COUNT($N$2:N198))</f>
        <v/>
      </c>
      <c r="AF198" s="74" t="str">
        <f t="shared" si="100"/>
        <v/>
      </c>
      <c r="AG198" s="74" t="str">
        <f t="shared" si="101"/>
        <v/>
      </c>
      <c r="AH198" s="74" t="str">
        <f t="shared" si="102"/>
        <v/>
      </c>
      <c r="AI198" s="74" t="str">
        <f t="shared" si="103"/>
        <v/>
      </c>
      <c r="AJ198" s="74" t="str">
        <f t="shared" si="104"/>
        <v/>
      </c>
      <c r="AK198" s="74" t="str">
        <f>IF(A198="","",1/Tabela1[[#This Row],[ODDC]])</f>
        <v/>
      </c>
      <c r="AL198" s="74" t="str">
        <f>IF(A198="","",1/Tabela1[[#This Row],[ODDE]])</f>
        <v/>
      </c>
      <c r="AM198" s="74" t="str">
        <f>IF(A198="","",1/Tabela1[[#This Row],[ODDV]])</f>
        <v/>
      </c>
      <c r="AN198" s="74" t="str">
        <f>IF(A198="","",1-(Tabela1[[#This Row],[p(H)]]+Tabela1[[#This Row],[p(D)]]+Tabela1[[#This Row],[p(A)]]))</f>
        <v/>
      </c>
      <c r="AO198" s="74" t="str">
        <f>IF(A198="","",IFERROR(Tabela1[[#This Row],[p(H)]]/Tabela1[[#This Row],[FTHG]],1))</f>
        <v/>
      </c>
      <c r="AP198" s="74" t="str">
        <f>IF(A198="","",IFERROR(Tabela1[[#This Row],[p(A)]]/Tabela1[[#This Row],[FTAG]],1))</f>
        <v/>
      </c>
      <c r="AQ198" s="107"/>
      <c r="AR198" s="107"/>
      <c r="AS198" s="107"/>
      <c r="AT198" s="107"/>
      <c r="AU198" s="107"/>
      <c r="AV198" s="107"/>
      <c r="AW198" s="107"/>
      <c r="AX198" s="107"/>
      <c r="AY198" s="107"/>
      <c r="AZ198" s="75"/>
      <c r="BA198" s="75"/>
      <c r="BB198" s="97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7"/>
      <c r="BS198" s="107"/>
      <c r="BT198" s="107"/>
      <c r="BU198" s="107"/>
      <c r="BV198" s="107"/>
      <c r="BW198" s="107"/>
      <c r="BX198" s="75"/>
      <c r="BY198" s="75"/>
      <c r="BZ198" s="75"/>
      <c r="CA198" s="75"/>
      <c r="CB198" s="75"/>
      <c r="CC198" s="75"/>
      <c r="CD198" s="75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  <c r="DH198" s="102"/>
      <c r="DI198" s="102"/>
      <c r="DJ198" s="102"/>
      <c r="DK198" s="102"/>
      <c r="DL198" s="102"/>
      <c r="DM198" s="102"/>
      <c r="DN198" s="102"/>
      <c r="DO198" s="102"/>
      <c r="DP198" s="102"/>
    </row>
    <row r="199" spans="1:120" x14ac:dyDescent="0.25">
      <c r="A199" s="4"/>
      <c r="D199"/>
      <c r="E199"/>
      <c r="F199"/>
      <c r="J199" s="68" t="str">
        <f t="shared" si="84"/>
        <v/>
      </c>
      <c r="K199" s="68" t="str">
        <f t="shared" si="85"/>
        <v/>
      </c>
      <c r="L199" s="69" t="str">
        <f t="shared" si="86"/>
        <v/>
      </c>
      <c r="M199" s="69" t="str">
        <f t="shared" si="87"/>
        <v/>
      </c>
      <c r="N199" s="69" t="str">
        <f>IF(A199="","",Tabela1[[#This Row],[PTC]]*Tabela1[[#This Row],[ODDC]])</f>
        <v/>
      </c>
      <c r="O199" s="69" t="str">
        <f>IF(A199="","",Tabela1[[#This Row],[PTV]]*Tabela1[[#This Row],[ODDV]])</f>
        <v/>
      </c>
      <c r="P199" s="68" t="str">
        <f t="shared" si="88"/>
        <v/>
      </c>
      <c r="Q199" s="68" t="str">
        <f t="shared" si="89"/>
        <v/>
      </c>
      <c r="R199" s="68" t="str">
        <f t="shared" si="90"/>
        <v/>
      </c>
      <c r="S199" s="68" t="str">
        <f t="shared" si="91"/>
        <v/>
      </c>
      <c r="T199" s="68" t="str">
        <f>IF(A199="","",IF(F199="D",Tabela1[[#This Row],[ODDE]]-1,-1))</f>
        <v/>
      </c>
      <c r="U199" s="70" t="str">
        <f>IF(A199="","",IF(AND(Tabela1[[#This Row],[FTHG]]&gt;3,F199="H"),1,0))</f>
        <v/>
      </c>
      <c r="V199" s="70" t="str">
        <f>IF(A199="","",IF(AND(Tabela1[[#This Row],[FTAG]]&gt;3,F199="A"),1,0))</f>
        <v/>
      </c>
      <c r="W199" s="70" t="str">
        <f t="shared" si="92"/>
        <v/>
      </c>
      <c r="X199" s="70" t="str">
        <f t="shared" si="93"/>
        <v/>
      </c>
      <c r="Y199" s="71" t="str">
        <f t="shared" si="94"/>
        <v/>
      </c>
      <c r="Z199" s="70" t="str">
        <f t="shared" si="95"/>
        <v/>
      </c>
      <c r="AA199" s="70" t="str">
        <f t="shared" si="96"/>
        <v/>
      </c>
      <c r="AB199" s="70" t="str">
        <f t="shared" si="97"/>
        <v/>
      </c>
      <c r="AC199" s="71" t="str">
        <f t="shared" si="98"/>
        <v/>
      </c>
      <c r="AD199" s="72" t="str">
        <f t="shared" si="99"/>
        <v/>
      </c>
      <c r="AE199" s="73" t="str">
        <f>IF(A199="","",COUNT($N$2:N199))</f>
        <v/>
      </c>
      <c r="AF199" s="74" t="str">
        <f t="shared" si="100"/>
        <v/>
      </c>
      <c r="AG199" s="74" t="str">
        <f t="shared" si="101"/>
        <v/>
      </c>
      <c r="AH199" s="74" t="str">
        <f t="shared" si="102"/>
        <v/>
      </c>
      <c r="AI199" s="74" t="str">
        <f t="shared" si="103"/>
        <v/>
      </c>
      <c r="AJ199" s="74" t="str">
        <f t="shared" si="104"/>
        <v/>
      </c>
      <c r="AK199" s="74" t="str">
        <f>IF(A199="","",1/Tabela1[[#This Row],[ODDC]])</f>
        <v/>
      </c>
      <c r="AL199" s="74" t="str">
        <f>IF(A199="","",1/Tabela1[[#This Row],[ODDE]])</f>
        <v/>
      </c>
      <c r="AM199" s="74" t="str">
        <f>IF(A199="","",1/Tabela1[[#This Row],[ODDV]])</f>
        <v/>
      </c>
      <c r="AN199" s="74" t="str">
        <f>IF(A199="","",1-(Tabela1[[#This Row],[p(H)]]+Tabela1[[#This Row],[p(D)]]+Tabela1[[#This Row],[p(A)]]))</f>
        <v/>
      </c>
      <c r="AO199" s="74" t="str">
        <f>IF(A199="","",IFERROR(Tabela1[[#This Row],[p(H)]]/Tabela1[[#This Row],[FTHG]],1))</f>
        <v/>
      </c>
      <c r="AP199" s="74" t="str">
        <f>IF(A199="","",IFERROR(Tabela1[[#This Row],[p(A)]]/Tabela1[[#This Row],[FTAG]],1))</f>
        <v/>
      </c>
      <c r="AQ199" s="107"/>
      <c r="AR199" s="107"/>
      <c r="AS199" s="107"/>
      <c r="AT199" s="107"/>
      <c r="AU199" s="107"/>
      <c r="AV199" s="107"/>
      <c r="AW199" s="107"/>
      <c r="AX199" s="107"/>
      <c r="AY199" s="107"/>
      <c r="AZ199" s="75"/>
      <c r="BA199" s="75"/>
      <c r="BB199" s="97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7"/>
      <c r="BS199" s="107"/>
      <c r="BT199" s="107"/>
      <c r="BU199" s="107"/>
      <c r="BV199" s="107"/>
      <c r="BW199" s="107"/>
      <c r="BX199" s="75"/>
      <c r="BY199" s="75"/>
      <c r="BZ199" s="75"/>
      <c r="CA199" s="75"/>
      <c r="CB199" s="75"/>
      <c r="CC199" s="75"/>
      <c r="CD199" s="75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</row>
    <row r="200" spans="1:120" x14ac:dyDescent="0.25">
      <c r="A200" s="4"/>
      <c r="D200"/>
      <c r="E200"/>
      <c r="F200"/>
      <c r="J200" s="68" t="str">
        <f t="shared" si="84"/>
        <v/>
      </c>
      <c r="K200" s="68" t="str">
        <f t="shared" si="85"/>
        <v/>
      </c>
      <c r="L200" s="69" t="str">
        <f t="shared" si="86"/>
        <v/>
      </c>
      <c r="M200" s="69" t="str">
        <f t="shared" si="87"/>
        <v/>
      </c>
      <c r="N200" s="69" t="str">
        <f>IF(A200="","",Tabela1[[#This Row],[PTC]]*Tabela1[[#This Row],[ODDC]])</f>
        <v/>
      </c>
      <c r="O200" s="69" t="str">
        <f>IF(A200="","",Tabela1[[#This Row],[PTV]]*Tabela1[[#This Row],[ODDV]])</f>
        <v/>
      </c>
      <c r="P200" s="68" t="str">
        <f t="shared" si="88"/>
        <v/>
      </c>
      <c r="Q200" s="68" t="str">
        <f t="shared" si="89"/>
        <v/>
      </c>
      <c r="R200" s="68" t="str">
        <f t="shared" si="90"/>
        <v/>
      </c>
      <c r="S200" s="68" t="str">
        <f t="shared" si="91"/>
        <v/>
      </c>
      <c r="T200" s="68" t="str">
        <f>IF(A200="","",IF(F200="D",Tabela1[[#This Row],[ODDE]]-1,-1))</f>
        <v/>
      </c>
      <c r="U200" s="70" t="str">
        <f>IF(A200="","",IF(AND(Tabela1[[#This Row],[FTHG]]&gt;3,F200="H"),1,0))</f>
        <v/>
      </c>
      <c r="V200" s="70" t="str">
        <f>IF(A200="","",IF(AND(Tabela1[[#This Row],[FTAG]]&gt;3,F200="A"),1,0))</f>
        <v/>
      </c>
      <c r="W200" s="70" t="str">
        <f t="shared" si="92"/>
        <v/>
      </c>
      <c r="X200" s="70" t="str">
        <f t="shared" si="93"/>
        <v/>
      </c>
      <c r="Y200" s="71" t="str">
        <f t="shared" si="94"/>
        <v/>
      </c>
      <c r="Z200" s="70" t="str">
        <f t="shared" si="95"/>
        <v/>
      </c>
      <c r="AA200" s="70" t="str">
        <f t="shared" si="96"/>
        <v/>
      </c>
      <c r="AB200" s="70" t="str">
        <f t="shared" si="97"/>
        <v/>
      </c>
      <c r="AC200" s="71" t="str">
        <f t="shared" si="98"/>
        <v/>
      </c>
      <c r="AD200" s="72" t="str">
        <f t="shared" si="99"/>
        <v/>
      </c>
      <c r="AE200" s="73" t="str">
        <f>IF(A200="","",COUNT($N$2:N200))</f>
        <v/>
      </c>
      <c r="AF200" s="74" t="str">
        <f t="shared" si="100"/>
        <v/>
      </c>
      <c r="AG200" s="74" t="str">
        <f t="shared" si="101"/>
        <v/>
      </c>
      <c r="AH200" s="74" t="str">
        <f t="shared" si="102"/>
        <v/>
      </c>
      <c r="AI200" s="74" t="str">
        <f t="shared" si="103"/>
        <v/>
      </c>
      <c r="AJ200" s="74" t="str">
        <f t="shared" si="104"/>
        <v/>
      </c>
      <c r="AK200" s="74" t="str">
        <f>IF(A200="","",1/Tabela1[[#This Row],[ODDC]])</f>
        <v/>
      </c>
      <c r="AL200" s="74" t="str">
        <f>IF(A200="","",1/Tabela1[[#This Row],[ODDE]])</f>
        <v/>
      </c>
      <c r="AM200" s="74" t="str">
        <f>IF(A200="","",1/Tabela1[[#This Row],[ODDV]])</f>
        <v/>
      </c>
      <c r="AN200" s="74" t="str">
        <f>IF(A200="","",1-(Tabela1[[#This Row],[p(H)]]+Tabela1[[#This Row],[p(D)]]+Tabela1[[#This Row],[p(A)]]))</f>
        <v/>
      </c>
      <c r="AO200" s="74" t="str">
        <f>IF(A200="","",IFERROR(Tabela1[[#This Row],[p(H)]]/Tabela1[[#This Row],[FTHG]],1))</f>
        <v/>
      </c>
      <c r="AP200" s="74" t="str">
        <f>IF(A200="","",IFERROR(Tabela1[[#This Row],[p(A)]]/Tabela1[[#This Row],[FTAG]],1))</f>
        <v/>
      </c>
      <c r="AQ200" s="107"/>
      <c r="AR200" s="107"/>
      <c r="AS200" s="107"/>
      <c r="AT200" s="107"/>
      <c r="AU200" s="107"/>
      <c r="AV200" s="107"/>
      <c r="AW200" s="107"/>
      <c r="AX200" s="107"/>
      <c r="AY200" s="107"/>
      <c r="AZ200" s="75"/>
      <c r="BA200" s="75"/>
      <c r="BB200" s="97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7"/>
      <c r="BS200" s="107"/>
      <c r="BT200" s="107"/>
      <c r="BU200" s="107"/>
      <c r="BV200" s="107"/>
      <c r="BW200" s="107"/>
      <c r="BX200" s="75"/>
      <c r="BY200" s="75"/>
      <c r="BZ200" s="75"/>
      <c r="CA200" s="75"/>
      <c r="CB200" s="75"/>
      <c r="CC200" s="75"/>
      <c r="CD200" s="75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  <c r="DH200" s="102"/>
      <c r="DI200" s="102"/>
      <c r="DJ200" s="102"/>
      <c r="DK200" s="102"/>
      <c r="DL200" s="102"/>
      <c r="DM200" s="102"/>
      <c r="DN200" s="102"/>
      <c r="DO200" s="102"/>
      <c r="DP200" s="102"/>
    </row>
    <row r="201" spans="1:120" x14ac:dyDescent="0.25">
      <c r="A201" s="4"/>
      <c r="D201"/>
      <c r="E201"/>
      <c r="F201"/>
      <c r="J201" s="68" t="str">
        <f t="shared" si="84"/>
        <v/>
      </c>
      <c r="K201" s="68" t="str">
        <f t="shared" si="85"/>
        <v/>
      </c>
      <c r="L201" s="69" t="str">
        <f t="shared" si="86"/>
        <v/>
      </c>
      <c r="M201" s="69" t="str">
        <f t="shared" si="87"/>
        <v/>
      </c>
      <c r="N201" s="69" t="str">
        <f>IF(A201="","",Tabela1[[#This Row],[PTC]]*Tabela1[[#This Row],[ODDC]])</f>
        <v/>
      </c>
      <c r="O201" s="69" t="str">
        <f>IF(A201="","",Tabela1[[#This Row],[PTV]]*Tabela1[[#This Row],[ODDV]])</f>
        <v/>
      </c>
      <c r="P201" s="68" t="str">
        <f t="shared" si="88"/>
        <v/>
      </c>
      <c r="Q201" s="68" t="str">
        <f t="shared" si="89"/>
        <v/>
      </c>
      <c r="R201" s="68" t="str">
        <f t="shared" si="90"/>
        <v/>
      </c>
      <c r="S201" s="68" t="str">
        <f t="shared" si="91"/>
        <v/>
      </c>
      <c r="T201" s="68" t="str">
        <f>IF(A201="","",IF(F201="D",Tabela1[[#This Row],[ODDE]]-1,-1))</f>
        <v/>
      </c>
      <c r="U201" s="70" t="str">
        <f>IF(A201="","",IF(AND(Tabela1[[#This Row],[FTHG]]&gt;3,F201="H"),1,0))</f>
        <v/>
      </c>
      <c r="V201" s="70" t="str">
        <f>IF(A201="","",IF(AND(Tabela1[[#This Row],[FTAG]]&gt;3,F201="A"),1,0))</f>
        <v/>
      </c>
      <c r="W201" s="70" t="str">
        <f t="shared" si="92"/>
        <v/>
      </c>
      <c r="X201" s="70" t="str">
        <f t="shared" si="93"/>
        <v/>
      </c>
      <c r="Y201" s="71" t="str">
        <f t="shared" si="94"/>
        <v/>
      </c>
      <c r="Z201" s="70" t="str">
        <f t="shared" si="95"/>
        <v/>
      </c>
      <c r="AA201" s="70" t="str">
        <f t="shared" si="96"/>
        <v/>
      </c>
      <c r="AB201" s="70" t="str">
        <f t="shared" si="97"/>
        <v/>
      </c>
      <c r="AC201" s="71" t="str">
        <f t="shared" si="98"/>
        <v/>
      </c>
      <c r="AD201" s="72" t="str">
        <f t="shared" si="99"/>
        <v/>
      </c>
      <c r="AE201" s="73" t="str">
        <f>IF(A201="","",COUNT($N$2:N201))</f>
        <v/>
      </c>
      <c r="AF201" s="74" t="str">
        <f t="shared" si="100"/>
        <v/>
      </c>
      <c r="AG201" s="74" t="str">
        <f t="shared" si="101"/>
        <v/>
      </c>
      <c r="AH201" s="74" t="str">
        <f t="shared" si="102"/>
        <v/>
      </c>
      <c r="AI201" s="74" t="str">
        <f t="shared" si="103"/>
        <v/>
      </c>
      <c r="AJ201" s="74" t="str">
        <f t="shared" si="104"/>
        <v/>
      </c>
      <c r="AK201" s="74" t="str">
        <f>IF(A201="","",1/Tabela1[[#This Row],[ODDC]])</f>
        <v/>
      </c>
      <c r="AL201" s="74" t="str">
        <f>IF(A201="","",1/Tabela1[[#This Row],[ODDE]])</f>
        <v/>
      </c>
      <c r="AM201" s="74" t="str">
        <f>IF(A201="","",1/Tabela1[[#This Row],[ODDV]])</f>
        <v/>
      </c>
      <c r="AN201" s="74" t="str">
        <f>IF(A201="","",1-(Tabela1[[#This Row],[p(H)]]+Tabela1[[#This Row],[p(D)]]+Tabela1[[#This Row],[p(A)]]))</f>
        <v/>
      </c>
      <c r="AO201" s="74" t="str">
        <f>IF(A201="","",IFERROR(Tabela1[[#This Row],[p(H)]]/Tabela1[[#This Row],[FTHG]],1))</f>
        <v/>
      </c>
      <c r="AP201" s="74" t="str">
        <f>IF(A201="","",IFERROR(Tabela1[[#This Row],[p(A)]]/Tabela1[[#This Row],[FTAG]],1))</f>
        <v/>
      </c>
      <c r="AQ201" s="107"/>
      <c r="AR201" s="107"/>
      <c r="AS201" s="107"/>
      <c r="AT201" s="107"/>
      <c r="AU201" s="107"/>
      <c r="AV201" s="107"/>
      <c r="AW201" s="107"/>
      <c r="AX201" s="107"/>
      <c r="AY201" s="107"/>
      <c r="AZ201" s="75"/>
      <c r="BA201" s="75"/>
      <c r="BB201" s="97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7"/>
      <c r="BS201" s="107"/>
      <c r="BT201" s="107"/>
      <c r="BU201" s="107"/>
      <c r="BV201" s="107"/>
      <c r="BW201" s="107"/>
      <c r="BX201" s="75"/>
      <c r="BY201" s="75"/>
      <c r="BZ201" s="75"/>
      <c r="CA201" s="75"/>
      <c r="CB201" s="75"/>
      <c r="CC201" s="75"/>
      <c r="CD201" s="75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  <c r="DH201" s="102"/>
      <c r="DI201" s="102"/>
      <c r="DJ201" s="102"/>
      <c r="DK201" s="102"/>
      <c r="DL201" s="102"/>
      <c r="DM201" s="102"/>
      <c r="DN201" s="102"/>
      <c r="DO201" s="102"/>
      <c r="DP201" s="102"/>
    </row>
    <row r="202" spans="1:120" x14ac:dyDescent="0.25">
      <c r="A202" s="4"/>
      <c r="D202"/>
      <c r="E202"/>
      <c r="F202"/>
      <c r="J202" s="68" t="str">
        <f t="shared" si="84"/>
        <v/>
      </c>
      <c r="K202" s="68" t="str">
        <f t="shared" si="85"/>
        <v/>
      </c>
      <c r="L202" s="69" t="str">
        <f t="shared" si="86"/>
        <v/>
      </c>
      <c r="M202" s="69" t="str">
        <f t="shared" si="87"/>
        <v/>
      </c>
      <c r="N202" s="69" t="str">
        <f>IF(A202="","",Tabela1[[#This Row],[PTC]]*Tabela1[[#This Row],[ODDC]])</f>
        <v/>
      </c>
      <c r="O202" s="69" t="str">
        <f>IF(A202="","",Tabela1[[#This Row],[PTV]]*Tabela1[[#This Row],[ODDV]])</f>
        <v/>
      </c>
      <c r="P202" s="68" t="str">
        <f t="shared" si="88"/>
        <v/>
      </c>
      <c r="Q202" s="68" t="str">
        <f t="shared" si="89"/>
        <v/>
      </c>
      <c r="R202" s="68" t="str">
        <f t="shared" si="90"/>
        <v/>
      </c>
      <c r="S202" s="68" t="str">
        <f t="shared" si="91"/>
        <v/>
      </c>
      <c r="T202" s="68" t="str">
        <f>IF(A202="","",IF(F202="D",Tabela1[[#This Row],[ODDE]]-1,-1))</f>
        <v/>
      </c>
      <c r="U202" s="70" t="str">
        <f>IF(A202="","",IF(AND(Tabela1[[#This Row],[FTHG]]&gt;3,F202="H"),1,0))</f>
        <v/>
      </c>
      <c r="V202" s="70" t="str">
        <f>IF(A202="","",IF(AND(Tabela1[[#This Row],[FTAG]]&gt;3,F202="A"),1,0))</f>
        <v/>
      </c>
      <c r="W202" s="70" t="str">
        <f t="shared" si="92"/>
        <v/>
      </c>
      <c r="X202" s="70" t="str">
        <f t="shared" si="93"/>
        <v/>
      </c>
      <c r="Y202" s="71" t="str">
        <f t="shared" si="94"/>
        <v/>
      </c>
      <c r="Z202" s="70" t="str">
        <f t="shared" si="95"/>
        <v/>
      </c>
      <c r="AA202" s="70" t="str">
        <f t="shared" si="96"/>
        <v/>
      </c>
      <c r="AB202" s="70" t="str">
        <f t="shared" si="97"/>
        <v/>
      </c>
      <c r="AC202" s="71" t="str">
        <f t="shared" si="98"/>
        <v/>
      </c>
      <c r="AD202" s="72" t="str">
        <f t="shared" si="99"/>
        <v/>
      </c>
      <c r="AE202" s="73" t="str">
        <f>IF(A202="","",COUNT($N$2:N202))</f>
        <v/>
      </c>
      <c r="AF202" s="74" t="str">
        <f t="shared" si="100"/>
        <v/>
      </c>
      <c r="AG202" s="74" t="str">
        <f t="shared" si="101"/>
        <v/>
      </c>
      <c r="AH202" s="74" t="str">
        <f t="shared" si="102"/>
        <v/>
      </c>
      <c r="AI202" s="74" t="str">
        <f t="shared" si="103"/>
        <v/>
      </c>
      <c r="AJ202" s="74" t="str">
        <f t="shared" si="104"/>
        <v/>
      </c>
      <c r="AK202" s="74" t="str">
        <f>IF(A202="","",1/Tabela1[[#This Row],[ODDC]])</f>
        <v/>
      </c>
      <c r="AL202" s="74" t="str">
        <f>IF(A202="","",1/Tabela1[[#This Row],[ODDE]])</f>
        <v/>
      </c>
      <c r="AM202" s="74" t="str">
        <f>IF(A202="","",1/Tabela1[[#This Row],[ODDV]])</f>
        <v/>
      </c>
      <c r="AN202" s="74" t="str">
        <f>IF(A202="","",1-(Tabela1[[#This Row],[p(H)]]+Tabela1[[#This Row],[p(D)]]+Tabela1[[#This Row],[p(A)]]))</f>
        <v/>
      </c>
      <c r="AO202" s="74" t="str">
        <f>IF(A202="","",IFERROR(Tabela1[[#This Row],[p(H)]]/Tabela1[[#This Row],[FTHG]],1))</f>
        <v/>
      </c>
      <c r="AP202" s="74" t="str">
        <f>IF(A202="","",IFERROR(Tabela1[[#This Row],[p(A)]]/Tabela1[[#This Row],[FTAG]],1))</f>
        <v/>
      </c>
      <c r="AQ202" s="107"/>
      <c r="AR202" s="107"/>
      <c r="AS202" s="107"/>
      <c r="AT202" s="107"/>
      <c r="AU202" s="107"/>
      <c r="AV202" s="107"/>
      <c r="AW202" s="107"/>
      <c r="AX202" s="107"/>
      <c r="AY202" s="107"/>
      <c r="AZ202" s="75"/>
      <c r="BA202" s="75"/>
      <c r="BB202" s="97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7"/>
      <c r="BS202" s="107"/>
      <c r="BT202" s="107"/>
      <c r="BU202" s="107"/>
      <c r="BV202" s="107"/>
      <c r="BW202" s="107"/>
      <c r="BX202" s="75"/>
      <c r="BY202" s="75"/>
      <c r="BZ202" s="75"/>
      <c r="CA202" s="75"/>
      <c r="CB202" s="75"/>
      <c r="CC202" s="75"/>
      <c r="CD202" s="75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  <c r="DH202" s="102"/>
      <c r="DI202" s="102"/>
      <c r="DJ202" s="102"/>
      <c r="DK202" s="102"/>
      <c r="DL202" s="102"/>
      <c r="DM202" s="102"/>
      <c r="DN202" s="102"/>
      <c r="DO202" s="102"/>
      <c r="DP202" s="102"/>
    </row>
    <row r="203" spans="1:120" x14ac:dyDescent="0.25">
      <c r="A203" s="4"/>
      <c r="D203"/>
      <c r="E203"/>
      <c r="F203"/>
      <c r="J203" s="68" t="str">
        <f t="shared" si="84"/>
        <v/>
      </c>
      <c r="K203" s="68" t="str">
        <f t="shared" si="85"/>
        <v/>
      </c>
      <c r="L203" s="69" t="str">
        <f t="shared" si="86"/>
        <v/>
      </c>
      <c r="M203" s="69" t="str">
        <f t="shared" si="87"/>
        <v/>
      </c>
      <c r="N203" s="69" t="str">
        <f>IF(A203="","",Tabela1[[#This Row],[PTC]]*Tabela1[[#This Row],[ODDC]])</f>
        <v/>
      </c>
      <c r="O203" s="69" t="str">
        <f>IF(A203="","",Tabela1[[#This Row],[PTV]]*Tabela1[[#This Row],[ODDV]])</f>
        <v/>
      </c>
      <c r="P203" s="68" t="str">
        <f t="shared" si="88"/>
        <v/>
      </c>
      <c r="Q203" s="68" t="str">
        <f t="shared" si="89"/>
        <v/>
      </c>
      <c r="R203" s="68" t="str">
        <f t="shared" si="90"/>
        <v/>
      </c>
      <c r="S203" s="68" t="str">
        <f t="shared" si="91"/>
        <v/>
      </c>
      <c r="T203" s="68" t="str">
        <f>IF(A203="","",IF(F203="D",Tabela1[[#This Row],[ODDE]]-1,-1))</f>
        <v/>
      </c>
      <c r="U203" s="70" t="str">
        <f>IF(A203="","",IF(AND(Tabela1[[#This Row],[FTHG]]&gt;3,F203="H"),1,0))</f>
        <v/>
      </c>
      <c r="V203" s="70" t="str">
        <f>IF(A203="","",IF(AND(Tabela1[[#This Row],[FTAG]]&gt;3,F203="A"),1,0))</f>
        <v/>
      </c>
      <c r="W203" s="70" t="str">
        <f t="shared" si="92"/>
        <v/>
      </c>
      <c r="X203" s="70" t="str">
        <f t="shared" si="93"/>
        <v/>
      </c>
      <c r="Y203" s="71" t="str">
        <f t="shared" si="94"/>
        <v/>
      </c>
      <c r="Z203" s="70" t="str">
        <f t="shared" si="95"/>
        <v/>
      </c>
      <c r="AA203" s="70" t="str">
        <f t="shared" si="96"/>
        <v/>
      </c>
      <c r="AB203" s="70" t="str">
        <f t="shared" si="97"/>
        <v/>
      </c>
      <c r="AC203" s="71" t="str">
        <f t="shared" si="98"/>
        <v/>
      </c>
      <c r="AD203" s="72" t="str">
        <f t="shared" si="99"/>
        <v/>
      </c>
      <c r="AE203" s="73" t="str">
        <f>IF(A203="","",COUNT($N$2:N203))</f>
        <v/>
      </c>
      <c r="AF203" s="74" t="str">
        <f t="shared" si="100"/>
        <v/>
      </c>
      <c r="AG203" s="74" t="str">
        <f t="shared" si="101"/>
        <v/>
      </c>
      <c r="AH203" s="74" t="str">
        <f t="shared" si="102"/>
        <v/>
      </c>
      <c r="AI203" s="74" t="str">
        <f t="shared" si="103"/>
        <v/>
      </c>
      <c r="AJ203" s="74" t="str">
        <f t="shared" si="104"/>
        <v/>
      </c>
      <c r="AK203" s="74" t="str">
        <f>IF(A203="","",1/Tabela1[[#This Row],[ODDC]])</f>
        <v/>
      </c>
      <c r="AL203" s="74" t="str">
        <f>IF(A203="","",1/Tabela1[[#This Row],[ODDE]])</f>
        <v/>
      </c>
      <c r="AM203" s="74" t="str">
        <f>IF(A203="","",1/Tabela1[[#This Row],[ODDV]])</f>
        <v/>
      </c>
      <c r="AN203" s="74" t="str">
        <f>IF(A203="","",1-(Tabela1[[#This Row],[p(H)]]+Tabela1[[#This Row],[p(D)]]+Tabela1[[#This Row],[p(A)]]))</f>
        <v/>
      </c>
      <c r="AO203" s="74" t="str">
        <f>IF(A203="","",IFERROR(Tabela1[[#This Row],[p(H)]]/Tabela1[[#This Row],[FTHG]],1))</f>
        <v/>
      </c>
      <c r="AP203" s="74" t="str">
        <f>IF(A203="","",IFERROR(Tabela1[[#This Row],[p(A)]]/Tabela1[[#This Row],[FTAG]],1))</f>
        <v/>
      </c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75"/>
      <c r="BA203" s="75"/>
      <c r="BB203" s="97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7"/>
      <c r="BS203" s="107"/>
      <c r="BT203" s="107"/>
      <c r="BU203" s="107"/>
      <c r="BV203" s="107"/>
      <c r="BW203" s="107"/>
      <c r="BX203" s="75"/>
      <c r="BY203" s="75"/>
      <c r="BZ203" s="75"/>
      <c r="CA203" s="75"/>
      <c r="CB203" s="75"/>
      <c r="CC203" s="75"/>
      <c r="CD203" s="75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2"/>
      <c r="CR203" s="102"/>
      <c r="CS203" s="102"/>
      <c r="CT203" s="102"/>
      <c r="CU203" s="102"/>
      <c r="CV203" s="102"/>
      <c r="CW203" s="102"/>
      <c r="CX203" s="102"/>
      <c r="CY203" s="102"/>
      <c r="CZ203" s="102"/>
      <c r="DA203" s="102"/>
      <c r="DB203" s="102"/>
      <c r="DC203" s="102"/>
      <c r="DD203" s="102"/>
      <c r="DE203" s="102"/>
      <c r="DF203" s="102"/>
      <c r="DG203" s="102"/>
      <c r="DH203" s="102"/>
      <c r="DI203" s="102"/>
      <c r="DJ203" s="102"/>
      <c r="DK203" s="102"/>
      <c r="DL203" s="102"/>
      <c r="DM203" s="102"/>
      <c r="DN203" s="102"/>
      <c r="DO203" s="102"/>
      <c r="DP203" s="102"/>
    </row>
    <row r="204" spans="1:120" x14ac:dyDescent="0.25">
      <c r="A204" s="4"/>
      <c r="D204"/>
      <c r="E204"/>
      <c r="F204"/>
      <c r="J204" s="68" t="str">
        <f t="shared" si="84"/>
        <v/>
      </c>
      <c r="K204" s="68" t="str">
        <f t="shared" si="85"/>
        <v/>
      </c>
      <c r="L204" s="69" t="str">
        <f t="shared" si="86"/>
        <v/>
      </c>
      <c r="M204" s="69" t="str">
        <f t="shared" si="87"/>
        <v/>
      </c>
      <c r="N204" s="69" t="str">
        <f>IF(A204="","",Tabela1[[#This Row],[PTC]]*Tabela1[[#This Row],[ODDC]])</f>
        <v/>
      </c>
      <c r="O204" s="69" t="str">
        <f>IF(A204="","",Tabela1[[#This Row],[PTV]]*Tabela1[[#This Row],[ODDV]])</f>
        <v/>
      </c>
      <c r="P204" s="68" t="str">
        <f t="shared" si="88"/>
        <v/>
      </c>
      <c r="Q204" s="68" t="str">
        <f t="shared" si="89"/>
        <v/>
      </c>
      <c r="R204" s="68" t="str">
        <f t="shared" si="90"/>
        <v/>
      </c>
      <c r="S204" s="68" t="str">
        <f t="shared" si="91"/>
        <v/>
      </c>
      <c r="T204" s="68" t="str">
        <f>IF(A204="","",IF(F204="D",Tabela1[[#This Row],[ODDE]]-1,-1))</f>
        <v/>
      </c>
      <c r="U204" s="70" t="str">
        <f>IF(A204="","",IF(AND(Tabela1[[#This Row],[FTHG]]&gt;3,F204="H"),1,0))</f>
        <v/>
      </c>
      <c r="V204" s="70" t="str">
        <f>IF(A204="","",IF(AND(Tabela1[[#This Row],[FTAG]]&gt;3,F204="A"),1,0))</f>
        <v/>
      </c>
      <c r="W204" s="70" t="str">
        <f t="shared" si="92"/>
        <v/>
      </c>
      <c r="X204" s="70" t="str">
        <f t="shared" si="93"/>
        <v/>
      </c>
      <c r="Y204" s="71" t="str">
        <f t="shared" si="94"/>
        <v/>
      </c>
      <c r="Z204" s="70" t="str">
        <f t="shared" si="95"/>
        <v/>
      </c>
      <c r="AA204" s="70" t="str">
        <f t="shared" si="96"/>
        <v/>
      </c>
      <c r="AB204" s="70" t="str">
        <f t="shared" si="97"/>
        <v/>
      </c>
      <c r="AC204" s="71" t="str">
        <f t="shared" si="98"/>
        <v/>
      </c>
      <c r="AD204" s="72" t="str">
        <f t="shared" si="99"/>
        <v/>
      </c>
      <c r="AE204" s="73" t="str">
        <f>IF(A204="","",COUNT($N$2:N204))</f>
        <v/>
      </c>
      <c r="AF204" s="74" t="str">
        <f t="shared" si="100"/>
        <v/>
      </c>
      <c r="AG204" s="74" t="str">
        <f t="shared" si="101"/>
        <v/>
      </c>
      <c r="AH204" s="74" t="str">
        <f t="shared" si="102"/>
        <v/>
      </c>
      <c r="AI204" s="74" t="str">
        <f t="shared" si="103"/>
        <v/>
      </c>
      <c r="AJ204" s="74" t="str">
        <f t="shared" si="104"/>
        <v/>
      </c>
      <c r="AK204" s="74" t="str">
        <f>IF(A204="","",1/Tabela1[[#This Row],[ODDC]])</f>
        <v/>
      </c>
      <c r="AL204" s="74" t="str">
        <f>IF(A204="","",1/Tabela1[[#This Row],[ODDE]])</f>
        <v/>
      </c>
      <c r="AM204" s="74" t="str">
        <f>IF(A204="","",1/Tabela1[[#This Row],[ODDV]])</f>
        <v/>
      </c>
      <c r="AN204" s="74" t="str">
        <f>IF(A204="","",1-(Tabela1[[#This Row],[p(H)]]+Tabela1[[#This Row],[p(D)]]+Tabela1[[#This Row],[p(A)]]))</f>
        <v/>
      </c>
      <c r="AO204" s="74" t="str">
        <f>IF(A204="","",IFERROR(Tabela1[[#This Row],[p(H)]]/Tabela1[[#This Row],[FTHG]],1))</f>
        <v/>
      </c>
      <c r="AP204" s="74" t="str">
        <f>IF(A204="","",IFERROR(Tabela1[[#This Row],[p(A)]]/Tabela1[[#This Row],[FTAG]],1))</f>
        <v/>
      </c>
      <c r="AQ204" s="107"/>
      <c r="AR204" s="107"/>
      <c r="AS204" s="107"/>
      <c r="AT204" s="107"/>
      <c r="AU204" s="107"/>
      <c r="AV204" s="107"/>
      <c r="AW204" s="107"/>
      <c r="AX204" s="107"/>
      <c r="AY204" s="107"/>
      <c r="AZ204" s="75"/>
      <c r="BA204" s="75"/>
      <c r="BB204" s="97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104"/>
      <c r="BO204" s="104"/>
      <c r="BP204" s="104"/>
      <c r="BQ204" s="104"/>
      <c r="BR204" s="107"/>
      <c r="BS204" s="107"/>
      <c r="BT204" s="107"/>
      <c r="BU204" s="107"/>
      <c r="BV204" s="107"/>
      <c r="BW204" s="107"/>
      <c r="BX204" s="75"/>
      <c r="BY204" s="75"/>
      <c r="BZ204" s="75"/>
      <c r="CA204" s="75"/>
      <c r="CB204" s="75"/>
      <c r="CC204" s="75"/>
      <c r="CD204" s="75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2"/>
      <c r="DC204" s="102"/>
      <c r="DD204" s="102"/>
      <c r="DE204" s="102"/>
      <c r="DF204" s="102"/>
      <c r="DG204" s="102"/>
      <c r="DH204" s="102"/>
      <c r="DI204" s="102"/>
      <c r="DJ204" s="102"/>
      <c r="DK204" s="102"/>
      <c r="DL204" s="102"/>
      <c r="DM204" s="102"/>
      <c r="DN204" s="102"/>
      <c r="DO204" s="102"/>
      <c r="DP204" s="102"/>
    </row>
    <row r="205" spans="1:120" x14ac:dyDescent="0.25">
      <c r="A205" s="4"/>
      <c r="D205"/>
      <c r="E205"/>
      <c r="F205"/>
      <c r="J205" s="68" t="str">
        <f t="shared" si="84"/>
        <v/>
      </c>
      <c r="K205" s="68" t="str">
        <f t="shared" si="85"/>
        <v/>
      </c>
      <c r="L205" s="69" t="str">
        <f t="shared" si="86"/>
        <v/>
      </c>
      <c r="M205" s="69" t="str">
        <f t="shared" si="87"/>
        <v/>
      </c>
      <c r="N205" s="69" t="str">
        <f>IF(A205="","",Tabela1[[#This Row],[PTC]]*Tabela1[[#This Row],[ODDC]])</f>
        <v/>
      </c>
      <c r="O205" s="69" t="str">
        <f>IF(A205="","",Tabela1[[#This Row],[PTV]]*Tabela1[[#This Row],[ODDV]])</f>
        <v/>
      </c>
      <c r="P205" s="68" t="str">
        <f t="shared" si="88"/>
        <v/>
      </c>
      <c r="Q205" s="68" t="str">
        <f t="shared" si="89"/>
        <v/>
      </c>
      <c r="R205" s="68" t="str">
        <f t="shared" si="90"/>
        <v/>
      </c>
      <c r="S205" s="68" t="str">
        <f t="shared" si="91"/>
        <v/>
      </c>
      <c r="T205" s="68" t="str">
        <f>IF(A205="","",IF(F205="D",Tabela1[[#This Row],[ODDE]]-1,-1))</f>
        <v/>
      </c>
      <c r="U205" s="70" t="str">
        <f>IF(A205="","",IF(AND(Tabela1[[#This Row],[FTHG]]&gt;3,F205="H"),1,0))</f>
        <v/>
      </c>
      <c r="V205" s="70" t="str">
        <f>IF(A205="","",IF(AND(Tabela1[[#This Row],[FTAG]]&gt;3,F205="A"),1,0))</f>
        <v/>
      </c>
      <c r="W205" s="70" t="str">
        <f t="shared" si="92"/>
        <v/>
      </c>
      <c r="X205" s="70" t="str">
        <f t="shared" si="93"/>
        <v/>
      </c>
      <c r="Y205" s="71" t="str">
        <f t="shared" si="94"/>
        <v/>
      </c>
      <c r="Z205" s="70" t="str">
        <f t="shared" si="95"/>
        <v/>
      </c>
      <c r="AA205" s="70" t="str">
        <f t="shared" si="96"/>
        <v/>
      </c>
      <c r="AB205" s="70" t="str">
        <f t="shared" si="97"/>
        <v/>
      </c>
      <c r="AC205" s="71" t="str">
        <f t="shared" si="98"/>
        <v/>
      </c>
      <c r="AD205" s="72" t="str">
        <f t="shared" si="99"/>
        <v/>
      </c>
      <c r="AE205" s="73" t="str">
        <f>IF(A205="","",COUNT($N$2:N205))</f>
        <v/>
      </c>
      <c r="AF205" s="74" t="str">
        <f t="shared" si="100"/>
        <v/>
      </c>
      <c r="AG205" s="74" t="str">
        <f t="shared" si="101"/>
        <v/>
      </c>
      <c r="AH205" s="74" t="str">
        <f t="shared" si="102"/>
        <v/>
      </c>
      <c r="AI205" s="74" t="str">
        <f t="shared" si="103"/>
        <v/>
      </c>
      <c r="AJ205" s="74" t="str">
        <f t="shared" si="104"/>
        <v/>
      </c>
      <c r="AK205" s="74" t="str">
        <f>IF(A205="","",1/Tabela1[[#This Row],[ODDC]])</f>
        <v/>
      </c>
      <c r="AL205" s="74" t="str">
        <f>IF(A205="","",1/Tabela1[[#This Row],[ODDE]])</f>
        <v/>
      </c>
      <c r="AM205" s="74" t="str">
        <f>IF(A205="","",1/Tabela1[[#This Row],[ODDV]])</f>
        <v/>
      </c>
      <c r="AN205" s="74" t="str">
        <f>IF(A205="","",1-(Tabela1[[#This Row],[p(H)]]+Tabela1[[#This Row],[p(D)]]+Tabela1[[#This Row],[p(A)]]))</f>
        <v/>
      </c>
      <c r="AO205" s="74" t="str">
        <f>IF(A205="","",IFERROR(Tabela1[[#This Row],[p(H)]]/Tabela1[[#This Row],[FTHG]],1))</f>
        <v/>
      </c>
      <c r="AP205" s="74" t="str">
        <f>IF(A205="","",IFERROR(Tabela1[[#This Row],[p(A)]]/Tabela1[[#This Row],[FTAG]],1))</f>
        <v/>
      </c>
      <c r="AQ205" s="107"/>
      <c r="AR205" s="107"/>
      <c r="AS205" s="107"/>
      <c r="AT205" s="107"/>
      <c r="AU205" s="107"/>
      <c r="AV205" s="107"/>
      <c r="AW205" s="107"/>
      <c r="AX205" s="107"/>
      <c r="AY205" s="107"/>
      <c r="AZ205" s="75"/>
      <c r="BA205" s="75"/>
      <c r="BB205" s="97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7"/>
      <c r="BS205" s="107"/>
      <c r="BT205" s="107"/>
      <c r="BU205" s="107"/>
      <c r="BV205" s="107"/>
      <c r="BW205" s="107"/>
      <c r="BX205" s="75"/>
      <c r="BY205" s="75"/>
      <c r="BZ205" s="75"/>
      <c r="CA205" s="75"/>
      <c r="CB205" s="75"/>
      <c r="CC205" s="75"/>
      <c r="CD205" s="75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2"/>
      <c r="CR205" s="102"/>
      <c r="CS205" s="102"/>
      <c r="CT205" s="102"/>
      <c r="CU205" s="102"/>
      <c r="CV205" s="102"/>
      <c r="CW205" s="102"/>
      <c r="CX205" s="102"/>
      <c r="CY205" s="102"/>
      <c r="CZ205" s="102"/>
      <c r="DA205" s="102"/>
      <c r="DB205" s="102"/>
      <c r="DC205" s="102"/>
      <c r="DD205" s="102"/>
      <c r="DE205" s="102"/>
      <c r="DF205" s="102"/>
      <c r="DG205" s="102"/>
      <c r="DH205" s="102"/>
      <c r="DI205" s="102"/>
      <c r="DJ205" s="102"/>
      <c r="DK205" s="102"/>
      <c r="DL205" s="102"/>
      <c r="DM205" s="102"/>
      <c r="DN205" s="102"/>
      <c r="DO205" s="102"/>
      <c r="DP205" s="102"/>
    </row>
    <row r="206" spans="1:120" x14ac:dyDescent="0.25">
      <c r="A206" s="4"/>
      <c r="D206"/>
      <c r="E206"/>
      <c r="F206"/>
      <c r="J206" s="68" t="str">
        <f t="shared" si="84"/>
        <v/>
      </c>
      <c r="K206" s="68" t="str">
        <f t="shared" si="85"/>
        <v/>
      </c>
      <c r="L206" s="69" t="str">
        <f t="shared" si="86"/>
        <v/>
      </c>
      <c r="M206" s="69" t="str">
        <f t="shared" si="87"/>
        <v/>
      </c>
      <c r="N206" s="69" t="str">
        <f>IF(A206="","",Tabela1[[#This Row],[PTC]]*Tabela1[[#This Row],[ODDC]])</f>
        <v/>
      </c>
      <c r="O206" s="69" t="str">
        <f>IF(A206="","",Tabela1[[#This Row],[PTV]]*Tabela1[[#This Row],[ODDV]])</f>
        <v/>
      </c>
      <c r="P206" s="68" t="str">
        <f t="shared" si="88"/>
        <v/>
      </c>
      <c r="Q206" s="68" t="str">
        <f t="shared" si="89"/>
        <v/>
      </c>
      <c r="R206" s="68" t="str">
        <f t="shared" si="90"/>
        <v/>
      </c>
      <c r="S206" s="68" t="str">
        <f t="shared" si="91"/>
        <v/>
      </c>
      <c r="T206" s="68" t="str">
        <f>IF(A206="","",IF(F206="D",Tabela1[[#This Row],[ODDE]]-1,-1))</f>
        <v/>
      </c>
      <c r="U206" s="70" t="str">
        <f>IF(A206="","",IF(AND(Tabela1[[#This Row],[FTHG]]&gt;3,F206="H"),1,0))</f>
        <v/>
      </c>
      <c r="V206" s="70" t="str">
        <f>IF(A206="","",IF(AND(Tabela1[[#This Row],[FTAG]]&gt;3,F206="A"),1,0))</f>
        <v/>
      </c>
      <c r="W206" s="70" t="str">
        <f t="shared" si="92"/>
        <v/>
      </c>
      <c r="X206" s="70" t="str">
        <f t="shared" si="93"/>
        <v/>
      </c>
      <c r="Y206" s="71" t="str">
        <f t="shared" si="94"/>
        <v/>
      </c>
      <c r="Z206" s="70" t="str">
        <f t="shared" si="95"/>
        <v/>
      </c>
      <c r="AA206" s="70" t="str">
        <f t="shared" si="96"/>
        <v/>
      </c>
      <c r="AB206" s="70" t="str">
        <f t="shared" si="97"/>
        <v/>
      </c>
      <c r="AC206" s="71" t="str">
        <f t="shared" si="98"/>
        <v/>
      </c>
      <c r="AD206" s="72" t="str">
        <f t="shared" si="99"/>
        <v/>
      </c>
      <c r="AE206" s="73" t="str">
        <f>IF(A206="","",COUNT($N$2:N206))</f>
        <v/>
      </c>
      <c r="AF206" s="74" t="str">
        <f t="shared" si="100"/>
        <v/>
      </c>
      <c r="AG206" s="74" t="str">
        <f t="shared" si="101"/>
        <v/>
      </c>
      <c r="AH206" s="74" t="str">
        <f t="shared" si="102"/>
        <v/>
      </c>
      <c r="AI206" s="74" t="str">
        <f t="shared" si="103"/>
        <v/>
      </c>
      <c r="AJ206" s="74" t="str">
        <f t="shared" si="104"/>
        <v/>
      </c>
      <c r="AK206" s="74" t="str">
        <f>IF(A206="","",1/Tabela1[[#This Row],[ODDC]])</f>
        <v/>
      </c>
      <c r="AL206" s="74" t="str">
        <f>IF(A206="","",1/Tabela1[[#This Row],[ODDE]])</f>
        <v/>
      </c>
      <c r="AM206" s="74" t="str">
        <f>IF(A206="","",1/Tabela1[[#This Row],[ODDV]])</f>
        <v/>
      </c>
      <c r="AN206" s="74" t="str">
        <f>IF(A206="","",1-(Tabela1[[#This Row],[p(H)]]+Tabela1[[#This Row],[p(D)]]+Tabela1[[#This Row],[p(A)]]))</f>
        <v/>
      </c>
      <c r="AO206" s="74" t="str">
        <f>IF(A206="","",IFERROR(Tabela1[[#This Row],[p(H)]]/Tabela1[[#This Row],[FTHG]],1))</f>
        <v/>
      </c>
      <c r="AP206" s="74" t="str">
        <f>IF(A206="","",IFERROR(Tabela1[[#This Row],[p(A)]]/Tabela1[[#This Row],[FTAG]],1))</f>
        <v/>
      </c>
      <c r="AQ206" s="107"/>
      <c r="AR206" s="107"/>
      <c r="AS206" s="107"/>
      <c r="AT206" s="107"/>
      <c r="AU206" s="107"/>
      <c r="AV206" s="107"/>
      <c r="AW206" s="107"/>
      <c r="AX206" s="107"/>
      <c r="AY206" s="107"/>
      <c r="AZ206" s="75"/>
      <c r="BA206" s="75"/>
      <c r="BB206" s="97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7"/>
      <c r="BS206" s="107"/>
      <c r="BT206" s="107"/>
      <c r="BU206" s="107"/>
      <c r="BV206" s="107"/>
      <c r="BW206" s="107"/>
      <c r="BX206" s="75"/>
      <c r="BY206" s="75"/>
      <c r="BZ206" s="75"/>
      <c r="CA206" s="75"/>
      <c r="CB206" s="75"/>
      <c r="CC206" s="75"/>
      <c r="CD206" s="75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2"/>
      <c r="CR206" s="102"/>
      <c r="CS206" s="102"/>
      <c r="CT206" s="102"/>
      <c r="CU206" s="102"/>
      <c r="CV206" s="102"/>
      <c r="CW206" s="102"/>
      <c r="CX206" s="102"/>
      <c r="CY206" s="102"/>
      <c r="CZ206" s="102"/>
      <c r="DA206" s="102"/>
      <c r="DB206" s="102"/>
      <c r="DC206" s="102"/>
      <c r="DD206" s="102"/>
      <c r="DE206" s="102"/>
      <c r="DF206" s="102"/>
      <c r="DG206" s="102"/>
      <c r="DH206" s="102"/>
      <c r="DI206" s="102"/>
      <c r="DJ206" s="102"/>
      <c r="DK206" s="102"/>
      <c r="DL206" s="102"/>
      <c r="DM206" s="102"/>
      <c r="DN206" s="102"/>
      <c r="DO206" s="102"/>
      <c r="DP206" s="102"/>
    </row>
    <row r="207" spans="1:120" x14ac:dyDescent="0.25">
      <c r="A207" s="4"/>
      <c r="D207"/>
      <c r="E207"/>
      <c r="F207"/>
      <c r="J207" s="68" t="str">
        <f t="shared" si="84"/>
        <v/>
      </c>
      <c r="K207" s="68" t="str">
        <f t="shared" si="85"/>
        <v/>
      </c>
      <c r="L207" s="69" t="str">
        <f t="shared" si="86"/>
        <v/>
      </c>
      <c r="M207" s="69" t="str">
        <f t="shared" si="87"/>
        <v/>
      </c>
      <c r="N207" s="69" t="str">
        <f>IF(A207="","",Tabela1[[#This Row],[PTC]]*Tabela1[[#This Row],[ODDC]])</f>
        <v/>
      </c>
      <c r="O207" s="69" t="str">
        <f>IF(A207="","",Tabela1[[#This Row],[PTV]]*Tabela1[[#This Row],[ODDV]])</f>
        <v/>
      </c>
      <c r="P207" s="68" t="str">
        <f t="shared" si="88"/>
        <v/>
      </c>
      <c r="Q207" s="68" t="str">
        <f t="shared" si="89"/>
        <v/>
      </c>
      <c r="R207" s="68" t="str">
        <f t="shared" si="90"/>
        <v/>
      </c>
      <c r="S207" s="68" t="str">
        <f t="shared" si="91"/>
        <v/>
      </c>
      <c r="T207" s="68" t="str">
        <f>IF(A207="","",IF(F207="D",Tabela1[[#This Row],[ODDE]]-1,-1))</f>
        <v/>
      </c>
      <c r="U207" s="70" t="str">
        <f>IF(A207="","",IF(AND(Tabela1[[#This Row],[FTHG]]&gt;3,F207="H"),1,0))</f>
        <v/>
      </c>
      <c r="V207" s="70" t="str">
        <f>IF(A207="","",IF(AND(Tabela1[[#This Row],[FTAG]]&gt;3,F207="A"),1,0))</f>
        <v/>
      </c>
      <c r="W207" s="70" t="str">
        <f t="shared" si="92"/>
        <v/>
      </c>
      <c r="X207" s="70" t="str">
        <f t="shared" si="93"/>
        <v/>
      </c>
      <c r="Y207" s="71" t="str">
        <f t="shared" si="94"/>
        <v/>
      </c>
      <c r="Z207" s="70" t="str">
        <f t="shared" si="95"/>
        <v/>
      </c>
      <c r="AA207" s="70" t="str">
        <f t="shared" si="96"/>
        <v/>
      </c>
      <c r="AB207" s="70" t="str">
        <f t="shared" si="97"/>
        <v/>
      </c>
      <c r="AC207" s="71" t="str">
        <f t="shared" si="98"/>
        <v/>
      </c>
      <c r="AD207" s="72" t="str">
        <f t="shared" si="99"/>
        <v/>
      </c>
      <c r="AE207" s="73" t="str">
        <f>IF(A207="","",COUNT($N$2:N207))</f>
        <v/>
      </c>
      <c r="AF207" s="74" t="str">
        <f t="shared" si="100"/>
        <v/>
      </c>
      <c r="AG207" s="74" t="str">
        <f t="shared" si="101"/>
        <v/>
      </c>
      <c r="AH207" s="74" t="str">
        <f t="shared" si="102"/>
        <v/>
      </c>
      <c r="AI207" s="74" t="str">
        <f t="shared" si="103"/>
        <v/>
      </c>
      <c r="AJ207" s="74" t="str">
        <f t="shared" si="104"/>
        <v/>
      </c>
      <c r="AK207" s="74" t="str">
        <f>IF(A207="","",1/Tabela1[[#This Row],[ODDC]])</f>
        <v/>
      </c>
      <c r="AL207" s="74" t="str">
        <f>IF(A207="","",1/Tabela1[[#This Row],[ODDE]])</f>
        <v/>
      </c>
      <c r="AM207" s="74" t="str">
        <f>IF(A207="","",1/Tabela1[[#This Row],[ODDV]])</f>
        <v/>
      </c>
      <c r="AN207" s="74" t="str">
        <f>IF(A207="","",1-(Tabela1[[#This Row],[p(H)]]+Tabela1[[#This Row],[p(D)]]+Tabela1[[#This Row],[p(A)]]))</f>
        <v/>
      </c>
      <c r="AO207" s="74" t="str">
        <f>IF(A207="","",IFERROR(Tabela1[[#This Row],[p(H)]]/Tabela1[[#This Row],[FTHG]],1))</f>
        <v/>
      </c>
      <c r="AP207" s="74" t="str">
        <f>IF(A207="","",IFERROR(Tabela1[[#This Row],[p(A)]]/Tabela1[[#This Row],[FTAG]],1))</f>
        <v/>
      </c>
      <c r="AQ207" s="107"/>
      <c r="AR207" s="107"/>
      <c r="AS207" s="107"/>
      <c r="AT207" s="107"/>
      <c r="AU207" s="107"/>
      <c r="AV207" s="107"/>
      <c r="AW207" s="107"/>
      <c r="AX207" s="107"/>
      <c r="AY207" s="107"/>
      <c r="AZ207" s="107"/>
      <c r="BA207" s="107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7"/>
      <c r="BS207" s="107"/>
      <c r="BT207" s="107"/>
      <c r="BU207" s="107"/>
      <c r="BV207" s="107"/>
      <c r="BW207" s="107"/>
      <c r="BX207" s="107"/>
      <c r="BY207" s="107"/>
      <c r="BZ207" s="107"/>
      <c r="CA207" s="107"/>
      <c r="CB207" s="107"/>
      <c r="CC207" s="107"/>
      <c r="CD207" s="107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2"/>
      <c r="CR207" s="102"/>
      <c r="CS207" s="102"/>
      <c r="CT207" s="102"/>
      <c r="CU207" s="102"/>
      <c r="CV207" s="102"/>
      <c r="CW207" s="102"/>
      <c r="CX207" s="102"/>
      <c r="CY207" s="102"/>
      <c r="CZ207" s="102"/>
      <c r="DA207" s="102"/>
      <c r="DB207" s="102"/>
      <c r="DC207" s="102"/>
      <c r="DD207" s="102"/>
      <c r="DE207" s="102"/>
      <c r="DF207" s="102"/>
      <c r="DG207" s="102"/>
      <c r="DH207" s="102"/>
      <c r="DI207" s="102"/>
      <c r="DJ207" s="102"/>
      <c r="DK207" s="102"/>
      <c r="DL207" s="102"/>
      <c r="DM207" s="102"/>
      <c r="DN207" s="102"/>
      <c r="DO207" s="102"/>
      <c r="DP207" s="102"/>
    </row>
    <row r="208" spans="1:120" x14ac:dyDescent="0.25">
      <c r="A208" s="4"/>
      <c r="D208"/>
      <c r="E208"/>
      <c r="F208"/>
      <c r="J208" s="68" t="str">
        <f t="shared" si="84"/>
        <v/>
      </c>
      <c r="K208" s="68" t="str">
        <f t="shared" si="85"/>
        <v/>
      </c>
      <c r="L208" s="69" t="str">
        <f t="shared" si="86"/>
        <v/>
      </c>
      <c r="M208" s="69" t="str">
        <f t="shared" si="87"/>
        <v/>
      </c>
      <c r="N208" s="69" t="str">
        <f>IF(A208="","",Tabela1[[#This Row],[PTC]]*Tabela1[[#This Row],[ODDC]])</f>
        <v/>
      </c>
      <c r="O208" s="69" t="str">
        <f>IF(A208="","",Tabela1[[#This Row],[PTV]]*Tabela1[[#This Row],[ODDV]])</f>
        <v/>
      </c>
      <c r="P208" s="68" t="str">
        <f t="shared" si="88"/>
        <v/>
      </c>
      <c r="Q208" s="68" t="str">
        <f t="shared" si="89"/>
        <v/>
      </c>
      <c r="R208" s="68" t="str">
        <f t="shared" si="90"/>
        <v/>
      </c>
      <c r="S208" s="68" t="str">
        <f t="shared" si="91"/>
        <v/>
      </c>
      <c r="T208" s="68" t="str">
        <f>IF(A208="","",IF(F208="D",Tabela1[[#This Row],[ODDE]]-1,-1))</f>
        <v/>
      </c>
      <c r="U208" s="70" t="str">
        <f>IF(A208="","",IF(AND(Tabela1[[#This Row],[FTHG]]&gt;3,F208="H"),1,0))</f>
        <v/>
      </c>
      <c r="V208" s="70" t="str">
        <f>IF(A208="","",IF(AND(Tabela1[[#This Row],[FTAG]]&gt;3,F208="A"),1,0))</f>
        <v/>
      </c>
      <c r="W208" s="70" t="str">
        <f t="shared" si="92"/>
        <v/>
      </c>
      <c r="X208" s="70" t="str">
        <f t="shared" si="93"/>
        <v/>
      </c>
      <c r="Y208" s="71" t="str">
        <f t="shared" si="94"/>
        <v/>
      </c>
      <c r="Z208" s="70" t="str">
        <f t="shared" si="95"/>
        <v/>
      </c>
      <c r="AA208" s="70" t="str">
        <f t="shared" si="96"/>
        <v/>
      </c>
      <c r="AB208" s="70" t="str">
        <f t="shared" si="97"/>
        <v/>
      </c>
      <c r="AC208" s="71" t="str">
        <f t="shared" si="98"/>
        <v/>
      </c>
      <c r="AD208" s="72" t="str">
        <f t="shared" si="99"/>
        <v/>
      </c>
      <c r="AE208" s="73" t="str">
        <f>IF(A208="","",COUNT($N$2:N208))</f>
        <v/>
      </c>
      <c r="AF208" s="74" t="str">
        <f t="shared" si="100"/>
        <v/>
      </c>
      <c r="AG208" s="74" t="str">
        <f t="shared" si="101"/>
        <v/>
      </c>
      <c r="AH208" s="74" t="str">
        <f t="shared" si="102"/>
        <v/>
      </c>
      <c r="AI208" s="74" t="str">
        <f t="shared" si="103"/>
        <v/>
      </c>
      <c r="AJ208" s="74" t="str">
        <f t="shared" si="104"/>
        <v/>
      </c>
      <c r="AK208" s="74" t="str">
        <f>IF(A208="","",1/Tabela1[[#This Row],[ODDC]])</f>
        <v/>
      </c>
      <c r="AL208" s="74" t="str">
        <f>IF(A208="","",1/Tabela1[[#This Row],[ODDE]])</f>
        <v/>
      </c>
      <c r="AM208" s="74" t="str">
        <f>IF(A208="","",1/Tabela1[[#This Row],[ODDV]])</f>
        <v/>
      </c>
      <c r="AN208" s="74" t="str">
        <f>IF(A208="","",1-(Tabela1[[#This Row],[p(H)]]+Tabela1[[#This Row],[p(D)]]+Tabela1[[#This Row],[p(A)]]))</f>
        <v/>
      </c>
      <c r="AO208" s="74" t="str">
        <f>IF(A208="","",IFERROR(Tabela1[[#This Row],[p(H)]]/Tabela1[[#This Row],[FTHG]],1))</f>
        <v/>
      </c>
      <c r="AP208" s="74" t="str">
        <f>IF(A208="","",IFERROR(Tabela1[[#This Row],[p(A)]]/Tabela1[[#This Row],[FTAG]],1))</f>
        <v/>
      </c>
      <c r="AQ208" s="107"/>
      <c r="AR208" s="107"/>
      <c r="AS208" s="107"/>
      <c r="AT208" s="107"/>
      <c r="AU208" s="107"/>
      <c r="AV208" s="107"/>
      <c r="AW208" s="107"/>
      <c r="AX208" s="107"/>
      <c r="AY208" s="107"/>
      <c r="AZ208" s="107"/>
      <c r="BA208" s="107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7"/>
      <c r="BS208" s="107"/>
      <c r="BT208" s="107"/>
      <c r="BU208" s="107"/>
      <c r="BV208" s="107"/>
      <c r="BW208" s="107"/>
      <c r="BX208" s="107"/>
      <c r="BY208" s="107"/>
      <c r="BZ208" s="107"/>
      <c r="CA208" s="107"/>
      <c r="CB208" s="107"/>
      <c r="CC208" s="107"/>
      <c r="CD208" s="107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2"/>
      <c r="CR208" s="102"/>
      <c r="CS208" s="102"/>
      <c r="CT208" s="102"/>
      <c r="CU208" s="102"/>
      <c r="CV208" s="102"/>
      <c r="CW208" s="102"/>
      <c r="CX208" s="102"/>
      <c r="CY208" s="102"/>
      <c r="CZ208" s="102"/>
      <c r="DA208" s="102"/>
      <c r="DB208" s="102"/>
      <c r="DC208" s="102"/>
      <c r="DD208" s="102"/>
      <c r="DE208" s="102"/>
      <c r="DF208" s="102"/>
      <c r="DG208" s="102"/>
      <c r="DH208" s="102"/>
      <c r="DI208" s="102"/>
      <c r="DJ208" s="102"/>
      <c r="DK208" s="102"/>
      <c r="DL208" s="102"/>
      <c r="DM208" s="102"/>
      <c r="DN208" s="102"/>
      <c r="DO208" s="102"/>
      <c r="DP208" s="102"/>
    </row>
    <row r="209" spans="1:120" x14ac:dyDescent="0.25">
      <c r="A209" s="4"/>
      <c r="D209"/>
      <c r="E209"/>
      <c r="F209"/>
      <c r="J209" s="68" t="str">
        <f t="shared" si="84"/>
        <v/>
      </c>
      <c r="K209" s="68" t="str">
        <f t="shared" si="85"/>
        <v/>
      </c>
      <c r="L209" s="69" t="str">
        <f t="shared" si="86"/>
        <v/>
      </c>
      <c r="M209" s="69" t="str">
        <f t="shared" si="87"/>
        <v/>
      </c>
      <c r="N209" s="69" t="str">
        <f>IF(A209="","",Tabela1[[#This Row],[PTC]]*Tabela1[[#This Row],[ODDC]])</f>
        <v/>
      </c>
      <c r="O209" s="69" t="str">
        <f>IF(A209="","",Tabela1[[#This Row],[PTV]]*Tabela1[[#This Row],[ODDV]])</f>
        <v/>
      </c>
      <c r="P209" s="68" t="str">
        <f t="shared" si="88"/>
        <v/>
      </c>
      <c r="Q209" s="68" t="str">
        <f t="shared" si="89"/>
        <v/>
      </c>
      <c r="R209" s="68" t="str">
        <f t="shared" si="90"/>
        <v/>
      </c>
      <c r="S209" s="68" t="str">
        <f t="shared" si="91"/>
        <v/>
      </c>
      <c r="T209" s="68" t="str">
        <f>IF(A209="","",IF(F209="D",Tabela1[[#This Row],[ODDE]]-1,-1))</f>
        <v/>
      </c>
      <c r="U209" s="70" t="str">
        <f>IF(A209="","",IF(AND(Tabela1[[#This Row],[FTHG]]&gt;3,F209="H"),1,0))</f>
        <v/>
      </c>
      <c r="V209" s="70" t="str">
        <f>IF(A209="","",IF(AND(Tabela1[[#This Row],[FTAG]]&gt;3,F209="A"),1,0))</f>
        <v/>
      </c>
      <c r="W209" s="70" t="str">
        <f t="shared" si="92"/>
        <v/>
      </c>
      <c r="X209" s="70" t="str">
        <f t="shared" si="93"/>
        <v/>
      </c>
      <c r="Y209" s="71" t="str">
        <f t="shared" si="94"/>
        <v/>
      </c>
      <c r="Z209" s="70" t="str">
        <f t="shared" si="95"/>
        <v/>
      </c>
      <c r="AA209" s="70" t="str">
        <f t="shared" si="96"/>
        <v/>
      </c>
      <c r="AB209" s="70" t="str">
        <f t="shared" si="97"/>
        <v/>
      </c>
      <c r="AC209" s="71" t="str">
        <f t="shared" si="98"/>
        <v/>
      </c>
      <c r="AD209" s="72" t="str">
        <f t="shared" si="99"/>
        <v/>
      </c>
      <c r="AE209" s="73" t="str">
        <f>IF(A209="","",COUNT($N$2:N209))</f>
        <v/>
      </c>
      <c r="AF209" s="74" t="str">
        <f t="shared" si="100"/>
        <v/>
      </c>
      <c r="AG209" s="74" t="str">
        <f t="shared" si="101"/>
        <v/>
      </c>
      <c r="AH209" s="74" t="str">
        <f t="shared" si="102"/>
        <v/>
      </c>
      <c r="AI209" s="74" t="str">
        <f t="shared" si="103"/>
        <v/>
      </c>
      <c r="AJ209" s="74" t="str">
        <f t="shared" si="104"/>
        <v/>
      </c>
      <c r="AK209" s="74" t="str">
        <f>IF(A209="","",1/Tabela1[[#This Row],[ODDC]])</f>
        <v/>
      </c>
      <c r="AL209" s="74" t="str">
        <f>IF(A209="","",1/Tabela1[[#This Row],[ODDE]])</f>
        <v/>
      </c>
      <c r="AM209" s="74" t="str">
        <f>IF(A209="","",1/Tabela1[[#This Row],[ODDV]])</f>
        <v/>
      </c>
      <c r="AN209" s="74" t="str">
        <f>IF(A209="","",1-(Tabela1[[#This Row],[p(H)]]+Tabela1[[#This Row],[p(D)]]+Tabela1[[#This Row],[p(A)]]))</f>
        <v/>
      </c>
      <c r="AO209" s="74" t="str">
        <f>IF(A209="","",IFERROR(Tabela1[[#This Row],[p(H)]]/Tabela1[[#This Row],[FTHG]],1))</f>
        <v/>
      </c>
      <c r="AP209" s="74" t="str">
        <f>IF(A209="","",IFERROR(Tabela1[[#This Row],[p(A)]]/Tabela1[[#This Row],[FTAG]],1))</f>
        <v/>
      </c>
      <c r="AQ209" s="107"/>
      <c r="AR209" s="107"/>
      <c r="AS209" s="107"/>
      <c r="AT209" s="107"/>
      <c r="AU209" s="107"/>
      <c r="AV209" s="107"/>
      <c r="AW209" s="107"/>
      <c r="AX209" s="107"/>
      <c r="AY209" s="107"/>
      <c r="AZ209" s="107"/>
      <c r="BA209" s="107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7"/>
      <c r="BS209" s="107"/>
      <c r="BT209" s="107"/>
      <c r="BU209" s="107"/>
      <c r="BV209" s="107"/>
      <c r="BW209" s="107"/>
      <c r="BX209" s="107"/>
      <c r="BY209" s="107"/>
      <c r="BZ209" s="107"/>
      <c r="CA209" s="107"/>
      <c r="CB209" s="107"/>
      <c r="CC209" s="107"/>
      <c r="CD209" s="107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2"/>
      <c r="CR209" s="102"/>
      <c r="CS209" s="102"/>
      <c r="CT209" s="102"/>
      <c r="CU209" s="102"/>
      <c r="CV209" s="102"/>
      <c r="CW209" s="102"/>
      <c r="CX209" s="102"/>
      <c r="CY209" s="102"/>
      <c r="CZ209" s="102"/>
      <c r="DA209" s="102"/>
      <c r="DB209" s="102"/>
      <c r="DC209" s="102"/>
      <c r="DD209" s="102"/>
      <c r="DE209" s="102"/>
      <c r="DF209" s="102"/>
      <c r="DG209" s="102"/>
      <c r="DH209" s="102"/>
      <c r="DI209" s="102"/>
      <c r="DJ209" s="102"/>
      <c r="DK209" s="102"/>
      <c r="DL209" s="102"/>
      <c r="DM209" s="102"/>
      <c r="DN209" s="102"/>
      <c r="DO209" s="102"/>
      <c r="DP209" s="102"/>
    </row>
    <row r="210" spans="1:120" x14ac:dyDescent="0.25">
      <c r="A210" s="4"/>
      <c r="D210"/>
      <c r="E210"/>
      <c r="F210"/>
      <c r="J210" s="68" t="str">
        <f t="shared" si="84"/>
        <v/>
      </c>
      <c r="K210" s="68" t="str">
        <f t="shared" si="85"/>
        <v/>
      </c>
      <c r="L210" s="69" t="str">
        <f t="shared" si="86"/>
        <v/>
      </c>
      <c r="M210" s="69" t="str">
        <f t="shared" si="87"/>
        <v/>
      </c>
      <c r="N210" s="69" t="str">
        <f>IF(A210="","",Tabela1[[#This Row],[PTC]]*Tabela1[[#This Row],[ODDC]])</f>
        <v/>
      </c>
      <c r="O210" s="69" t="str">
        <f>IF(A210="","",Tabela1[[#This Row],[PTV]]*Tabela1[[#This Row],[ODDV]])</f>
        <v/>
      </c>
      <c r="P210" s="68" t="str">
        <f t="shared" si="88"/>
        <v/>
      </c>
      <c r="Q210" s="68" t="str">
        <f t="shared" si="89"/>
        <v/>
      </c>
      <c r="R210" s="68" t="str">
        <f t="shared" si="90"/>
        <v/>
      </c>
      <c r="S210" s="68" t="str">
        <f t="shared" si="91"/>
        <v/>
      </c>
      <c r="T210" s="68" t="str">
        <f>IF(A210="","",IF(F210="D",Tabela1[[#This Row],[ODDE]]-1,-1))</f>
        <v/>
      </c>
      <c r="U210" s="70" t="str">
        <f>IF(A210="","",IF(AND(Tabela1[[#This Row],[FTHG]]&gt;3,F210="H"),1,0))</f>
        <v/>
      </c>
      <c r="V210" s="70" t="str">
        <f>IF(A210="","",IF(AND(Tabela1[[#This Row],[FTAG]]&gt;3,F210="A"),1,0))</f>
        <v/>
      </c>
      <c r="W210" s="70" t="str">
        <f t="shared" si="92"/>
        <v/>
      </c>
      <c r="X210" s="70" t="str">
        <f t="shared" si="93"/>
        <v/>
      </c>
      <c r="Y210" s="71" t="str">
        <f t="shared" si="94"/>
        <v/>
      </c>
      <c r="Z210" s="70" t="str">
        <f t="shared" si="95"/>
        <v/>
      </c>
      <c r="AA210" s="70" t="str">
        <f t="shared" si="96"/>
        <v/>
      </c>
      <c r="AB210" s="70" t="str">
        <f t="shared" si="97"/>
        <v/>
      </c>
      <c r="AC210" s="71" t="str">
        <f t="shared" si="98"/>
        <v/>
      </c>
      <c r="AD210" s="72" t="str">
        <f t="shared" si="99"/>
        <v/>
      </c>
      <c r="AE210" s="73" t="str">
        <f>IF(A210="","",COUNT($N$2:N210))</f>
        <v/>
      </c>
      <c r="AF210" s="74" t="str">
        <f t="shared" si="100"/>
        <v/>
      </c>
      <c r="AG210" s="74" t="str">
        <f t="shared" si="101"/>
        <v/>
      </c>
      <c r="AH210" s="74" t="str">
        <f t="shared" si="102"/>
        <v/>
      </c>
      <c r="AI210" s="74" t="str">
        <f t="shared" si="103"/>
        <v/>
      </c>
      <c r="AJ210" s="74" t="str">
        <f t="shared" si="104"/>
        <v/>
      </c>
      <c r="AK210" s="74" t="str">
        <f>IF(A210="","",1/Tabela1[[#This Row],[ODDC]])</f>
        <v/>
      </c>
      <c r="AL210" s="74" t="str">
        <f>IF(A210="","",1/Tabela1[[#This Row],[ODDE]])</f>
        <v/>
      </c>
      <c r="AM210" s="74" t="str">
        <f>IF(A210="","",1/Tabela1[[#This Row],[ODDV]])</f>
        <v/>
      </c>
      <c r="AN210" s="74" t="str">
        <f>IF(A210="","",1-(Tabela1[[#This Row],[p(H)]]+Tabela1[[#This Row],[p(D)]]+Tabela1[[#This Row],[p(A)]]))</f>
        <v/>
      </c>
      <c r="AO210" s="74" t="str">
        <f>IF(A210="","",IFERROR(Tabela1[[#This Row],[p(H)]]/Tabela1[[#This Row],[FTHG]],1))</f>
        <v/>
      </c>
      <c r="AP210" s="74" t="str">
        <f>IF(A210="","",IFERROR(Tabela1[[#This Row],[p(A)]]/Tabela1[[#This Row],[FTAG]],1))</f>
        <v/>
      </c>
      <c r="AQ210" s="107"/>
      <c r="AR210" s="107"/>
      <c r="AS210" s="107"/>
      <c r="AT210" s="107"/>
      <c r="AU210" s="107"/>
      <c r="AV210" s="107"/>
      <c r="AW210" s="107"/>
      <c r="AX210" s="107"/>
      <c r="AY210" s="107"/>
      <c r="AZ210" s="107"/>
      <c r="BA210" s="107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7"/>
      <c r="BS210" s="107"/>
      <c r="BT210" s="107"/>
      <c r="BU210" s="107"/>
      <c r="BV210" s="107"/>
      <c r="BW210" s="107"/>
      <c r="BX210" s="107"/>
      <c r="BY210" s="107"/>
      <c r="BZ210" s="107"/>
      <c r="CA210" s="107"/>
      <c r="CB210" s="107"/>
      <c r="CC210" s="107"/>
      <c r="CD210" s="107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2"/>
      <c r="CR210" s="102"/>
      <c r="CS210" s="102"/>
      <c r="CT210" s="102"/>
      <c r="CU210" s="102"/>
      <c r="CV210" s="102"/>
      <c r="CW210" s="102"/>
      <c r="CX210" s="102"/>
      <c r="CY210" s="102"/>
      <c r="CZ210" s="102"/>
      <c r="DA210" s="102"/>
      <c r="DB210" s="102"/>
      <c r="DC210" s="102"/>
      <c r="DD210" s="102"/>
      <c r="DE210" s="102"/>
      <c r="DF210" s="102"/>
      <c r="DG210" s="102"/>
      <c r="DH210" s="102"/>
      <c r="DI210" s="102"/>
      <c r="DJ210" s="102"/>
      <c r="DK210" s="102"/>
      <c r="DL210" s="102"/>
      <c r="DM210" s="102"/>
      <c r="DN210" s="102"/>
      <c r="DO210" s="102"/>
      <c r="DP210" s="102"/>
    </row>
    <row r="211" spans="1:120" x14ac:dyDescent="0.25">
      <c r="A211" s="4"/>
      <c r="D211"/>
      <c r="E211"/>
      <c r="F211"/>
      <c r="J211" s="68" t="str">
        <f t="shared" si="84"/>
        <v/>
      </c>
      <c r="K211" s="68" t="str">
        <f t="shared" si="85"/>
        <v/>
      </c>
      <c r="L211" s="69" t="str">
        <f t="shared" si="86"/>
        <v/>
      </c>
      <c r="M211" s="69" t="str">
        <f t="shared" si="87"/>
        <v/>
      </c>
      <c r="N211" s="69" t="str">
        <f>IF(A211="","",Tabela1[[#This Row],[PTC]]*Tabela1[[#This Row],[ODDC]])</f>
        <v/>
      </c>
      <c r="O211" s="69" t="str">
        <f>IF(A211="","",Tabela1[[#This Row],[PTV]]*Tabela1[[#This Row],[ODDV]])</f>
        <v/>
      </c>
      <c r="P211" s="68" t="str">
        <f t="shared" si="88"/>
        <v/>
      </c>
      <c r="Q211" s="68" t="str">
        <f t="shared" si="89"/>
        <v/>
      </c>
      <c r="R211" s="68" t="str">
        <f t="shared" si="90"/>
        <v/>
      </c>
      <c r="S211" s="68" t="str">
        <f t="shared" si="91"/>
        <v/>
      </c>
      <c r="T211" s="68" t="str">
        <f>IF(A211="","",IF(F211="D",Tabela1[[#This Row],[ODDE]]-1,-1))</f>
        <v/>
      </c>
      <c r="U211" s="70" t="str">
        <f>IF(A211="","",IF(AND(Tabela1[[#This Row],[FTHG]]&gt;3,F211="H"),1,0))</f>
        <v/>
      </c>
      <c r="V211" s="70" t="str">
        <f>IF(A211="","",IF(AND(Tabela1[[#This Row],[FTAG]]&gt;3,F211="A"),1,0))</f>
        <v/>
      </c>
      <c r="W211" s="70" t="str">
        <f t="shared" si="92"/>
        <v/>
      </c>
      <c r="X211" s="70" t="str">
        <f t="shared" si="93"/>
        <v/>
      </c>
      <c r="Y211" s="71" t="str">
        <f t="shared" si="94"/>
        <v/>
      </c>
      <c r="Z211" s="70" t="str">
        <f t="shared" si="95"/>
        <v/>
      </c>
      <c r="AA211" s="70" t="str">
        <f t="shared" si="96"/>
        <v/>
      </c>
      <c r="AB211" s="70" t="str">
        <f t="shared" si="97"/>
        <v/>
      </c>
      <c r="AC211" s="71" t="str">
        <f t="shared" si="98"/>
        <v/>
      </c>
      <c r="AD211" s="72" t="str">
        <f t="shared" si="99"/>
        <v/>
      </c>
      <c r="AE211" s="73" t="str">
        <f>IF(A211="","",COUNT($N$2:N211))</f>
        <v/>
      </c>
      <c r="AF211" s="74" t="str">
        <f t="shared" si="100"/>
        <v/>
      </c>
      <c r="AG211" s="74" t="str">
        <f t="shared" si="101"/>
        <v/>
      </c>
      <c r="AH211" s="74" t="str">
        <f t="shared" si="102"/>
        <v/>
      </c>
      <c r="AI211" s="74" t="str">
        <f t="shared" si="103"/>
        <v/>
      </c>
      <c r="AJ211" s="74" t="str">
        <f t="shared" si="104"/>
        <v/>
      </c>
      <c r="AK211" s="74" t="str">
        <f>IF(A211="","",1/Tabela1[[#This Row],[ODDC]])</f>
        <v/>
      </c>
      <c r="AL211" s="74" t="str">
        <f>IF(A211="","",1/Tabela1[[#This Row],[ODDE]])</f>
        <v/>
      </c>
      <c r="AM211" s="74" t="str">
        <f>IF(A211="","",1/Tabela1[[#This Row],[ODDV]])</f>
        <v/>
      </c>
      <c r="AN211" s="74" t="str">
        <f>IF(A211="","",1-(Tabela1[[#This Row],[p(H)]]+Tabela1[[#This Row],[p(D)]]+Tabela1[[#This Row],[p(A)]]))</f>
        <v/>
      </c>
      <c r="AO211" s="74" t="str">
        <f>IF(A211="","",IFERROR(Tabela1[[#This Row],[p(H)]]/Tabela1[[#This Row],[FTHG]],1))</f>
        <v/>
      </c>
      <c r="AP211" s="74" t="str">
        <f>IF(A211="","",IFERROR(Tabela1[[#This Row],[p(A)]]/Tabela1[[#This Row],[FTAG]],1))</f>
        <v/>
      </c>
      <c r="AQ211" s="107"/>
      <c r="AR211" s="107"/>
      <c r="AS211" s="107"/>
      <c r="AT211" s="107"/>
      <c r="AU211" s="107"/>
      <c r="AV211" s="107"/>
      <c r="AW211" s="107"/>
      <c r="AX211" s="107"/>
      <c r="AY211" s="107"/>
      <c r="AZ211" s="107"/>
      <c r="BA211" s="107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7"/>
      <c r="BS211" s="107"/>
      <c r="BT211" s="107"/>
      <c r="BU211" s="107"/>
      <c r="BV211" s="107"/>
      <c r="BW211" s="107"/>
      <c r="BX211" s="107"/>
      <c r="BY211" s="107"/>
      <c r="BZ211" s="107"/>
      <c r="CA211" s="107"/>
      <c r="CB211" s="107"/>
      <c r="CC211" s="107"/>
      <c r="CD211" s="107"/>
      <c r="CE211" s="102"/>
      <c r="CF211" s="102"/>
      <c r="CG211" s="102"/>
      <c r="CH211" s="102"/>
      <c r="CI211" s="102"/>
      <c r="CJ211" s="102"/>
      <c r="CK211" s="102"/>
      <c r="CL211" s="102"/>
      <c r="CM211" s="102"/>
      <c r="CN211" s="102"/>
      <c r="CO211" s="102"/>
      <c r="CP211" s="102"/>
      <c r="CQ211" s="102"/>
      <c r="CR211" s="102"/>
      <c r="CS211" s="102"/>
      <c r="CT211" s="102"/>
      <c r="CU211" s="102"/>
      <c r="CV211" s="102"/>
      <c r="CW211" s="102"/>
      <c r="CX211" s="102"/>
      <c r="CY211" s="102"/>
      <c r="CZ211" s="102"/>
      <c r="DA211" s="102"/>
      <c r="DB211" s="102"/>
      <c r="DC211" s="102"/>
      <c r="DD211" s="102"/>
      <c r="DE211" s="102"/>
      <c r="DF211" s="102"/>
      <c r="DG211" s="102"/>
      <c r="DH211" s="102"/>
      <c r="DI211" s="102"/>
      <c r="DJ211" s="102"/>
      <c r="DK211" s="102"/>
      <c r="DL211" s="102"/>
      <c r="DM211" s="102"/>
      <c r="DN211" s="102"/>
      <c r="DO211" s="102"/>
      <c r="DP211" s="102"/>
    </row>
    <row r="212" spans="1:120" x14ac:dyDescent="0.25">
      <c r="A212" s="4"/>
      <c r="D212"/>
      <c r="E212"/>
      <c r="F212"/>
      <c r="J212" s="68" t="str">
        <f t="shared" si="84"/>
        <v/>
      </c>
      <c r="K212" s="68" t="str">
        <f t="shared" si="85"/>
        <v/>
      </c>
      <c r="L212" s="69" t="str">
        <f t="shared" si="86"/>
        <v/>
      </c>
      <c r="M212" s="69" t="str">
        <f t="shared" si="87"/>
        <v/>
      </c>
      <c r="N212" s="69" t="str">
        <f>IF(A212="","",Tabela1[[#This Row],[PTC]]*Tabela1[[#This Row],[ODDC]])</f>
        <v/>
      </c>
      <c r="O212" s="69" t="str">
        <f>IF(A212="","",Tabela1[[#This Row],[PTV]]*Tabela1[[#This Row],[ODDV]])</f>
        <v/>
      </c>
      <c r="P212" s="68" t="str">
        <f t="shared" si="88"/>
        <v/>
      </c>
      <c r="Q212" s="68" t="str">
        <f t="shared" si="89"/>
        <v/>
      </c>
      <c r="R212" s="68" t="str">
        <f t="shared" si="90"/>
        <v/>
      </c>
      <c r="S212" s="68" t="str">
        <f t="shared" si="91"/>
        <v/>
      </c>
      <c r="T212" s="68" t="str">
        <f>IF(A212="","",IF(F212="D",Tabela1[[#This Row],[ODDE]]-1,-1))</f>
        <v/>
      </c>
      <c r="U212" s="70" t="str">
        <f>IF(A212="","",IF(AND(Tabela1[[#This Row],[FTHG]]&gt;3,F212="H"),1,0))</f>
        <v/>
      </c>
      <c r="V212" s="70" t="str">
        <f>IF(A212="","",IF(AND(Tabela1[[#This Row],[FTAG]]&gt;3,F212="A"),1,0))</f>
        <v/>
      </c>
      <c r="W212" s="70" t="str">
        <f t="shared" si="92"/>
        <v/>
      </c>
      <c r="X212" s="70" t="str">
        <f t="shared" si="93"/>
        <v/>
      </c>
      <c r="Y212" s="71" t="str">
        <f t="shared" si="94"/>
        <v/>
      </c>
      <c r="Z212" s="70" t="str">
        <f t="shared" si="95"/>
        <v/>
      </c>
      <c r="AA212" s="70" t="str">
        <f t="shared" si="96"/>
        <v/>
      </c>
      <c r="AB212" s="70" t="str">
        <f t="shared" si="97"/>
        <v/>
      </c>
      <c r="AC212" s="71" t="str">
        <f t="shared" si="98"/>
        <v/>
      </c>
      <c r="AD212" s="72" t="str">
        <f t="shared" si="99"/>
        <v/>
      </c>
      <c r="AE212" s="73" t="str">
        <f>IF(A212="","",COUNT($N$2:N212))</f>
        <v/>
      </c>
      <c r="AF212" s="74" t="str">
        <f t="shared" si="100"/>
        <v/>
      </c>
      <c r="AG212" s="74" t="str">
        <f t="shared" si="101"/>
        <v/>
      </c>
      <c r="AH212" s="74" t="str">
        <f t="shared" si="102"/>
        <v/>
      </c>
      <c r="AI212" s="74" t="str">
        <f t="shared" si="103"/>
        <v/>
      </c>
      <c r="AJ212" s="74" t="str">
        <f t="shared" si="104"/>
        <v/>
      </c>
      <c r="AK212" s="74" t="str">
        <f>IF(A212="","",1/Tabela1[[#This Row],[ODDC]])</f>
        <v/>
      </c>
      <c r="AL212" s="74" t="str">
        <f>IF(A212="","",1/Tabela1[[#This Row],[ODDE]])</f>
        <v/>
      </c>
      <c r="AM212" s="74" t="str">
        <f>IF(A212="","",1/Tabela1[[#This Row],[ODDV]])</f>
        <v/>
      </c>
      <c r="AN212" s="74" t="str">
        <f>IF(A212="","",1-(Tabela1[[#This Row],[p(H)]]+Tabela1[[#This Row],[p(D)]]+Tabela1[[#This Row],[p(A)]]))</f>
        <v/>
      </c>
      <c r="AO212" s="74" t="str">
        <f>IF(A212="","",IFERROR(Tabela1[[#This Row],[p(H)]]/Tabela1[[#This Row],[FTHG]],1))</f>
        <v/>
      </c>
      <c r="AP212" s="74" t="str">
        <f>IF(A212="","",IFERROR(Tabela1[[#This Row],[p(A)]]/Tabela1[[#This Row],[FTAG]],1))</f>
        <v/>
      </c>
      <c r="AQ212" s="107"/>
      <c r="AR212" s="107"/>
      <c r="AS212" s="107"/>
      <c r="AT212" s="107"/>
      <c r="AU212" s="107"/>
      <c r="AV212" s="107"/>
      <c r="AW212" s="107"/>
      <c r="AX212" s="107"/>
      <c r="AY212" s="107"/>
      <c r="AZ212" s="107"/>
      <c r="BA212" s="107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7"/>
      <c r="BS212" s="107"/>
      <c r="BT212" s="107"/>
      <c r="BU212" s="107"/>
      <c r="BV212" s="107"/>
      <c r="BW212" s="107"/>
      <c r="BX212" s="107"/>
      <c r="BY212" s="107"/>
      <c r="BZ212" s="107"/>
      <c r="CA212" s="107"/>
      <c r="CB212" s="107"/>
      <c r="CC212" s="107"/>
      <c r="CD212" s="107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2"/>
      <c r="DC212" s="102"/>
      <c r="DD212" s="102"/>
      <c r="DE212" s="102"/>
      <c r="DF212" s="102"/>
      <c r="DG212" s="102"/>
      <c r="DH212" s="102"/>
      <c r="DI212" s="102"/>
      <c r="DJ212" s="102"/>
      <c r="DK212" s="102"/>
      <c r="DL212" s="102"/>
      <c r="DM212" s="102"/>
      <c r="DN212" s="102"/>
      <c r="DO212" s="102"/>
      <c r="DP212" s="102"/>
    </row>
    <row r="213" spans="1:120" x14ac:dyDescent="0.25">
      <c r="A213" s="4"/>
      <c r="D213"/>
      <c r="E213"/>
      <c r="F213"/>
      <c r="J213" s="68" t="str">
        <f t="shared" si="84"/>
        <v/>
      </c>
      <c r="K213" s="68" t="str">
        <f t="shared" si="85"/>
        <v/>
      </c>
      <c r="L213" s="69" t="str">
        <f t="shared" si="86"/>
        <v/>
      </c>
      <c r="M213" s="69" t="str">
        <f t="shared" si="87"/>
        <v/>
      </c>
      <c r="N213" s="69" t="str">
        <f>IF(A213="","",Tabela1[[#This Row],[PTC]]*Tabela1[[#This Row],[ODDC]])</f>
        <v/>
      </c>
      <c r="O213" s="69" t="str">
        <f>IF(A213="","",Tabela1[[#This Row],[PTV]]*Tabela1[[#This Row],[ODDV]])</f>
        <v/>
      </c>
      <c r="P213" s="68" t="str">
        <f t="shared" si="88"/>
        <v/>
      </c>
      <c r="Q213" s="68" t="str">
        <f t="shared" si="89"/>
        <v/>
      </c>
      <c r="R213" s="68" t="str">
        <f t="shared" si="90"/>
        <v/>
      </c>
      <c r="S213" s="68" t="str">
        <f t="shared" si="91"/>
        <v/>
      </c>
      <c r="T213" s="68" t="str">
        <f>IF(A213="","",IF(F213="D",Tabela1[[#This Row],[ODDE]]-1,-1))</f>
        <v/>
      </c>
      <c r="U213" s="70" t="str">
        <f>IF(A213="","",IF(AND(Tabela1[[#This Row],[FTHG]]&gt;3,F213="H"),1,0))</f>
        <v/>
      </c>
      <c r="V213" s="70" t="str">
        <f>IF(A213="","",IF(AND(Tabela1[[#This Row],[FTAG]]&gt;3,F213="A"),1,0))</f>
        <v/>
      </c>
      <c r="W213" s="70" t="str">
        <f t="shared" si="92"/>
        <v/>
      </c>
      <c r="X213" s="70" t="str">
        <f t="shared" si="93"/>
        <v/>
      </c>
      <c r="Y213" s="71" t="str">
        <f t="shared" si="94"/>
        <v/>
      </c>
      <c r="Z213" s="70" t="str">
        <f t="shared" si="95"/>
        <v/>
      </c>
      <c r="AA213" s="70" t="str">
        <f t="shared" si="96"/>
        <v/>
      </c>
      <c r="AB213" s="70" t="str">
        <f t="shared" si="97"/>
        <v/>
      </c>
      <c r="AC213" s="71" t="str">
        <f t="shared" si="98"/>
        <v/>
      </c>
      <c r="AD213" s="72" t="str">
        <f t="shared" si="99"/>
        <v/>
      </c>
      <c r="AE213" s="73" t="str">
        <f>IF(A213="","",COUNT($N$2:N213))</f>
        <v/>
      </c>
      <c r="AF213" s="74" t="str">
        <f t="shared" si="100"/>
        <v/>
      </c>
      <c r="AG213" s="74" t="str">
        <f t="shared" si="101"/>
        <v/>
      </c>
      <c r="AH213" s="74" t="str">
        <f t="shared" si="102"/>
        <v/>
      </c>
      <c r="AI213" s="74" t="str">
        <f t="shared" si="103"/>
        <v/>
      </c>
      <c r="AJ213" s="74" t="str">
        <f t="shared" si="104"/>
        <v/>
      </c>
      <c r="AK213" s="74" t="str">
        <f>IF(A213="","",1/Tabela1[[#This Row],[ODDC]])</f>
        <v/>
      </c>
      <c r="AL213" s="74" t="str">
        <f>IF(A213="","",1/Tabela1[[#This Row],[ODDE]])</f>
        <v/>
      </c>
      <c r="AM213" s="74" t="str">
        <f>IF(A213="","",1/Tabela1[[#This Row],[ODDV]])</f>
        <v/>
      </c>
      <c r="AN213" s="74" t="str">
        <f>IF(A213="","",1-(Tabela1[[#This Row],[p(H)]]+Tabela1[[#This Row],[p(D)]]+Tabela1[[#This Row],[p(A)]]))</f>
        <v/>
      </c>
      <c r="AO213" s="74" t="str">
        <f>IF(A213="","",IFERROR(Tabela1[[#This Row],[p(H)]]/Tabela1[[#This Row],[FTHG]],1))</f>
        <v/>
      </c>
      <c r="AP213" s="74" t="str">
        <f>IF(A213="","",IFERROR(Tabela1[[#This Row],[p(A)]]/Tabela1[[#This Row],[FTAG]],1))</f>
        <v/>
      </c>
      <c r="AQ213" s="107"/>
      <c r="AR213" s="107"/>
      <c r="AS213" s="107"/>
      <c r="AT213" s="107"/>
      <c r="AU213" s="107"/>
      <c r="AV213" s="107"/>
      <c r="AW213" s="107"/>
      <c r="AX213" s="107"/>
      <c r="AY213" s="107"/>
      <c r="AZ213" s="107"/>
      <c r="BA213" s="107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7"/>
      <c r="BS213" s="107"/>
      <c r="BT213" s="107"/>
      <c r="BU213" s="107"/>
      <c r="BV213" s="107"/>
      <c r="BW213" s="107"/>
      <c r="BX213" s="107"/>
      <c r="BY213" s="107"/>
      <c r="BZ213" s="107"/>
      <c r="CA213" s="107"/>
      <c r="CB213" s="107"/>
      <c r="CC213" s="107"/>
      <c r="CD213" s="107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2"/>
      <c r="CR213" s="102"/>
      <c r="CS213" s="102"/>
      <c r="CT213" s="102"/>
      <c r="CU213" s="102"/>
      <c r="CV213" s="102"/>
      <c r="CW213" s="102"/>
      <c r="CX213" s="102"/>
      <c r="CY213" s="102"/>
      <c r="CZ213" s="102"/>
      <c r="DA213" s="102"/>
      <c r="DB213" s="102"/>
      <c r="DC213" s="102"/>
      <c r="DD213" s="102"/>
      <c r="DE213" s="102"/>
      <c r="DF213" s="102"/>
      <c r="DG213" s="102"/>
      <c r="DH213" s="102"/>
      <c r="DI213" s="102"/>
      <c r="DJ213" s="102"/>
      <c r="DK213" s="102"/>
      <c r="DL213" s="102"/>
      <c r="DM213" s="102"/>
      <c r="DN213" s="102"/>
      <c r="DO213" s="102"/>
      <c r="DP213" s="102"/>
    </row>
    <row r="214" spans="1:120" x14ac:dyDescent="0.25">
      <c r="A214" s="4"/>
      <c r="D214"/>
      <c r="E214"/>
      <c r="F214"/>
      <c r="J214" s="68" t="str">
        <f t="shared" si="84"/>
        <v/>
      </c>
      <c r="K214" s="68" t="str">
        <f t="shared" si="85"/>
        <v/>
      </c>
      <c r="L214" s="69" t="str">
        <f t="shared" si="86"/>
        <v/>
      </c>
      <c r="M214" s="69" t="str">
        <f t="shared" si="87"/>
        <v/>
      </c>
      <c r="N214" s="69" t="str">
        <f>IF(A214="","",Tabela1[[#This Row],[PTC]]*Tabela1[[#This Row],[ODDC]])</f>
        <v/>
      </c>
      <c r="O214" s="69" t="str">
        <f>IF(A214="","",Tabela1[[#This Row],[PTV]]*Tabela1[[#This Row],[ODDV]])</f>
        <v/>
      </c>
      <c r="P214" s="68" t="str">
        <f t="shared" si="88"/>
        <v/>
      </c>
      <c r="Q214" s="68" t="str">
        <f t="shared" si="89"/>
        <v/>
      </c>
      <c r="R214" s="68" t="str">
        <f t="shared" si="90"/>
        <v/>
      </c>
      <c r="S214" s="68" t="str">
        <f t="shared" si="91"/>
        <v/>
      </c>
      <c r="T214" s="68" t="str">
        <f>IF(A214="","",IF(F214="D",Tabela1[[#This Row],[ODDE]]-1,-1))</f>
        <v/>
      </c>
      <c r="U214" s="70" t="str">
        <f>IF(A214="","",IF(AND(Tabela1[[#This Row],[FTHG]]&gt;3,F214="H"),1,0))</f>
        <v/>
      </c>
      <c r="V214" s="70" t="str">
        <f>IF(A214="","",IF(AND(Tabela1[[#This Row],[FTAG]]&gt;3,F214="A"),1,0))</f>
        <v/>
      </c>
      <c r="W214" s="70" t="str">
        <f t="shared" si="92"/>
        <v/>
      </c>
      <c r="X214" s="70" t="str">
        <f t="shared" si="93"/>
        <v/>
      </c>
      <c r="Y214" s="71" t="str">
        <f t="shared" si="94"/>
        <v/>
      </c>
      <c r="Z214" s="70" t="str">
        <f t="shared" si="95"/>
        <v/>
      </c>
      <c r="AA214" s="70" t="str">
        <f t="shared" si="96"/>
        <v/>
      </c>
      <c r="AB214" s="70" t="str">
        <f t="shared" si="97"/>
        <v/>
      </c>
      <c r="AC214" s="71" t="str">
        <f t="shared" si="98"/>
        <v/>
      </c>
      <c r="AD214" s="72" t="str">
        <f t="shared" si="99"/>
        <v/>
      </c>
      <c r="AE214" s="73" t="str">
        <f>IF(A214="","",COUNT($N$2:N214))</f>
        <v/>
      </c>
      <c r="AF214" s="74" t="str">
        <f t="shared" si="100"/>
        <v/>
      </c>
      <c r="AG214" s="74" t="str">
        <f t="shared" si="101"/>
        <v/>
      </c>
      <c r="AH214" s="74" t="str">
        <f t="shared" si="102"/>
        <v/>
      </c>
      <c r="AI214" s="74" t="str">
        <f t="shared" si="103"/>
        <v/>
      </c>
      <c r="AJ214" s="74" t="str">
        <f t="shared" si="104"/>
        <v/>
      </c>
      <c r="AK214" s="74" t="str">
        <f>IF(A214="","",1/Tabela1[[#This Row],[ODDC]])</f>
        <v/>
      </c>
      <c r="AL214" s="74" t="str">
        <f>IF(A214="","",1/Tabela1[[#This Row],[ODDE]])</f>
        <v/>
      </c>
      <c r="AM214" s="74" t="str">
        <f>IF(A214="","",1/Tabela1[[#This Row],[ODDV]])</f>
        <v/>
      </c>
      <c r="AN214" s="74" t="str">
        <f>IF(A214="","",1-(Tabela1[[#This Row],[p(H)]]+Tabela1[[#This Row],[p(D)]]+Tabela1[[#This Row],[p(A)]]))</f>
        <v/>
      </c>
      <c r="AO214" s="74" t="str">
        <f>IF(A214="","",IFERROR(Tabela1[[#This Row],[p(H)]]/Tabela1[[#This Row],[FTHG]],1))</f>
        <v/>
      </c>
      <c r="AP214" s="74" t="str">
        <f>IF(A214="","",IFERROR(Tabela1[[#This Row],[p(A)]]/Tabela1[[#This Row],[FTAG]],1))</f>
        <v/>
      </c>
      <c r="AQ214" s="107"/>
      <c r="AR214" s="107"/>
      <c r="AS214" s="107"/>
      <c r="AT214" s="107"/>
      <c r="AU214" s="107"/>
      <c r="AV214" s="107"/>
      <c r="AW214" s="107"/>
      <c r="AX214" s="107"/>
      <c r="AY214" s="107"/>
      <c r="AZ214" s="107"/>
      <c r="BA214" s="107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7"/>
      <c r="BS214" s="107"/>
      <c r="BT214" s="107"/>
      <c r="BU214" s="107"/>
      <c r="BV214" s="107"/>
      <c r="BW214" s="107"/>
      <c r="BX214" s="107"/>
      <c r="BY214" s="107"/>
      <c r="BZ214" s="107"/>
      <c r="CA214" s="107"/>
      <c r="CB214" s="107"/>
      <c r="CC214" s="107"/>
      <c r="CD214" s="107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2"/>
      <c r="CR214" s="102"/>
      <c r="CS214" s="102"/>
      <c r="CT214" s="102"/>
      <c r="CU214" s="102"/>
      <c r="CV214" s="102"/>
      <c r="CW214" s="102"/>
      <c r="CX214" s="102"/>
      <c r="CY214" s="102"/>
      <c r="CZ214" s="102"/>
      <c r="DA214" s="102"/>
      <c r="DB214" s="102"/>
      <c r="DC214" s="102"/>
      <c r="DD214" s="102"/>
      <c r="DE214" s="102"/>
      <c r="DF214" s="102"/>
      <c r="DG214" s="102"/>
      <c r="DH214" s="102"/>
      <c r="DI214" s="102"/>
      <c r="DJ214" s="102"/>
      <c r="DK214" s="102"/>
      <c r="DL214" s="102"/>
      <c r="DM214" s="102"/>
      <c r="DN214" s="102"/>
      <c r="DO214" s="102"/>
      <c r="DP214" s="102"/>
    </row>
    <row r="215" spans="1:120" x14ac:dyDescent="0.25">
      <c r="A215" s="4"/>
      <c r="D215"/>
      <c r="E215"/>
      <c r="F215"/>
      <c r="J215" s="68" t="str">
        <f t="shared" si="84"/>
        <v/>
      </c>
      <c r="K215" s="68" t="str">
        <f t="shared" si="85"/>
        <v/>
      </c>
      <c r="L215" s="69" t="str">
        <f t="shared" si="86"/>
        <v/>
      </c>
      <c r="M215" s="69" t="str">
        <f t="shared" si="87"/>
        <v/>
      </c>
      <c r="N215" s="69" t="str">
        <f>IF(A215="","",Tabela1[[#This Row],[PTC]]*Tabela1[[#This Row],[ODDC]])</f>
        <v/>
      </c>
      <c r="O215" s="69" t="str">
        <f>IF(A215="","",Tabela1[[#This Row],[PTV]]*Tabela1[[#This Row],[ODDV]])</f>
        <v/>
      </c>
      <c r="P215" s="68" t="str">
        <f t="shared" si="88"/>
        <v/>
      </c>
      <c r="Q215" s="68" t="str">
        <f t="shared" si="89"/>
        <v/>
      </c>
      <c r="R215" s="68" t="str">
        <f t="shared" si="90"/>
        <v/>
      </c>
      <c r="S215" s="68" t="str">
        <f t="shared" si="91"/>
        <v/>
      </c>
      <c r="T215" s="68" t="str">
        <f>IF(A215="","",IF(F215="D",Tabela1[[#This Row],[ODDE]]-1,-1))</f>
        <v/>
      </c>
      <c r="U215" s="70" t="str">
        <f>IF(A215="","",IF(AND(Tabela1[[#This Row],[FTHG]]&gt;3,F215="H"),1,0))</f>
        <v/>
      </c>
      <c r="V215" s="70" t="str">
        <f>IF(A215="","",IF(AND(Tabela1[[#This Row],[FTAG]]&gt;3,F215="A"),1,0))</f>
        <v/>
      </c>
      <c r="W215" s="70" t="str">
        <f t="shared" si="92"/>
        <v/>
      </c>
      <c r="X215" s="70" t="str">
        <f t="shared" si="93"/>
        <v/>
      </c>
      <c r="Y215" s="71" t="str">
        <f t="shared" si="94"/>
        <v/>
      </c>
      <c r="Z215" s="70" t="str">
        <f t="shared" si="95"/>
        <v/>
      </c>
      <c r="AA215" s="70" t="str">
        <f t="shared" si="96"/>
        <v/>
      </c>
      <c r="AB215" s="70" t="str">
        <f t="shared" si="97"/>
        <v/>
      </c>
      <c r="AC215" s="71" t="str">
        <f t="shared" si="98"/>
        <v/>
      </c>
      <c r="AD215" s="72" t="str">
        <f t="shared" si="99"/>
        <v/>
      </c>
      <c r="AE215" s="73" t="str">
        <f>IF(A215="","",COUNT($N$2:N215))</f>
        <v/>
      </c>
      <c r="AF215" s="74" t="str">
        <f t="shared" si="100"/>
        <v/>
      </c>
      <c r="AG215" s="74" t="str">
        <f t="shared" si="101"/>
        <v/>
      </c>
      <c r="AH215" s="74" t="str">
        <f t="shared" si="102"/>
        <v/>
      </c>
      <c r="AI215" s="74" t="str">
        <f t="shared" si="103"/>
        <v/>
      </c>
      <c r="AJ215" s="74" t="str">
        <f t="shared" si="104"/>
        <v/>
      </c>
      <c r="AK215" s="74" t="str">
        <f>IF(A215="","",1/Tabela1[[#This Row],[ODDC]])</f>
        <v/>
      </c>
      <c r="AL215" s="74" t="str">
        <f>IF(A215="","",1/Tabela1[[#This Row],[ODDE]])</f>
        <v/>
      </c>
      <c r="AM215" s="74" t="str">
        <f>IF(A215="","",1/Tabela1[[#This Row],[ODDV]])</f>
        <v/>
      </c>
      <c r="AN215" s="74" t="str">
        <f>IF(A215="","",1-(Tabela1[[#This Row],[p(H)]]+Tabela1[[#This Row],[p(D)]]+Tabela1[[#This Row],[p(A)]]))</f>
        <v/>
      </c>
      <c r="AO215" s="74" t="str">
        <f>IF(A215="","",IFERROR(Tabela1[[#This Row],[p(H)]]/Tabela1[[#This Row],[FTHG]],1))</f>
        <v/>
      </c>
      <c r="AP215" s="74" t="str">
        <f>IF(A215="","",IFERROR(Tabela1[[#This Row],[p(A)]]/Tabela1[[#This Row],[FTAG]],1))</f>
        <v/>
      </c>
      <c r="AQ215" s="107"/>
      <c r="AR215" s="107"/>
      <c r="AS215" s="107"/>
      <c r="AT215" s="107"/>
      <c r="AU215" s="107"/>
      <c r="AV215" s="107"/>
      <c r="AW215" s="107"/>
      <c r="AX215" s="107"/>
      <c r="AY215" s="107"/>
      <c r="AZ215" s="107"/>
      <c r="BA215" s="107"/>
      <c r="BB215" s="107"/>
      <c r="BC215" s="107"/>
      <c r="BD215" s="107"/>
      <c r="BE215" s="107"/>
      <c r="BF215" s="107"/>
      <c r="BG215" s="107"/>
      <c r="BH215" s="107"/>
      <c r="BI215" s="107"/>
      <c r="BJ215" s="107"/>
      <c r="BK215" s="107"/>
      <c r="BL215" s="107"/>
      <c r="BM215" s="107"/>
      <c r="BN215" s="107"/>
      <c r="BO215" s="107"/>
      <c r="BP215" s="107"/>
      <c r="BQ215" s="107"/>
      <c r="BR215" s="107"/>
      <c r="BS215" s="107"/>
      <c r="BT215" s="107"/>
      <c r="BU215" s="107"/>
      <c r="BV215" s="107"/>
      <c r="BW215" s="107"/>
      <c r="BX215" s="107"/>
      <c r="BY215" s="107"/>
      <c r="BZ215" s="107"/>
      <c r="CA215" s="107"/>
      <c r="CB215" s="107"/>
      <c r="CC215" s="107"/>
      <c r="CD215" s="107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2"/>
      <c r="CR215" s="102"/>
      <c r="CS215" s="102"/>
      <c r="CT215" s="102"/>
      <c r="CU215" s="102"/>
      <c r="CV215" s="102"/>
      <c r="CW215" s="102"/>
      <c r="CX215" s="102"/>
      <c r="CY215" s="102"/>
      <c r="CZ215" s="102"/>
      <c r="DA215" s="102"/>
      <c r="DB215" s="102"/>
      <c r="DC215" s="102"/>
      <c r="DD215" s="102"/>
      <c r="DE215" s="102"/>
      <c r="DF215" s="102"/>
      <c r="DG215" s="102"/>
      <c r="DH215" s="102"/>
      <c r="DI215" s="102"/>
      <c r="DJ215" s="102"/>
      <c r="DK215" s="102"/>
      <c r="DL215" s="102"/>
      <c r="DM215" s="102"/>
      <c r="DN215" s="102"/>
      <c r="DO215" s="102"/>
      <c r="DP215" s="102"/>
    </row>
    <row r="216" spans="1:120" x14ac:dyDescent="0.25">
      <c r="A216" s="4"/>
      <c r="D216"/>
      <c r="E216"/>
      <c r="F216"/>
      <c r="J216" s="68" t="str">
        <f t="shared" si="84"/>
        <v/>
      </c>
      <c r="K216" s="68" t="str">
        <f t="shared" si="85"/>
        <v/>
      </c>
      <c r="L216" s="69" t="str">
        <f t="shared" si="86"/>
        <v/>
      </c>
      <c r="M216" s="69" t="str">
        <f t="shared" si="87"/>
        <v/>
      </c>
      <c r="N216" s="69" t="str">
        <f>IF(A216="","",Tabela1[[#This Row],[PTC]]*Tabela1[[#This Row],[ODDC]])</f>
        <v/>
      </c>
      <c r="O216" s="69" t="str">
        <f>IF(A216="","",Tabela1[[#This Row],[PTV]]*Tabela1[[#This Row],[ODDV]])</f>
        <v/>
      </c>
      <c r="P216" s="68" t="str">
        <f t="shared" si="88"/>
        <v/>
      </c>
      <c r="Q216" s="68" t="str">
        <f t="shared" si="89"/>
        <v/>
      </c>
      <c r="R216" s="68" t="str">
        <f t="shared" si="90"/>
        <v/>
      </c>
      <c r="S216" s="68" t="str">
        <f t="shared" si="91"/>
        <v/>
      </c>
      <c r="T216" s="68" t="str">
        <f>IF(A216="","",IF(F216="D",Tabela1[[#This Row],[ODDE]]-1,-1))</f>
        <v/>
      </c>
      <c r="U216" s="70" t="str">
        <f>IF(A216="","",IF(AND(Tabela1[[#This Row],[FTHG]]&gt;3,F216="H"),1,0))</f>
        <v/>
      </c>
      <c r="V216" s="70" t="str">
        <f>IF(A216="","",IF(AND(Tabela1[[#This Row],[FTAG]]&gt;3,F216="A"),1,0))</f>
        <v/>
      </c>
      <c r="W216" s="70" t="str">
        <f t="shared" si="92"/>
        <v/>
      </c>
      <c r="X216" s="70" t="str">
        <f t="shared" si="93"/>
        <v/>
      </c>
      <c r="Y216" s="71" t="str">
        <f t="shared" si="94"/>
        <v/>
      </c>
      <c r="Z216" s="70" t="str">
        <f t="shared" si="95"/>
        <v/>
      </c>
      <c r="AA216" s="70" t="str">
        <f t="shared" si="96"/>
        <v/>
      </c>
      <c r="AB216" s="70" t="str">
        <f t="shared" si="97"/>
        <v/>
      </c>
      <c r="AC216" s="71" t="str">
        <f t="shared" si="98"/>
        <v/>
      </c>
      <c r="AD216" s="72" t="str">
        <f t="shared" si="99"/>
        <v/>
      </c>
      <c r="AE216" s="73" t="str">
        <f>IF(A216="","",COUNT($N$2:N216))</f>
        <v/>
      </c>
      <c r="AF216" s="74" t="str">
        <f t="shared" si="100"/>
        <v/>
      </c>
      <c r="AG216" s="74" t="str">
        <f t="shared" si="101"/>
        <v/>
      </c>
      <c r="AH216" s="74" t="str">
        <f t="shared" si="102"/>
        <v/>
      </c>
      <c r="AI216" s="74" t="str">
        <f t="shared" si="103"/>
        <v/>
      </c>
      <c r="AJ216" s="74" t="str">
        <f t="shared" si="104"/>
        <v/>
      </c>
      <c r="AK216" s="74" t="str">
        <f>IF(A216="","",1/Tabela1[[#This Row],[ODDC]])</f>
        <v/>
      </c>
      <c r="AL216" s="74" t="str">
        <f>IF(A216="","",1/Tabela1[[#This Row],[ODDE]])</f>
        <v/>
      </c>
      <c r="AM216" s="74" t="str">
        <f>IF(A216="","",1/Tabela1[[#This Row],[ODDV]])</f>
        <v/>
      </c>
      <c r="AN216" s="74" t="str">
        <f>IF(A216="","",1-(Tabela1[[#This Row],[p(H)]]+Tabela1[[#This Row],[p(D)]]+Tabela1[[#This Row],[p(A)]]))</f>
        <v/>
      </c>
      <c r="AO216" s="74" t="str">
        <f>IF(A216="","",IFERROR(Tabela1[[#This Row],[p(H)]]/Tabela1[[#This Row],[FTHG]],1))</f>
        <v/>
      </c>
      <c r="AP216" s="74" t="str">
        <f>IF(A216="","",IFERROR(Tabela1[[#This Row],[p(A)]]/Tabela1[[#This Row],[FTAG]],1))</f>
        <v/>
      </c>
      <c r="AQ216" s="107"/>
      <c r="AR216" s="107"/>
      <c r="AS216" s="107"/>
      <c r="AT216" s="107"/>
      <c r="AU216" s="107"/>
      <c r="AV216" s="107"/>
      <c r="AW216" s="107"/>
      <c r="AX216" s="107"/>
      <c r="AY216" s="107"/>
      <c r="AZ216" s="107"/>
      <c r="BA216" s="107"/>
      <c r="BB216" s="107"/>
      <c r="BC216" s="107"/>
      <c r="BD216" s="107"/>
      <c r="BE216" s="107"/>
      <c r="BF216" s="107"/>
      <c r="BG216" s="107"/>
      <c r="BH216" s="107"/>
      <c r="BI216" s="107"/>
      <c r="BJ216" s="107"/>
      <c r="BK216" s="107"/>
      <c r="BL216" s="107"/>
      <c r="BM216" s="107"/>
      <c r="BN216" s="107"/>
      <c r="BO216" s="107"/>
      <c r="BP216" s="107"/>
      <c r="BQ216" s="107"/>
      <c r="BR216" s="107"/>
      <c r="BS216" s="107"/>
      <c r="BT216" s="107"/>
      <c r="BU216" s="107"/>
      <c r="BV216" s="107"/>
      <c r="BW216" s="107"/>
      <c r="BX216" s="107"/>
      <c r="BY216" s="107"/>
      <c r="BZ216" s="107"/>
      <c r="CA216" s="107"/>
      <c r="CB216" s="107"/>
      <c r="CC216" s="107"/>
      <c r="CD216" s="107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2"/>
      <c r="CR216" s="102"/>
      <c r="CS216" s="102"/>
      <c r="CT216" s="102"/>
      <c r="CU216" s="102"/>
      <c r="CV216" s="102"/>
      <c r="CW216" s="102"/>
      <c r="CX216" s="102"/>
      <c r="CY216" s="102"/>
      <c r="CZ216" s="102"/>
      <c r="DA216" s="102"/>
      <c r="DB216" s="102"/>
      <c r="DC216" s="102"/>
      <c r="DD216" s="102"/>
      <c r="DE216" s="102"/>
      <c r="DF216" s="102"/>
      <c r="DG216" s="102"/>
      <c r="DH216" s="102"/>
      <c r="DI216" s="102"/>
      <c r="DJ216" s="102"/>
      <c r="DK216" s="102"/>
      <c r="DL216" s="102"/>
      <c r="DM216" s="102"/>
      <c r="DN216" s="102"/>
      <c r="DO216" s="102"/>
      <c r="DP216" s="102"/>
    </row>
    <row r="217" spans="1:120" x14ac:dyDescent="0.25">
      <c r="A217" s="4"/>
      <c r="D217"/>
      <c r="E217"/>
      <c r="F217"/>
      <c r="J217" s="68" t="str">
        <f t="shared" si="84"/>
        <v/>
      </c>
      <c r="K217" s="68" t="str">
        <f t="shared" si="85"/>
        <v/>
      </c>
      <c r="L217" s="69" t="str">
        <f t="shared" si="86"/>
        <v/>
      </c>
      <c r="M217" s="69" t="str">
        <f t="shared" si="87"/>
        <v/>
      </c>
      <c r="N217" s="69" t="str">
        <f>IF(A217="","",Tabela1[[#This Row],[PTC]]*Tabela1[[#This Row],[ODDC]])</f>
        <v/>
      </c>
      <c r="O217" s="69" t="str">
        <f>IF(A217="","",Tabela1[[#This Row],[PTV]]*Tabela1[[#This Row],[ODDV]])</f>
        <v/>
      </c>
      <c r="P217" s="68" t="str">
        <f t="shared" si="88"/>
        <v/>
      </c>
      <c r="Q217" s="68" t="str">
        <f t="shared" si="89"/>
        <v/>
      </c>
      <c r="R217" s="68" t="str">
        <f t="shared" si="90"/>
        <v/>
      </c>
      <c r="S217" s="68" t="str">
        <f t="shared" si="91"/>
        <v/>
      </c>
      <c r="T217" s="68" t="str">
        <f>IF(A217="","",IF(F217="D",Tabela1[[#This Row],[ODDE]]-1,-1))</f>
        <v/>
      </c>
      <c r="U217" s="70" t="str">
        <f>IF(A217="","",IF(AND(Tabela1[[#This Row],[FTHG]]&gt;3,F217="H"),1,0))</f>
        <v/>
      </c>
      <c r="V217" s="70" t="str">
        <f>IF(A217="","",IF(AND(Tabela1[[#This Row],[FTAG]]&gt;3,F217="A"),1,0))</f>
        <v/>
      </c>
      <c r="W217" s="70" t="str">
        <f t="shared" si="92"/>
        <v/>
      </c>
      <c r="X217" s="70" t="str">
        <f t="shared" si="93"/>
        <v/>
      </c>
      <c r="Y217" s="71" t="str">
        <f t="shared" si="94"/>
        <v/>
      </c>
      <c r="Z217" s="70" t="str">
        <f t="shared" si="95"/>
        <v/>
      </c>
      <c r="AA217" s="70" t="str">
        <f t="shared" si="96"/>
        <v/>
      </c>
      <c r="AB217" s="70" t="str">
        <f t="shared" si="97"/>
        <v/>
      </c>
      <c r="AC217" s="71" t="str">
        <f t="shared" si="98"/>
        <v/>
      </c>
      <c r="AD217" s="72" t="str">
        <f t="shared" si="99"/>
        <v/>
      </c>
      <c r="AE217" s="73" t="str">
        <f>IF(A217="","",COUNT($N$2:N217))</f>
        <v/>
      </c>
      <c r="AF217" s="74" t="str">
        <f t="shared" si="100"/>
        <v/>
      </c>
      <c r="AG217" s="74" t="str">
        <f t="shared" si="101"/>
        <v/>
      </c>
      <c r="AH217" s="74" t="str">
        <f t="shared" si="102"/>
        <v/>
      </c>
      <c r="AI217" s="74" t="str">
        <f t="shared" si="103"/>
        <v/>
      </c>
      <c r="AJ217" s="74" t="str">
        <f t="shared" si="104"/>
        <v/>
      </c>
      <c r="AK217" s="74" t="str">
        <f>IF(A217="","",1/Tabela1[[#This Row],[ODDC]])</f>
        <v/>
      </c>
      <c r="AL217" s="74" t="str">
        <f>IF(A217="","",1/Tabela1[[#This Row],[ODDE]])</f>
        <v/>
      </c>
      <c r="AM217" s="74" t="str">
        <f>IF(A217="","",1/Tabela1[[#This Row],[ODDV]])</f>
        <v/>
      </c>
      <c r="AN217" s="74" t="str">
        <f>IF(A217="","",1-(Tabela1[[#This Row],[p(H)]]+Tabela1[[#This Row],[p(D)]]+Tabela1[[#This Row],[p(A)]]))</f>
        <v/>
      </c>
      <c r="AO217" s="74" t="str">
        <f>IF(A217="","",IFERROR(Tabela1[[#This Row],[p(H)]]/Tabela1[[#This Row],[FTHG]],1))</f>
        <v/>
      </c>
      <c r="AP217" s="74" t="str">
        <f>IF(A217="","",IFERROR(Tabela1[[#This Row],[p(A)]]/Tabela1[[#This Row],[FTAG]],1))</f>
        <v/>
      </c>
      <c r="AQ217" s="107"/>
      <c r="AR217" s="107"/>
      <c r="AS217" s="107"/>
      <c r="AT217" s="107"/>
      <c r="AU217" s="107"/>
      <c r="AV217" s="107"/>
      <c r="AW217" s="107"/>
      <c r="AX217" s="107"/>
      <c r="AY217" s="107"/>
      <c r="AZ217" s="107"/>
      <c r="BA217" s="107"/>
      <c r="BB217" s="107"/>
      <c r="BC217" s="107"/>
      <c r="BD217" s="107"/>
      <c r="BE217" s="107"/>
      <c r="BF217" s="107"/>
      <c r="BG217" s="107"/>
      <c r="BH217" s="107"/>
      <c r="BI217" s="107"/>
      <c r="BJ217" s="107"/>
      <c r="BK217" s="107"/>
      <c r="BL217" s="107"/>
      <c r="BM217" s="107"/>
      <c r="BN217" s="107"/>
      <c r="BO217" s="107"/>
      <c r="BP217" s="107"/>
      <c r="BQ217" s="107"/>
      <c r="BR217" s="107"/>
      <c r="BS217" s="107"/>
      <c r="BT217" s="107"/>
      <c r="BU217" s="107"/>
      <c r="BV217" s="107"/>
      <c r="BW217" s="107"/>
      <c r="BX217" s="107"/>
      <c r="BY217" s="107"/>
      <c r="BZ217" s="107"/>
      <c r="CA217" s="107"/>
      <c r="CB217" s="107"/>
      <c r="CC217" s="107"/>
      <c r="CD217" s="107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2"/>
      <c r="DC217" s="102"/>
      <c r="DD217" s="102"/>
      <c r="DE217" s="102"/>
      <c r="DF217" s="102"/>
      <c r="DG217" s="102"/>
      <c r="DH217" s="102"/>
      <c r="DI217" s="102"/>
      <c r="DJ217" s="102"/>
      <c r="DK217" s="102"/>
      <c r="DL217" s="102"/>
      <c r="DM217" s="102"/>
      <c r="DN217" s="102"/>
      <c r="DO217" s="102"/>
      <c r="DP217" s="102"/>
    </row>
    <row r="218" spans="1:120" x14ac:dyDescent="0.25">
      <c r="A218" s="4"/>
      <c r="D218"/>
      <c r="E218"/>
      <c r="F218"/>
      <c r="J218" s="68" t="str">
        <f t="shared" si="84"/>
        <v/>
      </c>
      <c r="K218" s="68" t="str">
        <f t="shared" si="85"/>
        <v/>
      </c>
      <c r="L218" s="69" t="str">
        <f t="shared" si="86"/>
        <v/>
      </c>
      <c r="M218" s="69" t="str">
        <f t="shared" si="87"/>
        <v/>
      </c>
      <c r="N218" s="69" t="str">
        <f>IF(A218="","",Tabela1[[#This Row],[PTC]]*Tabela1[[#This Row],[ODDC]])</f>
        <v/>
      </c>
      <c r="O218" s="69" t="str">
        <f>IF(A218="","",Tabela1[[#This Row],[PTV]]*Tabela1[[#This Row],[ODDV]])</f>
        <v/>
      </c>
      <c r="P218" s="68" t="str">
        <f t="shared" si="88"/>
        <v/>
      </c>
      <c r="Q218" s="68" t="str">
        <f t="shared" si="89"/>
        <v/>
      </c>
      <c r="R218" s="68" t="str">
        <f t="shared" si="90"/>
        <v/>
      </c>
      <c r="S218" s="68" t="str">
        <f t="shared" si="91"/>
        <v/>
      </c>
      <c r="T218" s="68" t="str">
        <f>IF(A218="","",IF(F218="D",Tabela1[[#This Row],[ODDE]]-1,-1))</f>
        <v/>
      </c>
      <c r="U218" s="70" t="str">
        <f>IF(A218="","",IF(AND(Tabela1[[#This Row],[FTHG]]&gt;3,F218="H"),1,0))</f>
        <v/>
      </c>
      <c r="V218" s="70" t="str">
        <f>IF(A218="","",IF(AND(Tabela1[[#This Row],[FTAG]]&gt;3,F218="A"),1,0))</f>
        <v/>
      </c>
      <c r="W218" s="70" t="str">
        <f t="shared" si="92"/>
        <v/>
      </c>
      <c r="X218" s="70" t="str">
        <f t="shared" si="93"/>
        <v/>
      </c>
      <c r="Y218" s="71" t="str">
        <f t="shared" si="94"/>
        <v/>
      </c>
      <c r="Z218" s="70" t="str">
        <f t="shared" si="95"/>
        <v/>
      </c>
      <c r="AA218" s="70" t="str">
        <f t="shared" si="96"/>
        <v/>
      </c>
      <c r="AB218" s="70" t="str">
        <f t="shared" si="97"/>
        <v/>
      </c>
      <c r="AC218" s="71" t="str">
        <f t="shared" si="98"/>
        <v/>
      </c>
      <c r="AD218" s="72" t="str">
        <f t="shared" si="99"/>
        <v/>
      </c>
      <c r="AE218" s="73" t="str">
        <f>IF(A218="","",COUNT($N$2:N218))</f>
        <v/>
      </c>
      <c r="AF218" s="74" t="str">
        <f t="shared" si="100"/>
        <v/>
      </c>
      <c r="AG218" s="74" t="str">
        <f t="shared" si="101"/>
        <v/>
      </c>
      <c r="AH218" s="74" t="str">
        <f t="shared" si="102"/>
        <v/>
      </c>
      <c r="AI218" s="74" t="str">
        <f t="shared" si="103"/>
        <v/>
      </c>
      <c r="AJ218" s="74" t="str">
        <f t="shared" si="104"/>
        <v/>
      </c>
      <c r="AK218" s="74" t="str">
        <f>IF(A218="","",1/Tabela1[[#This Row],[ODDC]])</f>
        <v/>
      </c>
      <c r="AL218" s="74" t="str">
        <f>IF(A218="","",1/Tabela1[[#This Row],[ODDE]])</f>
        <v/>
      </c>
      <c r="AM218" s="74" t="str">
        <f>IF(A218="","",1/Tabela1[[#This Row],[ODDV]])</f>
        <v/>
      </c>
      <c r="AN218" s="74" t="str">
        <f>IF(A218="","",1-(Tabela1[[#This Row],[p(H)]]+Tabela1[[#This Row],[p(D)]]+Tabela1[[#This Row],[p(A)]]))</f>
        <v/>
      </c>
      <c r="AO218" s="74" t="str">
        <f>IF(A218="","",IFERROR(Tabela1[[#This Row],[p(H)]]/Tabela1[[#This Row],[FTHG]],1))</f>
        <v/>
      </c>
      <c r="AP218" s="74" t="str">
        <f>IF(A218="","",IFERROR(Tabela1[[#This Row],[p(A)]]/Tabela1[[#This Row],[FTAG]],1))</f>
        <v/>
      </c>
      <c r="AQ218" s="107"/>
      <c r="AR218" s="107"/>
      <c r="AS218" s="107"/>
      <c r="AT218" s="107"/>
      <c r="AU218" s="107"/>
      <c r="AV218" s="107"/>
      <c r="AW218" s="107"/>
      <c r="AX218" s="107"/>
      <c r="AY218" s="107"/>
      <c r="AZ218" s="107"/>
      <c r="BA218" s="107"/>
      <c r="BB218" s="107"/>
      <c r="BC218" s="107"/>
      <c r="BD218" s="107"/>
      <c r="BE218" s="107"/>
      <c r="BF218" s="107"/>
      <c r="BG218" s="107"/>
      <c r="BH218" s="107"/>
      <c r="BI218" s="107"/>
      <c r="BJ218" s="107"/>
      <c r="BK218" s="107"/>
      <c r="BL218" s="107"/>
      <c r="BM218" s="107"/>
      <c r="BN218" s="107"/>
      <c r="BO218" s="107"/>
      <c r="BP218" s="107"/>
      <c r="BQ218" s="107"/>
      <c r="BR218" s="107"/>
      <c r="BS218" s="107"/>
      <c r="BT218" s="107"/>
      <c r="BU218" s="107"/>
      <c r="BV218" s="107"/>
      <c r="BW218" s="107"/>
      <c r="BX218" s="107"/>
      <c r="BY218" s="107"/>
      <c r="BZ218" s="107"/>
      <c r="CA218" s="107"/>
      <c r="CB218" s="107"/>
      <c r="CC218" s="107"/>
      <c r="CD218" s="107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2"/>
      <c r="CR218" s="102"/>
      <c r="CS218" s="102"/>
      <c r="CT218" s="102"/>
      <c r="CU218" s="102"/>
      <c r="CV218" s="102"/>
      <c r="CW218" s="102"/>
      <c r="CX218" s="102"/>
      <c r="CY218" s="102"/>
      <c r="CZ218" s="102"/>
      <c r="DA218" s="102"/>
      <c r="DB218" s="102"/>
      <c r="DC218" s="102"/>
      <c r="DD218" s="102"/>
      <c r="DE218" s="102"/>
      <c r="DF218" s="102"/>
      <c r="DG218" s="102"/>
      <c r="DH218" s="102"/>
      <c r="DI218" s="102"/>
      <c r="DJ218" s="102"/>
      <c r="DK218" s="102"/>
      <c r="DL218" s="102"/>
      <c r="DM218" s="102"/>
      <c r="DN218" s="102"/>
      <c r="DO218" s="102"/>
      <c r="DP218" s="102"/>
    </row>
    <row r="219" spans="1:120" x14ac:dyDescent="0.25">
      <c r="A219" s="4"/>
      <c r="D219"/>
      <c r="E219"/>
      <c r="F219"/>
      <c r="J219" s="68" t="str">
        <f t="shared" si="84"/>
        <v/>
      </c>
      <c r="K219" s="68" t="str">
        <f t="shared" si="85"/>
        <v/>
      </c>
      <c r="L219" s="69" t="str">
        <f t="shared" si="86"/>
        <v/>
      </c>
      <c r="M219" s="69" t="str">
        <f t="shared" si="87"/>
        <v/>
      </c>
      <c r="N219" s="69" t="str">
        <f>IF(A219="","",Tabela1[[#This Row],[PTC]]*Tabela1[[#This Row],[ODDC]])</f>
        <v/>
      </c>
      <c r="O219" s="69" t="str">
        <f>IF(A219="","",Tabela1[[#This Row],[PTV]]*Tabela1[[#This Row],[ODDV]])</f>
        <v/>
      </c>
      <c r="P219" s="68" t="str">
        <f t="shared" si="88"/>
        <v/>
      </c>
      <c r="Q219" s="68" t="str">
        <f t="shared" si="89"/>
        <v/>
      </c>
      <c r="R219" s="68" t="str">
        <f t="shared" si="90"/>
        <v/>
      </c>
      <c r="S219" s="68" t="str">
        <f t="shared" si="91"/>
        <v/>
      </c>
      <c r="T219" s="68" t="str">
        <f>IF(A219="","",IF(F219="D",Tabela1[[#This Row],[ODDE]]-1,-1))</f>
        <v/>
      </c>
      <c r="U219" s="70" t="str">
        <f>IF(A219="","",IF(AND(Tabela1[[#This Row],[FTHG]]&gt;3,F219="H"),1,0))</f>
        <v/>
      </c>
      <c r="V219" s="70" t="str">
        <f>IF(A219="","",IF(AND(Tabela1[[#This Row],[FTAG]]&gt;3,F219="A"),1,0))</f>
        <v/>
      </c>
      <c r="W219" s="70" t="str">
        <f t="shared" si="92"/>
        <v/>
      </c>
      <c r="X219" s="70" t="str">
        <f t="shared" si="93"/>
        <v/>
      </c>
      <c r="Y219" s="71" t="str">
        <f t="shared" si="94"/>
        <v/>
      </c>
      <c r="Z219" s="70" t="str">
        <f t="shared" si="95"/>
        <v/>
      </c>
      <c r="AA219" s="70" t="str">
        <f t="shared" si="96"/>
        <v/>
      </c>
      <c r="AB219" s="70" t="str">
        <f t="shared" si="97"/>
        <v/>
      </c>
      <c r="AC219" s="71" t="str">
        <f t="shared" si="98"/>
        <v/>
      </c>
      <c r="AD219" s="72" t="str">
        <f t="shared" si="99"/>
        <v/>
      </c>
      <c r="AE219" s="73" t="str">
        <f>IF(A219="","",COUNT($N$2:N219))</f>
        <v/>
      </c>
      <c r="AF219" s="74" t="str">
        <f t="shared" si="100"/>
        <v/>
      </c>
      <c r="AG219" s="74" t="str">
        <f t="shared" si="101"/>
        <v/>
      </c>
      <c r="AH219" s="74" t="str">
        <f t="shared" si="102"/>
        <v/>
      </c>
      <c r="AI219" s="74" t="str">
        <f t="shared" si="103"/>
        <v/>
      </c>
      <c r="AJ219" s="74" t="str">
        <f t="shared" si="104"/>
        <v/>
      </c>
      <c r="AK219" s="74" t="str">
        <f>IF(A219="","",1/Tabela1[[#This Row],[ODDC]])</f>
        <v/>
      </c>
      <c r="AL219" s="74" t="str">
        <f>IF(A219="","",1/Tabela1[[#This Row],[ODDE]])</f>
        <v/>
      </c>
      <c r="AM219" s="74" t="str">
        <f>IF(A219="","",1/Tabela1[[#This Row],[ODDV]])</f>
        <v/>
      </c>
      <c r="AN219" s="74" t="str">
        <f>IF(A219="","",1-(Tabela1[[#This Row],[p(H)]]+Tabela1[[#This Row],[p(D)]]+Tabela1[[#This Row],[p(A)]]))</f>
        <v/>
      </c>
      <c r="AO219" s="74" t="str">
        <f>IF(A219="","",IFERROR(Tabela1[[#This Row],[p(H)]]/Tabela1[[#This Row],[FTHG]],1))</f>
        <v/>
      </c>
      <c r="AP219" s="74" t="str">
        <f>IF(A219="","",IFERROR(Tabela1[[#This Row],[p(A)]]/Tabela1[[#This Row],[FTAG]],1))</f>
        <v/>
      </c>
      <c r="AQ219" s="107"/>
      <c r="AR219" s="107"/>
      <c r="AS219" s="107"/>
      <c r="AT219" s="107"/>
      <c r="AU219" s="107"/>
      <c r="AV219" s="107"/>
      <c r="AW219" s="107"/>
      <c r="AX219" s="107"/>
      <c r="AY219" s="107"/>
      <c r="AZ219" s="107"/>
      <c r="BA219" s="107"/>
      <c r="BB219" s="107"/>
      <c r="BC219" s="107"/>
      <c r="BD219" s="107"/>
      <c r="BE219" s="107"/>
      <c r="BF219" s="107"/>
      <c r="BG219" s="107"/>
      <c r="BH219" s="107"/>
      <c r="BI219" s="107"/>
      <c r="BJ219" s="107"/>
      <c r="BK219" s="107"/>
      <c r="BL219" s="107"/>
      <c r="BM219" s="107"/>
      <c r="BN219" s="107"/>
      <c r="BO219" s="107"/>
      <c r="BP219" s="107"/>
      <c r="BQ219" s="107"/>
      <c r="BR219" s="107"/>
      <c r="BS219" s="107"/>
      <c r="BT219" s="107"/>
      <c r="BU219" s="107"/>
      <c r="BV219" s="107"/>
      <c r="BW219" s="107"/>
      <c r="BX219" s="107"/>
      <c r="BY219" s="107"/>
      <c r="BZ219" s="107"/>
      <c r="CA219" s="107"/>
      <c r="CB219" s="107"/>
      <c r="CC219" s="107"/>
      <c r="CD219" s="107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  <c r="CY219" s="102"/>
      <c r="CZ219" s="102"/>
      <c r="DA219" s="102"/>
      <c r="DB219" s="102"/>
      <c r="DC219" s="102"/>
      <c r="DD219" s="102"/>
      <c r="DE219" s="102"/>
      <c r="DF219" s="102"/>
      <c r="DG219" s="102"/>
      <c r="DH219" s="102"/>
      <c r="DI219" s="102"/>
      <c r="DJ219" s="102"/>
      <c r="DK219" s="102"/>
      <c r="DL219" s="102"/>
      <c r="DM219" s="102"/>
      <c r="DN219" s="102"/>
      <c r="DO219" s="102"/>
      <c r="DP219" s="102"/>
    </row>
    <row r="220" spans="1:120" x14ac:dyDescent="0.25">
      <c r="A220" s="4"/>
      <c r="D220"/>
      <c r="E220"/>
      <c r="F220"/>
      <c r="J220" s="68" t="str">
        <f t="shared" si="84"/>
        <v/>
      </c>
      <c r="K220" s="68" t="str">
        <f t="shared" si="85"/>
        <v/>
      </c>
      <c r="L220" s="69" t="str">
        <f t="shared" si="86"/>
        <v/>
      </c>
      <c r="M220" s="69" t="str">
        <f t="shared" si="87"/>
        <v/>
      </c>
      <c r="N220" s="69" t="str">
        <f>IF(A220="","",Tabela1[[#This Row],[PTC]]*Tabela1[[#This Row],[ODDC]])</f>
        <v/>
      </c>
      <c r="O220" s="69" t="str">
        <f>IF(A220="","",Tabela1[[#This Row],[PTV]]*Tabela1[[#This Row],[ODDV]])</f>
        <v/>
      </c>
      <c r="P220" s="68" t="str">
        <f t="shared" si="88"/>
        <v/>
      </c>
      <c r="Q220" s="68" t="str">
        <f t="shared" si="89"/>
        <v/>
      </c>
      <c r="R220" s="68" t="str">
        <f t="shared" si="90"/>
        <v/>
      </c>
      <c r="S220" s="68" t="str">
        <f t="shared" si="91"/>
        <v/>
      </c>
      <c r="T220" s="68" t="str">
        <f>IF(A220="","",IF(F220="D",Tabela1[[#This Row],[ODDE]]-1,-1))</f>
        <v/>
      </c>
      <c r="U220" s="70" t="str">
        <f>IF(A220="","",IF(AND(Tabela1[[#This Row],[FTHG]]&gt;3,F220="H"),1,0))</f>
        <v/>
      </c>
      <c r="V220" s="70" t="str">
        <f>IF(A220="","",IF(AND(Tabela1[[#This Row],[FTAG]]&gt;3,F220="A"),1,0))</f>
        <v/>
      </c>
      <c r="W220" s="70" t="str">
        <f t="shared" si="92"/>
        <v/>
      </c>
      <c r="X220" s="70" t="str">
        <f t="shared" si="93"/>
        <v/>
      </c>
      <c r="Y220" s="71" t="str">
        <f t="shared" si="94"/>
        <v/>
      </c>
      <c r="Z220" s="70" t="str">
        <f t="shared" si="95"/>
        <v/>
      </c>
      <c r="AA220" s="70" t="str">
        <f t="shared" si="96"/>
        <v/>
      </c>
      <c r="AB220" s="70" t="str">
        <f t="shared" si="97"/>
        <v/>
      </c>
      <c r="AC220" s="71" t="str">
        <f t="shared" si="98"/>
        <v/>
      </c>
      <c r="AD220" s="72" t="str">
        <f t="shared" si="99"/>
        <v/>
      </c>
      <c r="AE220" s="73" t="str">
        <f>IF(A220="","",COUNT($N$2:N220))</f>
        <v/>
      </c>
      <c r="AF220" s="74" t="str">
        <f t="shared" si="100"/>
        <v/>
      </c>
      <c r="AG220" s="74" t="str">
        <f t="shared" si="101"/>
        <v/>
      </c>
      <c r="AH220" s="74" t="str">
        <f t="shared" si="102"/>
        <v/>
      </c>
      <c r="AI220" s="74" t="str">
        <f t="shared" si="103"/>
        <v/>
      </c>
      <c r="AJ220" s="74" t="str">
        <f t="shared" si="104"/>
        <v/>
      </c>
      <c r="AK220" s="74" t="str">
        <f>IF(A220="","",1/Tabela1[[#This Row],[ODDC]])</f>
        <v/>
      </c>
      <c r="AL220" s="74" t="str">
        <f>IF(A220="","",1/Tabela1[[#This Row],[ODDE]])</f>
        <v/>
      </c>
      <c r="AM220" s="74" t="str">
        <f>IF(A220="","",1/Tabela1[[#This Row],[ODDV]])</f>
        <v/>
      </c>
      <c r="AN220" s="74" t="str">
        <f>IF(A220="","",1-(Tabela1[[#This Row],[p(H)]]+Tabela1[[#This Row],[p(D)]]+Tabela1[[#This Row],[p(A)]]))</f>
        <v/>
      </c>
      <c r="AO220" s="74" t="str">
        <f>IF(A220="","",IFERROR(Tabela1[[#This Row],[p(H)]]/Tabela1[[#This Row],[FTHG]],1))</f>
        <v/>
      </c>
      <c r="AP220" s="74" t="str">
        <f>IF(A220="","",IFERROR(Tabela1[[#This Row],[p(A)]]/Tabela1[[#This Row],[FTAG]],1))</f>
        <v/>
      </c>
      <c r="AQ220" s="107"/>
      <c r="AR220" s="107"/>
      <c r="AS220" s="107"/>
      <c r="AT220" s="107"/>
      <c r="AU220" s="107"/>
      <c r="AV220" s="107"/>
      <c r="AW220" s="107"/>
      <c r="AX220" s="107"/>
      <c r="AY220" s="107"/>
      <c r="AZ220" s="107"/>
      <c r="BA220" s="107"/>
      <c r="BB220" s="107"/>
      <c r="BC220" s="107"/>
      <c r="BD220" s="107"/>
      <c r="BE220" s="107"/>
      <c r="BF220" s="107"/>
      <c r="BG220" s="107"/>
      <c r="BH220" s="107"/>
      <c r="BI220" s="107"/>
      <c r="BJ220" s="107"/>
      <c r="BK220" s="107"/>
      <c r="BL220" s="107"/>
      <c r="BM220" s="107"/>
      <c r="BN220" s="107"/>
      <c r="BO220" s="107"/>
      <c r="BP220" s="107"/>
      <c r="BQ220" s="107"/>
      <c r="BR220" s="107"/>
      <c r="BS220" s="107"/>
      <c r="BT220" s="107"/>
      <c r="BU220" s="107"/>
      <c r="BV220" s="107"/>
      <c r="BW220" s="107"/>
      <c r="BX220" s="107"/>
      <c r="BY220" s="107"/>
      <c r="BZ220" s="107"/>
      <c r="CA220" s="107"/>
      <c r="CB220" s="107"/>
      <c r="CC220" s="107"/>
      <c r="CD220" s="107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  <c r="CY220" s="102"/>
      <c r="CZ220" s="102"/>
      <c r="DA220" s="102"/>
      <c r="DB220" s="102"/>
      <c r="DC220" s="102"/>
      <c r="DD220" s="102"/>
      <c r="DE220" s="102"/>
      <c r="DF220" s="102"/>
      <c r="DG220" s="102"/>
      <c r="DH220" s="102"/>
      <c r="DI220" s="102"/>
      <c r="DJ220" s="102"/>
      <c r="DK220" s="102"/>
      <c r="DL220" s="102"/>
      <c r="DM220" s="102"/>
      <c r="DN220" s="102"/>
      <c r="DO220" s="102"/>
      <c r="DP220" s="102"/>
    </row>
    <row r="221" spans="1:120" x14ac:dyDescent="0.25">
      <c r="A221" s="4"/>
      <c r="D221"/>
      <c r="E221"/>
      <c r="F221"/>
      <c r="J221" s="68" t="str">
        <f t="shared" si="84"/>
        <v/>
      </c>
      <c r="K221" s="68" t="str">
        <f t="shared" si="85"/>
        <v/>
      </c>
      <c r="L221" s="69" t="str">
        <f t="shared" si="86"/>
        <v/>
      </c>
      <c r="M221" s="69" t="str">
        <f t="shared" si="87"/>
        <v/>
      </c>
      <c r="N221" s="69" t="str">
        <f>IF(A221="","",Tabela1[[#This Row],[PTC]]*Tabela1[[#This Row],[ODDC]])</f>
        <v/>
      </c>
      <c r="O221" s="69" t="str">
        <f>IF(A221="","",Tabela1[[#This Row],[PTV]]*Tabela1[[#This Row],[ODDV]])</f>
        <v/>
      </c>
      <c r="P221" s="68" t="str">
        <f t="shared" si="88"/>
        <v/>
      </c>
      <c r="Q221" s="68" t="str">
        <f t="shared" si="89"/>
        <v/>
      </c>
      <c r="R221" s="68" t="str">
        <f t="shared" si="90"/>
        <v/>
      </c>
      <c r="S221" s="68" t="str">
        <f t="shared" si="91"/>
        <v/>
      </c>
      <c r="T221" s="68" t="str">
        <f>IF(A221="","",IF(F221="D",Tabela1[[#This Row],[ODDE]]-1,-1))</f>
        <v/>
      </c>
      <c r="U221" s="70" t="str">
        <f>IF(A221="","",IF(AND(Tabela1[[#This Row],[FTHG]]&gt;3,F221="H"),1,0))</f>
        <v/>
      </c>
      <c r="V221" s="70" t="str">
        <f>IF(A221="","",IF(AND(Tabela1[[#This Row],[FTAG]]&gt;3,F221="A"),1,0))</f>
        <v/>
      </c>
      <c r="W221" s="70" t="str">
        <f t="shared" si="92"/>
        <v/>
      </c>
      <c r="X221" s="70" t="str">
        <f t="shared" si="93"/>
        <v/>
      </c>
      <c r="Y221" s="71" t="str">
        <f t="shared" si="94"/>
        <v/>
      </c>
      <c r="Z221" s="70" t="str">
        <f t="shared" si="95"/>
        <v/>
      </c>
      <c r="AA221" s="70" t="str">
        <f t="shared" si="96"/>
        <v/>
      </c>
      <c r="AB221" s="70" t="str">
        <f t="shared" si="97"/>
        <v/>
      </c>
      <c r="AC221" s="71" t="str">
        <f t="shared" si="98"/>
        <v/>
      </c>
      <c r="AD221" s="72" t="str">
        <f t="shared" si="99"/>
        <v/>
      </c>
      <c r="AE221" s="73" t="str">
        <f>IF(A221="","",COUNT($N$2:N221))</f>
        <v/>
      </c>
      <c r="AF221" s="74" t="str">
        <f t="shared" si="100"/>
        <v/>
      </c>
      <c r="AG221" s="74" t="str">
        <f t="shared" si="101"/>
        <v/>
      </c>
      <c r="AH221" s="74" t="str">
        <f t="shared" si="102"/>
        <v/>
      </c>
      <c r="AI221" s="74" t="str">
        <f t="shared" si="103"/>
        <v/>
      </c>
      <c r="AJ221" s="74" t="str">
        <f t="shared" si="104"/>
        <v/>
      </c>
      <c r="AK221" s="74" t="str">
        <f>IF(A221="","",1/Tabela1[[#This Row],[ODDC]])</f>
        <v/>
      </c>
      <c r="AL221" s="74" t="str">
        <f>IF(A221="","",1/Tabela1[[#This Row],[ODDE]])</f>
        <v/>
      </c>
      <c r="AM221" s="74" t="str">
        <f>IF(A221="","",1/Tabela1[[#This Row],[ODDV]])</f>
        <v/>
      </c>
      <c r="AN221" s="74" t="str">
        <f>IF(A221="","",1-(Tabela1[[#This Row],[p(H)]]+Tabela1[[#This Row],[p(D)]]+Tabela1[[#This Row],[p(A)]]))</f>
        <v/>
      </c>
      <c r="AO221" s="74" t="str">
        <f>IF(A221="","",IFERROR(Tabela1[[#This Row],[p(H)]]/Tabela1[[#This Row],[FTHG]],1))</f>
        <v/>
      </c>
      <c r="AP221" s="74" t="str">
        <f>IF(A221="","",IFERROR(Tabela1[[#This Row],[p(A)]]/Tabela1[[#This Row],[FTAG]],1))</f>
        <v/>
      </c>
      <c r="AQ221" s="107"/>
      <c r="AR221" s="107"/>
      <c r="AS221" s="107"/>
      <c r="AT221" s="107"/>
      <c r="AU221" s="107"/>
      <c r="AV221" s="107"/>
      <c r="AW221" s="107"/>
      <c r="AX221" s="107"/>
      <c r="AY221" s="107"/>
      <c r="AZ221" s="107"/>
      <c r="BA221" s="107"/>
      <c r="BB221" s="107"/>
      <c r="BC221" s="107"/>
      <c r="BD221" s="107"/>
      <c r="BE221" s="107"/>
      <c r="BF221" s="107"/>
      <c r="BG221" s="107"/>
      <c r="BH221" s="107"/>
      <c r="BI221" s="107"/>
      <c r="BJ221" s="107"/>
      <c r="BK221" s="107"/>
      <c r="BL221" s="107"/>
      <c r="BM221" s="107"/>
      <c r="BN221" s="107"/>
      <c r="BO221" s="107"/>
      <c r="BP221" s="107"/>
      <c r="BQ221" s="107"/>
      <c r="BR221" s="107"/>
      <c r="BS221" s="107"/>
      <c r="BT221" s="107"/>
      <c r="BU221" s="107"/>
      <c r="BV221" s="107"/>
      <c r="BW221" s="107"/>
      <c r="BX221" s="107"/>
      <c r="BY221" s="107"/>
      <c r="BZ221" s="107"/>
      <c r="CA221" s="107"/>
      <c r="CB221" s="107"/>
      <c r="CC221" s="107"/>
      <c r="CD221" s="107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2"/>
      <c r="CR221" s="102"/>
      <c r="CS221" s="102"/>
      <c r="CT221" s="102"/>
      <c r="CU221" s="102"/>
      <c r="CV221" s="102"/>
      <c r="CW221" s="102"/>
      <c r="CX221" s="102"/>
      <c r="CY221" s="102"/>
      <c r="CZ221" s="102"/>
      <c r="DA221" s="102"/>
      <c r="DB221" s="102"/>
      <c r="DC221" s="102"/>
      <c r="DD221" s="102"/>
      <c r="DE221" s="102"/>
      <c r="DF221" s="102"/>
      <c r="DG221" s="102"/>
      <c r="DH221" s="102"/>
      <c r="DI221" s="102"/>
      <c r="DJ221" s="102"/>
      <c r="DK221" s="102"/>
      <c r="DL221" s="102"/>
      <c r="DM221" s="102"/>
      <c r="DN221" s="102"/>
      <c r="DO221" s="102"/>
      <c r="DP221" s="102"/>
    </row>
    <row r="222" spans="1:120" x14ac:dyDescent="0.25">
      <c r="A222" s="4"/>
      <c r="D222"/>
      <c r="E222"/>
      <c r="F222"/>
      <c r="J222" s="68" t="str">
        <f t="shared" si="84"/>
        <v/>
      </c>
      <c r="K222" s="68" t="str">
        <f t="shared" si="85"/>
        <v/>
      </c>
      <c r="L222" s="69" t="str">
        <f t="shared" si="86"/>
        <v/>
      </c>
      <c r="M222" s="69" t="str">
        <f t="shared" si="87"/>
        <v/>
      </c>
      <c r="N222" s="69" t="str">
        <f>IF(A222="","",Tabela1[[#This Row],[PTC]]*Tabela1[[#This Row],[ODDC]])</f>
        <v/>
      </c>
      <c r="O222" s="69" t="str">
        <f>IF(A222="","",Tabela1[[#This Row],[PTV]]*Tabela1[[#This Row],[ODDV]])</f>
        <v/>
      </c>
      <c r="P222" s="68" t="str">
        <f t="shared" si="88"/>
        <v/>
      </c>
      <c r="Q222" s="68" t="str">
        <f t="shared" si="89"/>
        <v/>
      </c>
      <c r="R222" s="68" t="str">
        <f t="shared" si="90"/>
        <v/>
      </c>
      <c r="S222" s="68" t="str">
        <f t="shared" si="91"/>
        <v/>
      </c>
      <c r="T222" s="68" t="str">
        <f>IF(A222="","",IF(F222="D",Tabela1[[#This Row],[ODDE]]-1,-1))</f>
        <v/>
      </c>
      <c r="U222" s="70" t="str">
        <f>IF(A222="","",IF(AND(Tabela1[[#This Row],[FTHG]]&gt;3,F222="H"),1,0))</f>
        <v/>
      </c>
      <c r="V222" s="70" t="str">
        <f>IF(A222="","",IF(AND(Tabela1[[#This Row],[FTAG]]&gt;3,F222="A"),1,0))</f>
        <v/>
      </c>
      <c r="W222" s="70" t="str">
        <f t="shared" si="92"/>
        <v/>
      </c>
      <c r="X222" s="70" t="str">
        <f t="shared" si="93"/>
        <v/>
      </c>
      <c r="Y222" s="71" t="str">
        <f t="shared" si="94"/>
        <v/>
      </c>
      <c r="Z222" s="70" t="str">
        <f t="shared" si="95"/>
        <v/>
      </c>
      <c r="AA222" s="70" t="str">
        <f t="shared" si="96"/>
        <v/>
      </c>
      <c r="AB222" s="70" t="str">
        <f t="shared" si="97"/>
        <v/>
      </c>
      <c r="AC222" s="71" t="str">
        <f t="shared" si="98"/>
        <v/>
      </c>
      <c r="AD222" s="72" t="str">
        <f t="shared" si="99"/>
        <v/>
      </c>
      <c r="AE222" s="73" t="str">
        <f>IF(A222="","",COUNT($N$2:N222))</f>
        <v/>
      </c>
      <c r="AF222" s="74" t="str">
        <f t="shared" si="100"/>
        <v/>
      </c>
      <c r="AG222" s="74" t="str">
        <f t="shared" si="101"/>
        <v/>
      </c>
      <c r="AH222" s="74" t="str">
        <f t="shared" si="102"/>
        <v/>
      </c>
      <c r="AI222" s="74" t="str">
        <f t="shared" si="103"/>
        <v/>
      </c>
      <c r="AJ222" s="74" t="str">
        <f t="shared" si="104"/>
        <v/>
      </c>
      <c r="AK222" s="74" t="str">
        <f>IF(A222="","",1/Tabela1[[#This Row],[ODDC]])</f>
        <v/>
      </c>
      <c r="AL222" s="74" t="str">
        <f>IF(A222="","",1/Tabela1[[#This Row],[ODDE]])</f>
        <v/>
      </c>
      <c r="AM222" s="74" t="str">
        <f>IF(A222="","",1/Tabela1[[#This Row],[ODDV]])</f>
        <v/>
      </c>
      <c r="AN222" s="74" t="str">
        <f>IF(A222="","",1-(Tabela1[[#This Row],[p(H)]]+Tabela1[[#This Row],[p(D)]]+Tabela1[[#This Row],[p(A)]]))</f>
        <v/>
      </c>
      <c r="AO222" s="74" t="str">
        <f>IF(A222="","",IFERROR(Tabela1[[#This Row],[p(H)]]/Tabela1[[#This Row],[FTHG]],1))</f>
        <v/>
      </c>
      <c r="AP222" s="74" t="str">
        <f>IF(A222="","",IFERROR(Tabela1[[#This Row],[p(A)]]/Tabela1[[#This Row],[FTAG]],1))</f>
        <v/>
      </c>
      <c r="AQ222" s="107"/>
      <c r="AR222" s="107"/>
      <c r="AS222" s="107"/>
      <c r="AT222" s="107"/>
      <c r="AU222" s="107"/>
      <c r="AV222" s="107"/>
      <c r="AW222" s="107"/>
      <c r="AX222" s="107"/>
      <c r="AY222" s="107"/>
      <c r="AZ222" s="107"/>
      <c r="BA222" s="107"/>
      <c r="BB222" s="107"/>
      <c r="BC222" s="107"/>
      <c r="BD222" s="107"/>
      <c r="BE222" s="107"/>
      <c r="BF222" s="107"/>
      <c r="BG222" s="107"/>
      <c r="BH222" s="107"/>
      <c r="BI222" s="107"/>
      <c r="BJ222" s="107"/>
      <c r="BK222" s="107"/>
      <c r="BL222" s="107"/>
      <c r="BM222" s="107"/>
      <c r="BN222" s="107"/>
      <c r="BO222" s="107"/>
      <c r="BP222" s="107"/>
      <c r="BQ222" s="107"/>
      <c r="BR222" s="107"/>
      <c r="BS222" s="107"/>
      <c r="BT222" s="107"/>
      <c r="BU222" s="107"/>
      <c r="BV222" s="107"/>
      <c r="BW222" s="107"/>
      <c r="BX222" s="107"/>
      <c r="BY222" s="107"/>
      <c r="BZ222" s="107"/>
      <c r="CA222" s="107"/>
      <c r="CB222" s="107"/>
      <c r="CC222" s="107"/>
      <c r="CD222" s="107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  <c r="DH222" s="102"/>
      <c r="DI222" s="102"/>
      <c r="DJ222" s="102"/>
      <c r="DK222" s="102"/>
      <c r="DL222" s="102"/>
      <c r="DM222" s="102"/>
      <c r="DN222" s="102"/>
      <c r="DO222" s="102"/>
      <c r="DP222" s="102"/>
    </row>
    <row r="223" spans="1:120" x14ac:dyDescent="0.25">
      <c r="A223" s="4"/>
      <c r="D223"/>
      <c r="E223"/>
      <c r="F223"/>
      <c r="J223" s="68" t="str">
        <f t="shared" si="84"/>
        <v/>
      </c>
      <c r="K223" s="68" t="str">
        <f t="shared" si="85"/>
        <v/>
      </c>
      <c r="L223" s="69" t="str">
        <f t="shared" si="86"/>
        <v/>
      </c>
      <c r="M223" s="69" t="str">
        <f t="shared" si="87"/>
        <v/>
      </c>
      <c r="N223" s="69" t="str">
        <f>IF(A223="","",Tabela1[[#This Row],[PTC]]*Tabela1[[#This Row],[ODDC]])</f>
        <v/>
      </c>
      <c r="O223" s="69" t="str">
        <f>IF(A223="","",Tabela1[[#This Row],[PTV]]*Tabela1[[#This Row],[ODDV]])</f>
        <v/>
      </c>
      <c r="P223" s="68" t="str">
        <f t="shared" si="88"/>
        <v/>
      </c>
      <c r="Q223" s="68" t="str">
        <f t="shared" si="89"/>
        <v/>
      </c>
      <c r="R223" s="68" t="str">
        <f t="shared" si="90"/>
        <v/>
      </c>
      <c r="S223" s="68" t="str">
        <f t="shared" si="91"/>
        <v/>
      </c>
      <c r="T223" s="68" t="str">
        <f>IF(A223="","",IF(F223="D",Tabela1[[#This Row],[ODDE]]-1,-1))</f>
        <v/>
      </c>
      <c r="U223" s="70" t="str">
        <f>IF(A223="","",IF(AND(Tabela1[[#This Row],[FTHG]]&gt;3,F223="H"),1,0))</f>
        <v/>
      </c>
      <c r="V223" s="70" t="str">
        <f>IF(A223="","",IF(AND(Tabela1[[#This Row],[FTAG]]&gt;3,F223="A"),1,0))</f>
        <v/>
      </c>
      <c r="W223" s="70" t="str">
        <f t="shared" si="92"/>
        <v/>
      </c>
      <c r="X223" s="70" t="str">
        <f t="shared" si="93"/>
        <v/>
      </c>
      <c r="Y223" s="71" t="str">
        <f t="shared" si="94"/>
        <v/>
      </c>
      <c r="Z223" s="70" t="str">
        <f t="shared" si="95"/>
        <v/>
      </c>
      <c r="AA223" s="70" t="str">
        <f t="shared" si="96"/>
        <v/>
      </c>
      <c r="AB223" s="70" t="str">
        <f t="shared" si="97"/>
        <v/>
      </c>
      <c r="AC223" s="71" t="str">
        <f t="shared" si="98"/>
        <v/>
      </c>
      <c r="AD223" s="72" t="str">
        <f t="shared" si="99"/>
        <v/>
      </c>
      <c r="AE223" s="73" t="str">
        <f>IF(A223="","",COUNT($N$2:N223))</f>
        <v/>
      </c>
      <c r="AF223" s="74" t="str">
        <f t="shared" si="100"/>
        <v/>
      </c>
      <c r="AG223" s="74" t="str">
        <f t="shared" si="101"/>
        <v/>
      </c>
      <c r="AH223" s="74" t="str">
        <f t="shared" si="102"/>
        <v/>
      </c>
      <c r="AI223" s="74" t="str">
        <f t="shared" si="103"/>
        <v/>
      </c>
      <c r="AJ223" s="74" t="str">
        <f t="shared" si="104"/>
        <v/>
      </c>
      <c r="AK223" s="74" t="str">
        <f>IF(A223="","",1/Tabela1[[#This Row],[ODDC]])</f>
        <v/>
      </c>
      <c r="AL223" s="74" t="str">
        <f>IF(A223="","",1/Tabela1[[#This Row],[ODDE]])</f>
        <v/>
      </c>
      <c r="AM223" s="74" t="str">
        <f>IF(A223="","",1/Tabela1[[#This Row],[ODDV]])</f>
        <v/>
      </c>
      <c r="AN223" s="74" t="str">
        <f>IF(A223="","",1-(Tabela1[[#This Row],[p(H)]]+Tabela1[[#This Row],[p(D)]]+Tabela1[[#This Row],[p(A)]]))</f>
        <v/>
      </c>
      <c r="AO223" s="74" t="str">
        <f>IF(A223="","",IFERROR(Tabela1[[#This Row],[p(H)]]/Tabela1[[#This Row],[FTHG]],1))</f>
        <v/>
      </c>
      <c r="AP223" s="74" t="str">
        <f>IF(A223="","",IFERROR(Tabela1[[#This Row],[p(A)]]/Tabela1[[#This Row],[FTAG]],1))</f>
        <v/>
      </c>
      <c r="AQ223" s="107"/>
      <c r="AR223" s="107"/>
      <c r="AS223" s="107"/>
      <c r="AT223" s="107"/>
      <c r="AU223" s="107"/>
      <c r="AV223" s="107"/>
      <c r="AW223" s="107"/>
      <c r="AX223" s="107"/>
      <c r="AY223" s="107"/>
      <c r="AZ223" s="107"/>
      <c r="BA223" s="107"/>
      <c r="BB223" s="107"/>
      <c r="BC223" s="107"/>
      <c r="BD223" s="107"/>
      <c r="BE223" s="107"/>
      <c r="BF223" s="107"/>
      <c r="BG223" s="107"/>
      <c r="BH223" s="107"/>
      <c r="BI223" s="107"/>
      <c r="BJ223" s="107"/>
      <c r="BK223" s="107"/>
      <c r="BL223" s="107"/>
      <c r="BM223" s="107"/>
      <c r="BN223" s="107"/>
      <c r="BO223" s="107"/>
      <c r="BP223" s="107"/>
      <c r="BQ223" s="107"/>
      <c r="BR223" s="107"/>
      <c r="BS223" s="107"/>
      <c r="BT223" s="107"/>
      <c r="BU223" s="107"/>
      <c r="BV223" s="107"/>
      <c r="BW223" s="107"/>
      <c r="BX223" s="107"/>
      <c r="BY223" s="107"/>
      <c r="BZ223" s="107"/>
      <c r="CA223" s="107"/>
      <c r="CB223" s="107"/>
      <c r="CC223" s="107"/>
      <c r="CD223" s="107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  <c r="DH223" s="102"/>
      <c r="DI223" s="102"/>
      <c r="DJ223" s="102"/>
      <c r="DK223" s="102"/>
      <c r="DL223" s="102"/>
      <c r="DM223" s="102"/>
      <c r="DN223" s="102"/>
      <c r="DO223" s="102"/>
      <c r="DP223" s="102"/>
    </row>
    <row r="224" spans="1:120" x14ac:dyDescent="0.25">
      <c r="A224" s="4"/>
      <c r="D224"/>
      <c r="E224"/>
      <c r="F224"/>
      <c r="J224" s="68" t="str">
        <f t="shared" si="84"/>
        <v/>
      </c>
      <c r="K224" s="68" t="str">
        <f t="shared" si="85"/>
        <v/>
      </c>
      <c r="L224" s="69" t="str">
        <f t="shared" si="86"/>
        <v/>
      </c>
      <c r="M224" s="69" t="str">
        <f t="shared" si="87"/>
        <v/>
      </c>
      <c r="N224" s="69" t="str">
        <f>IF(A224="","",Tabela1[[#This Row],[PTC]]*Tabela1[[#This Row],[ODDC]])</f>
        <v/>
      </c>
      <c r="O224" s="69" t="str">
        <f>IF(A224="","",Tabela1[[#This Row],[PTV]]*Tabela1[[#This Row],[ODDV]])</f>
        <v/>
      </c>
      <c r="P224" s="68" t="str">
        <f t="shared" si="88"/>
        <v/>
      </c>
      <c r="Q224" s="68" t="str">
        <f t="shared" si="89"/>
        <v/>
      </c>
      <c r="R224" s="68" t="str">
        <f t="shared" si="90"/>
        <v/>
      </c>
      <c r="S224" s="68" t="str">
        <f t="shared" si="91"/>
        <v/>
      </c>
      <c r="T224" s="68" t="str">
        <f>IF(A224="","",IF(F224="D",Tabela1[[#This Row],[ODDE]]-1,-1))</f>
        <v/>
      </c>
      <c r="U224" s="70" t="str">
        <f>IF(A224="","",IF(AND(Tabela1[[#This Row],[FTHG]]&gt;3,F224="H"),1,0))</f>
        <v/>
      </c>
      <c r="V224" s="70" t="str">
        <f>IF(A224="","",IF(AND(Tabela1[[#This Row],[FTAG]]&gt;3,F224="A"),1,0))</f>
        <v/>
      </c>
      <c r="W224" s="70" t="str">
        <f t="shared" si="92"/>
        <v/>
      </c>
      <c r="X224" s="70" t="str">
        <f t="shared" si="93"/>
        <v/>
      </c>
      <c r="Y224" s="71" t="str">
        <f t="shared" si="94"/>
        <v/>
      </c>
      <c r="Z224" s="70" t="str">
        <f t="shared" si="95"/>
        <v/>
      </c>
      <c r="AA224" s="70" t="str">
        <f t="shared" si="96"/>
        <v/>
      </c>
      <c r="AB224" s="70" t="str">
        <f t="shared" si="97"/>
        <v/>
      </c>
      <c r="AC224" s="71" t="str">
        <f t="shared" si="98"/>
        <v/>
      </c>
      <c r="AD224" s="72" t="str">
        <f t="shared" si="99"/>
        <v/>
      </c>
      <c r="AE224" s="73" t="str">
        <f>IF(A224="","",COUNT($N$2:N224))</f>
        <v/>
      </c>
      <c r="AF224" s="74" t="str">
        <f t="shared" si="100"/>
        <v/>
      </c>
      <c r="AG224" s="74" t="str">
        <f t="shared" si="101"/>
        <v/>
      </c>
      <c r="AH224" s="74" t="str">
        <f t="shared" si="102"/>
        <v/>
      </c>
      <c r="AI224" s="74" t="str">
        <f t="shared" si="103"/>
        <v/>
      </c>
      <c r="AJ224" s="74" t="str">
        <f t="shared" si="104"/>
        <v/>
      </c>
      <c r="AK224" s="74" t="str">
        <f>IF(A224="","",1/Tabela1[[#This Row],[ODDC]])</f>
        <v/>
      </c>
      <c r="AL224" s="74" t="str">
        <f>IF(A224="","",1/Tabela1[[#This Row],[ODDE]])</f>
        <v/>
      </c>
      <c r="AM224" s="74" t="str">
        <f>IF(A224="","",1/Tabela1[[#This Row],[ODDV]])</f>
        <v/>
      </c>
      <c r="AN224" s="74" t="str">
        <f>IF(A224="","",1-(Tabela1[[#This Row],[p(H)]]+Tabela1[[#This Row],[p(D)]]+Tabela1[[#This Row],[p(A)]]))</f>
        <v/>
      </c>
      <c r="AO224" s="74" t="str">
        <f>IF(A224="","",IFERROR(Tabela1[[#This Row],[p(H)]]/Tabela1[[#This Row],[FTHG]],1))</f>
        <v/>
      </c>
      <c r="AP224" s="74" t="str">
        <f>IF(A224="","",IFERROR(Tabela1[[#This Row],[p(A)]]/Tabela1[[#This Row],[FTAG]],1))</f>
        <v/>
      </c>
      <c r="AQ224" s="107"/>
      <c r="AR224" s="107"/>
      <c r="AS224" s="107"/>
      <c r="AT224" s="107"/>
      <c r="AU224" s="107"/>
      <c r="AV224" s="107"/>
      <c r="AW224" s="107"/>
      <c r="AX224" s="107"/>
      <c r="AY224" s="107"/>
      <c r="AZ224" s="107"/>
      <c r="BA224" s="107"/>
      <c r="BB224" s="107"/>
      <c r="BC224" s="107"/>
      <c r="BD224" s="107"/>
      <c r="BE224" s="107"/>
      <c r="BF224" s="107"/>
      <c r="BG224" s="107"/>
      <c r="BH224" s="107"/>
      <c r="BI224" s="107"/>
      <c r="BJ224" s="107"/>
      <c r="BK224" s="107"/>
      <c r="BL224" s="107"/>
      <c r="BM224" s="107"/>
      <c r="BN224" s="107"/>
      <c r="BO224" s="107"/>
      <c r="BP224" s="107"/>
      <c r="BQ224" s="107"/>
      <c r="BR224" s="107"/>
      <c r="BS224" s="107"/>
      <c r="BT224" s="107"/>
      <c r="BU224" s="107"/>
      <c r="BV224" s="107"/>
      <c r="BW224" s="107"/>
      <c r="BX224" s="107"/>
      <c r="BY224" s="107"/>
      <c r="BZ224" s="107"/>
      <c r="CA224" s="107"/>
      <c r="CB224" s="107"/>
      <c r="CC224" s="107"/>
      <c r="CD224" s="107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  <c r="DH224" s="102"/>
      <c r="DI224" s="102"/>
      <c r="DJ224" s="102"/>
      <c r="DK224" s="102"/>
      <c r="DL224" s="102"/>
      <c r="DM224" s="102"/>
      <c r="DN224" s="102"/>
      <c r="DO224" s="102"/>
      <c r="DP224" s="102"/>
    </row>
    <row r="225" spans="1:120" x14ac:dyDescent="0.25">
      <c r="A225" s="4"/>
      <c r="D225"/>
      <c r="E225"/>
      <c r="F225"/>
      <c r="J225" s="68" t="str">
        <f t="shared" si="84"/>
        <v/>
      </c>
      <c r="K225" s="68" t="str">
        <f t="shared" si="85"/>
        <v/>
      </c>
      <c r="L225" s="69" t="str">
        <f t="shared" si="86"/>
        <v/>
      </c>
      <c r="M225" s="69" t="str">
        <f t="shared" si="87"/>
        <v/>
      </c>
      <c r="N225" s="69" t="str">
        <f>IF(A225="","",Tabela1[[#This Row],[PTC]]*Tabela1[[#This Row],[ODDC]])</f>
        <v/>
      </c>
      <c r="O225" s="69" t="str">
        <f>IF(A225="","",Tabela1[[#This Row],[PTV]]*Tabela1[[#This Row],[ODDV]])</f>
        <v/>
      </c>
      <c r="P225" s="68" t="str">
        <f t="shared" si="88"/>
        <v/>
      </c>
      <c r="Q225" s="68" t="str">
        <f t="shared" si="89"/>
        <v/>
      </c>
      <c r="R225" s="68" t="str">
        <f t="shared" si="90"/>
        <v/>
      </c>
      <c r="S225" s="68" t="str">
        <f t="shared" si="91"/>
        <v/>
      </c>
      <c r="T225" s="68" t="str">
        <f>IF(A225="","",IF(F225="D",Tabela1[[#This Row],[ODDE]]-1,-1))</f>
        <v/>
      </c>
      <c r="U225" s="70" t="str">
        <f>IF(A225="","",IF(AND(Tabela1[[#This Row],[FTHG]]&gt;3,F225="H"),1,0))</f>
        <v/>
      </c>
      <c r="V225" s="70" t="str">
        <f>IF(A225="","",IF(AND(Tabela1[[#This Row],[FTAG]]&gt;3,F225="A"),1,0))</f>
        <v/>
      </c>
      <c r="W225" s="70" t="str">
        <f t="shared" si="92"/>
        <v/>
      </c>
      <c r="X225" s="70" t="str">
        <f t="shared" si="93"/>
        <v/>
      </c>
      <c r="Y225" s="71" t="str">
        <f t="shared" si="94"/>
        <v/>
      </c>
      <c r="Z225" s="70" t="str">
        <f t="shared" si="95"/>
        <v/>
      </c>
      <c r="AA225" s="70" t="str">
        <f t="shared" si="96"/>
        <v/>
      </c>
      <c r="AB225" s="70" t="str">
        <f t="shared" si="97"/>
        <v/>
      </c>
      <c r="AC225" s="71" t="str">
        <f t="shared" si="98"/>
        <v/>
      </c>
      <c r="AD225" s="72" t="str">
        <f t="shared" si="99"/>
        <v/>
      </c>
      <c r="AE225" s="73" t="str">
        <f>IF(A225="","",COUNT($N$2:N225))</f>
        <v/>
      </c>
      <c r="AF225" s="74" t="str">
        <f t="shared" si="100"/>
        <v/>
      </c>
      <c r="AG225" s="74" t="str">
        <f t="shared" si="101"/>
        <v/>
      </c>
      <c r="AH225" s="74" t="str">
        <f t="shared" si="102"/>
        <v/>
      </c>
      <c r="AI225" s="74" t="str">
        <f t="shared" si="103"/>
        <v/>
      </c>
      <c r="AJ225" s="74" t="str">
        <f t="shared" si="104"/>
        <v/>
      </c>
      <c r="AK225" s="74" t="str">
        <f>IF(A225="","",1/Tabela1[[#This Row],[ODDC]])</f>
        <v/>
      </c>
      <c r="AL225" s="74" t="str">
        <f>IF(A225="","",1/Tabela1[[#This Row],[ODDE]])</f>
        <v/>
      </c>
      <c r="AM225" s="74" t="str">
        <f>IF(A225="","",1/Tabela1[[#This Row],[ODDV]])</f>
        <v/>
      </c>
      <c r="AN225" s="74" t="str">
        <f>IF(A225="","",1-(Tabela1[[#This Row],[p(H)]]+Tabela1[[#This Row],[p(D)]]+Tabela1[[#This Row],[p(A)]]))</f>
        <v/>
      </c>
      <c r="AO225" s="74" t="str">
        <f>IF(A225="","",IFERROR(Tabela1[[#This Row],[p(H)]]/Tabela1[[#This Row],[FTHG]],1))</f>
        <v/>
      </c>
      <c r="AP225" s="74" t="str">
        <f>IF(A225="","",IFERROR(Tabela1[[#This Row],[p(A)]]/Tabela1[[#This Row],[FTAG]],1))</f>
        <v/>
      </c>
      <c r="AQ225" s="107"/>
      <c r="AR225" s="107"/>
      <c r="AS225" s="107"/>
      <c r="AT225" s="107"/>
      <c r="AU225" s="107"/>
      <c r="AV225" s="107"/>
      <c r="AW225" s="107"/>
      <c r="AX225" s="107"/>
      <c r="AY225" s="107"/>
      <c r="AZ225" s="107"/>
      <c r="BA225" s="107"/>
      <c r="BB225" s="107"/>
      <c r="BC225" s="107"/>
      <c r="BD225" s="107"/>
      <c r="BE225" s="107"/>
      <c r="BF225" s="107"/>
      <c r="BG225" s="107"/>
      <c r="BH225" s="107"/>
      <c r="BI225" s="107"/>
      <c r="BJ225" s="107"/>
      <c r="BK225" s="107"/>
      <c r="BL225" s="107"/>
      <c r="BM225" s="107"/>
      <c r="BN225" s="107"/>
      <c r="BO225" s="107"/>
      <c r="BP225" s="107"/>
      <c r="BQ225" s="107"/>
      <c r="BR225" s="107"/>
      <c r="BS225" s="107"/>
      <c r="BT225" s="107"/>
      <c r="BU225" s="107"/>
      <c r="BV225" s="107"/>
      <c r="BW225" s="107"/>
      <c r="BX225" s="107"/>
      <c r="BY225" s="107"/>
      <c r="BZ225" s="107"/>
      <c r="CA225" s="107"/>
      <c r="CB225" s="107"/>
      <c r="CC225" s="107"/>
      <c r="CD225" s="107"/>
      <c r="CE225" s="102"/>
      <c r="CF225" s="102"/>
      <c r="CG225" s="102"/>
      <c r="CH225" s="102"/>
      <c r="CI225" s="102"/>
      <c r="CJ225" s="102"/>
      <c r="CK225" s="102"/>
      <c r="CL225" s="102"/>
      <c r="CM225" s="102"/>
      <c r="CN225" s="102"/>
      <c r="CO225" s="102"/>
      <c r="CP225" s="102"/>
      <c r="CQ225" s="102"/>
      <c r="CR225" s="102"/>
      <c r="CS225" s="102"/>
      <c r="CT225" s="102"/>
      <c r="CU225" s="102"/>
      <c r="CV225" s="102"/>
      <c r="CW225" s="102"/>
      <c r="CX225" s="102"/>
      <c r="CY225" s="102"/>
      <c r="CZ225" s="102"/>
      <c r="DA225" s="102"/>
      <c r="DB225" s="102"/>
      <c r="DC225" s="102"/>
      <c r="DD225" s="102"/>
      <c r="DE225" s="102"/>
      <c r="DF225" s="102"/>
      <c r="DG225" s="102"/>
      <c r="DH225" s="102"/>
      <c r="DI225" s="102"/>
      <c r="DJ225" s="102"/>
      <c r="DK225" s="102"/>
      <c r="DL225" s="102"/>
      <c r="DM225" s="102"/>
      <c r="DN225" s="102"/>
      <c r="DO225" s="102"/>
      <c r="DP225" s="102"/>
    </row>
    <row r="226" spans="1:120" x14ac:dyDescent="0.25">
      <c r="A226" s="4"/>
      <c r="D226"/>
      <c r="E226"/>
      <c r="F226"/>
      <c r="J226" s="68" t="str">
        <f t="shared" si="84"/>
        <v/>
      </c>
      <c r="K226" s="68" t="str">
        <f t="shared" si="85"/>
        <v/>
      </c>
      <c r="L226" s="69" t="str">
        <f t="shared" si="86"/>
        <v/>
      </c>
      <c r="M226" s="69" t="str">
        <f t="shared" si="87"/>
        <v/>
      </c>
      <c r="N226" s="69" t="str">
        <f>IF(A226="","",Tabela1[[#This Row],[PTC]]*Tabela1[[#This Row],[ODDC]])</f>
        <v/>
      </c>
      <c r="O226" s="69" t="str">
        <f>IF(A226="","",Tabela1[[#This Row],[PTV]]*Tabela1[[#This Row],[ODDV]])</f>
        <v/>
      </c>
      <c r="P226" s="68" t="str">
        <f t="shared" si="88"/>
        <v/>
      </c>
      <c r="Q226" s="68" t="str">
        <f t="shared" si="89"/>
        <v/>
      </c>
      <c r="R226" s="68" t="str">
        <f t="shared" si="90"/>
        <v/>
      </c>
      <c r="S226" s="68" t="str">
        <f t="shared" si="91"/>
        <v/>
      </c>
      <c r="T226" s="68" t="str">
        <f>IF(A226="","",IF(F226="D",Tabela1[[#This Row],[ODDE]]-1,-1))</f>
        <v/>
      </c>
      <c r="U226" s="70" t="str">
        <f>IF(A226="","",IF(AND(Tabela1[[#This Row],[FTHG]]&gt;3,F226="H"),1,0))</f>
        <v/>
      </c>
      <c r="V226" s="70" t="str">
        <f>IF(A226="","",IF(AND(Tabela1[[#This Row],[FTAG]]&gt;3,F226="A"),1,0))</f>
        <v/>
      </c>
      <c r="W226" s="70" t="str">
        <f t="shared" si="92"/>
        <v/>
      </c>
      <c r="X226" s="70" t="str">
        <f t="shared" si="93"/>
        <v/>
      </c>
      <c r="Y226" s="71" t="str">
        <f t="shared" si="94"/>
        <v/>
      </c>
      <c r="Z226" s="70" t="str">
        <f t="shared" si="95"/>
        <v/>
      </c>
      <c r="AA226" s="70" t="str">
        <f t="shared" si="96"/>
        <v/>
      </c>
      <c r="AB226" s="70" t="str">
        <f t="shared" si="97"/>
        <v/>
      </c>
      <c r="AC226" s="71" t="str">
        <f t="shared" si="98"/>
        <v/>
      </c>
      <c r="AD226" s="72" t="str">
        <f t="shared" si="99"/>
        <v/>
      </c>
      <c r="AE226" s="73" t="str">
        <f>IF(A226="","",COUNT($N$2:N226))</f>
        <v/>
      </c>
      <c r="AF226" s="74" t="str">
        <f t="shared" si="100"/>
        <v/>
      </c>
      <c r="AG226" s="74" t="str">
        <f t="shared" si="101"/>
        <v/>
      </c>
      <c r="AH226" s="74" t="str">
        <f t="shared" si="102"/>
        <v/>
      </c>
      <c r="AI226" s="74" t="str">
        <f t="shared" si="103"/>
        <v/>
      </c>
      <c r="AJ226" s="74" t="str">
        <f t="shared" si="104"/>
        <v/>
      </c>
      <c r="AK226" s="74" t="str">
        <f>IF(A226="","",1/Tabela1[[#This Row],[ODDC]])</f>
        <v/>
      </c>
      <c r="AL226" s="74" t="str">
        <f>IF(A226="","",1/Tabela1[[#This Row],[ODDE]])</f>
        <v/>
      </c>
      <c r="AM226" s="74" t="str">
        <f>IF(A226="","",1/Tabela1[[#This Row],[ODDV]])</f>
        <v/>
      </c>
      <c r="AN226" s="74" t="str">
        <f>IF(A226="","",1-(Tabela1[[#This Row],[p(H)]]+Tabela1[[#This Row],[p(D)]]+Tabela1[[#This Row],[p(A)]]))</f>
        <v/>
      </c>
      <c r="AO226" s="74" t="str">
        <f>IF(A226="","",IFERROR(Tabela1[[#This Row],[p(H)]]/Tabela1[[#This Row],[FTHG]],1))</f>
        <v/>
      </c>
      <c r="AP226" s="74" t="str">
        <f>IF(A226="","",IFERROR(Tabela1[[#This Row],[p(A)]]/Tabela1[[#This Row],[FTAG]],1))</f>
        <v/>
      </c>
      <c r="AQ226" s="107"/>
      <c r="AR226" s="107"/>
      <c r="AS226" s="107"/>
      <c r="AT226" s="107"/>
      <c r="AU226" s="107"/>
      <c r="AV226" s="107"/>
      <c r="AW226" s="107"/>
      <c r="AX226" s="107"/>
      <c r="AY226" s="107"/>
      <c r="AZ226" s="107"/>
      <c r="BA226" s="107"/>
      <c r="BB226" s="107"/>
      <c r="BC226" s="107"/>
      <c r="BD226" s="107"/>
      <c r="BE226" s="107"/>
      <c r="BF226" s="107"/>
      <c r="BG226" s="107"/>
      <c r="BH226" s="107"/>
      <c r="BI226" s="107"/>
      <c r="BJ226" s="107"/>
      <c r="BK226" s="107"/>
      <c r="BL226" s="107"/>
      <c r="BM226" s="107"/>
      <c r="BN226" s="107"/>
      <c r="BO226" s="107"/>
      <c r="BP226" s="107"/>
      <c r="BQ226" s="107"/>
      <c r="BR226" s="107"/>
      <c r="BS226" s="107"/>
      <c r="BT226" s="107"/>
      <c r="BU226" s="107"/>
      <c r="BV226" s="107"/>
      <c r="BW226" s="107"/>
      <c r="BX226" s="107"/>
      <c r="BY226" s="107"/>
      <c r="BZ226" s="107"/>
      <c r="CA226" s="107"/>
      <c r="CB226" s="107"/>
      <c r="CC226" s="107"/>
      <c r="CD226" s="107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2"/>
      <c r="CR226" s="102"/>
      <c r="CS226" s="102"/>
      <c r="CT226" s="102"/>
      <c r="CU226" s="102"/>
      <c r="CV226" s="102"/>
      <c r="CW226" s="102"/>
      <c r="CX226" s="102"/>
      <c r="CY226" s="102"/>
      <c r="CZ226" s="102"/>
      <c r="DA226" s="102"/>
      <c r="DB226" s="102"/>
      <c r="DC226" s="102"/>
      <c r="DD226" s="102"/>
      <c r="DE226" s="102"/>
      <c r="DF226" s="102"/>
      <c r="DG226" s="102"/>
      <c r="DH226" s="102"/>
      <c r="DI226" s="102"/>
      <c r="DJ226" s="102"/>
      <c r="DK226" s="102"/>
      <c r="DL226" s="102"/>
      <c r="DM226" s="102"/>
      <c r="DN226" s="102"/>
      <c r="DO226" s="102"/>
      <c r="DP226" s="102"/>
    </row>
    <row r="227" spans="1:120" x14ac:dyDescent="0.25">
      <c r="A227" s="4"/>
      <c r="D227"/>
      <c r="E227"/>
      <c r="F227"/>
      <c r="J227" s="68" t="str">
        <f t="shared" si="84"/>
        <v/>
      </c>
      <c r="K227" s="68" t="str">
        <f t="shared" si="85"/>
        <v/>
      </c>
      <c r="L227" s="69" t="str">
        <f t="shared" si="86"/>
        <v/>
      </c>
      <c r="M227" s="69" t="str">
        <f t="shared" si="87"/>
        <v/>
      </c>
      <c r="N227" s="69" t="str">
        <f>IF(A227="","",Tabela1[[#This Row],[PTC]]*Tabela1[[#This Row],[ODDC]])</f>
        <v/>
      </c>
      <c r="O227" s="69" t="str">
        <f>IF(A227="","",Tabela1[[#This Row],[PTV]]*Tabela1[[#This Row],[ODDV]])</f>
        <v/>
      </c>
      <c r="P227" s="68" t="str">
        <f t="shared" si="88"/>
        <v/>
      </c>
      <c r="Q227" s="68" t="str">
        <f t="shared" si="89"/>
        <v/>
      </c>
      <c r="R227" s="68" t="str">
        <f t="shared" si="90"/>
        <v/>
      </c>
      <c r="S227" s="68" t="str">
        <f t="shared" si="91"/>
        <v/>
      </c>
      <c r="T227" s="68" t="str">
        <f>IF(A227="","",IF(F227="D",Tabela1[[#This Row],[ODDE]]-1,-1))</f>
        <v/>
      </c>
      <c r="U227" s="70" t="str">
        <f>IF(A227="","",IF(AND(Tabela1[[#This Row],[FTHG]]&gt;3,F227="H"),1,0))</f>
        <v/>
      </c>
      <c r="V227" s="70" t="str">
        <f>IF(A227="","",IF(AND(Tabela1[[#This Row],[FTAG]]&gt;3,F227="A"),1,0))</f>
        <v/>
      </c>
      <c r="W227" s="70" t="str">
        <f t="shared" si="92"/>
        <v/>
      </c>
      <c r="X227" s="70" t="str">
        <f t="shared" si="93"/>
        <v/>
      </c>
      <c r="Y227" s="71" t="str">
        <f t="shared" si="94"/>
        <v/>
      </c>
      <c r="Z227" s="70" t="str">
        <f t="shared" si="95"/>
        <v/>
      </c>
      <c r="AA227" s="70" t="str">
        <f t="shared" si="96"/>
        <v/>
      </c>
      <c r="AB227" s="70" t="str">
        <f t="shared" si="97"/>
        <v/>
      </c>
      <c r="AC227" s="71" t="str">
        <f t="shared" si="98"/>
        <v/>
      </c>
      <c r="AD227" s="72" t="str">
        <f t="shared" si="99"/>
        <v/>
      </c>
      <c r="AE227" s="73" t="str">
        <f>IF(A227="","",COUNT($N$2:N227))</f>
        <v/>
      </c>
      <c r="AF227" s="74" t="str">
        <f t="shared" si="100"/>
        <v/>
      </c>
      <c r="AG227" s="74" t="str">
        <f t="shared" si="101"/>
        <v/>
      </c>
      <c r="AH227" s="74" t="str">
        <f t="shared" si="102"/>
        <v/>
      </c>
      <c r="AI227" s="74" t="str">
        <f t="shared" si="103"/>
        <v/>
      </c>
      <c r="AJ227" s="74" t="str">
        <f t="shared" si="104"/>
        <v/>
      </c>
      <c r="AK227" s="74" t="str">
        <f>IF(A227="","",1/Tabela1[[#This Row],[ODDC]])</f>
        <v/>
      </c>
      <c r="AL227" s="74" t="str">
        <f>IF(A227="","",1/Tabela1[[#This Row],[ODDE]])</f>
        <v/>
      </c>
      <c r="AM227" s="74" t="str">
        <f>IF(A227="","",1/Tabela1[[#This Row],[ODDV]])</f>
        <v/>
      </c>
      <c r="AN227" s="74" t="str">
        <f>IF(A227="","",1-(Tabela1[[#This Row],[p(H)]]+Tabela1[[#This Row],[p(D)]]+Tabela1[[#This Row],[p(A)]]))</f>
        <v/>
      </c>
      <c r="AO227" s="74" t="str">
        <f>IF(A227="","",IFERROR(Tabela1[[#This Row],[p(H)]]/Tabela1[[#This Row],[FTHG]],1))</f>
        <v/>
      </c>
      <c r="AP227" s="74" t="str">
        <f>IF(A227="","",IFERROR(Tabela1[[#This Row],[p(A)]]/Tabela1[[#This Row],[FTAG]],1))</f>
        <v/>
      </c>
      <c r="AQ227" s="107"/>
      <c r="AR227" s="107"/>
      <c r="AS227" s="107"/>
      <c r="AT227" s="107"/>
      <c r="AU227" s="107"/>
      <c r="AV227" s="107"/>
      <c r="AW227" s="107"/>
      <c r="AX227" s="107"/>
      <c r="AY227" s="107"/>
      <c r="AZ227" s="107"/>
      <c r="BA227" s="107"/>
      <c r="BB227" s="107"/>
      <c r="BC227" s="107"/>
      <c r="BD227" s="107"/>
      <c r="BE227" s="107"/>
      <c r="BF227" s="107"/>
      <c r="BG227" s="107"/>
      <c r="BH227" s="107"/>
      <c r="BI227" s="107"/>
      <c r="BJ227" s="107"/>
      <c r="BK227" s="107"/>
      <c r="BL227" s="107"/>
      <c r="BM227" s="107"/>
      <c r="BN227" s="107"/>
      <c r="BO227" s="107"/>
      <c r="BP227" s="107"/>
      <c r="BQ227" s="107"/>
      <c r="BR227" s="107"/>
      <c r="BS227" s="107"/>
      <c r="BT227" s="107"/>
      <c r="BU227" s="107"/>
      <c r="BV227" s="107"/>
      <c r="BW227" s="107"/>
      <c r="BX227" s="107"/>
      <c r="BY227" s="107"/>
      <c r="BZ227" s="107"/>
      <c r="CA227" s="107"/>
      <c r="CB227" s="107"/>
      <c r="CC227" s="107"/>
      <c r="CD227" s="107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2"/>
      <c r="CR227" s="102"/>
      <c r="CS227" s="102"/>
      <c r="CT227" s="102"/>
      <c r="CU227" s="102"/>
      <c r="CV227" s="102"/>
      <c r="CW227" s="102"/>
      <c r="CX227" s="102"/>
      <c r="CY227" s="102"/>
      <c r="CZ227" s="102"/>
      <c r="DA227" s="102"/>
      <c r="DB227" s="102"/>
      <c r="DC227" s="102"/>
      <c r="DD227" s="102"/>
      <c r="DE227" s="102"/>
      <c r="DF227" s="102"/>
      <c r="DG227" s="102"/>
      <c r="DH227" s="102"/>
      <c r="DI227" s="102"/>
      <c r="DJ227" s="102"/>
      <c r="DK227" s="102"/>
      <c r="DL227" s="102"/>
      <c r="DM227" s="102"/>
      <c r="DN227" s="102"/>
      <c r="DO227" s="102"/>
      <c r="DP227" s="102"/>
    </row>
    <row r="228" spans="1:120" x14ac:dyDescent="0.25">
      <c r="A228" s="4"/>
      <c r="D228"/>
      <c r="E228"/>
      <c r="F228"/>
      <c r="J228" s="68" t="str">
        <f t="shared" si="84"/>
        <v/>
      </c>
      <c r="K228" s="68" t="str">
        <f t="shared" si="85"/>
        <v/>
      </c>
      <c r="L228" s="69" t="str">
        <f t="shared" si="86"/>
        <v/>
      </c>
      <c r="M228" s="69" t="str">
        <f t="shared" si="87"/>
        <v/>
      </c>
      <c r="N228" s="69" t="str">
        <f>IF(A228="","",Tabela1[[#This Row],[PTC]]*Tabela1[[#This Row],[ODDC]])</f>
        <v/>
      </c>
      <c r="O228" s="69" t="str">
        <f>IF(A228="","",Tabela1[[#This Row],[PTV]]*Tabela1[[#This Row],[ODDV]])</f>
        <v/>
      </c>
      <c r="P228" s="68" t="str">
        <f t="shared" si="88"/>
        <v/>
      </c>
      <c r="Q228" s="68" t="str">
        <f t="shared" si="89"/>
        <v/>
      </c>
      <c r="R228" s="68" t="str">
        <f t="shared" si="90"/>
        <v/>
      </c>
      <c r="S228" s="68" t="str">
        <f t="shared" si="91"/>
        <v/>
      </c>
      <c r="T228" s="68" t="str">
        <f>IF(A228="","",IF(F228="D",Tabela1[[#This Row],[ODDE]]-1,-1))</f>
        <v/>
      </c>
      <c r="U228" s="70" t="str">
        <f>IF(A228="","",IF(AND(Tabela1[[#This Row],[FTHG]]&gt;3,F228="H"),1,0))</f>
        <v/>
      </c>
      <c r="V228" s="70" t="str">
        <f>IF(A228="","",IF(AND(Tabela1[[#This Row],[FTAG]]&gt;3,F228="A"),1,0))</f>
        <v/>
      </c>
      <c r="W228" s="70" t="str">
        <f t="shared" si="92"/>
        <v/>
      </c>
      <c r="X228" s="70" t="str">
        <f t="shared" si="93"/>
        <v/>
      </c>
      <c r="Y228" s="71" t="str">
        <f t="shared" si="94"/>
        <v/>
      </c>
      <c r="Z228" s="70" t="str">
        <f t="shared" si="95"/>
        <v/>
      </c>
      <c r="AA228" s="70" t="str">
        <f t="shared" si="96"/>
        <v/>
      </c>
      <c r="AB228" s="70" t="str">
        <f t="shared" si="97"/>
        <v/>
      </c>
      <c r="AC228" s="71" t="str">
        <f t="shared" si="98"/>
        <v/>
      </c>
      <c r="AD228" s="72" t="str">
        <f t="shared" si="99"/>
        <v/>
      </c>
      <c r="AE228" s="73" t="str">
        <f>IF(A228="","",COUNT($N$2:N228))</f>
        <v/>
      </c>
      <c r="AF228" s="74" t="str">
        <f t="shared" si="100"/>
        <v/>
      </c>
      <c r="AG228" s="74" t="str">
        <f t="shared" si="101"/>
        <v/>
      </c>
      <c r="AH228" s="74" t="str">
        <f t="shared" si="102"/>
        <v/>
      </c>
      <c r="AI228" s="74" t="str">
        <f t="shared" si="103"/>
        <v/>
      </c>
      <c r="AJ228" s="74" t="str">
        <f t="shared" si="104"/>
        <v/>
      </c>
      <c r="AK228" s="74" t="str">
        <f>IF(A228="","",1/Tabela1[[#This Row],[ODDC]])</f>
        <v/>
      </c>
      <c r="AL228" s="74" t="str">
        <f>IF(A228="","",1/Tabela1[[#This Row],[ODDE]])</f>
        <v/>
      </c>
      <c r="AM228" s="74" t="str">
        <f>IF(A228="","",1/Tabela1[[#This Row],[ODDV]])</f>
        <v/>
      </c>
      <c r="AN228" s="74" t="str">
        <f>IF(A228="","",1-(Tabela1[[#This Row],[p(H)]]+Tabela1[[#This Row],[p(D)]]+Tabela1[[#This Row],[p(A)]]))</f>
        <v/>
      </c>
      <c r="AO228" s="74" t="str">
        <f>IF(A228="","",IFERROR(Tabela1[[#This Row],[p(H)]]/Tabela1[[#This Row],[FTHG]],1))</f>
        <v/>
      </c>
      <c r="AP228" s="74" t="str">
        <f>IF(A228="","",IFERROR(Tabela1[[#This Row],[p(A)]]/Tabela1[[#This Row],[FTAG]],1))</f>
        <v/>
      </c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  <c r="BC228" s="107"/>
      <c r="BD228" s="107"/>
      <c r="BE228" s="107"/>
      <c r="BF228" s="107"/>
      <c r="BG228" s="107"/>
      <c r="BH228" s="107"/>
      <c r="BI228" s="107"/>
      <c r="BJ228" s="107"/>
      <c r="BK228" s="107"/>
      <c r="BL228" s="107"/>
      <c r="BM228" s="107"/>
      <c r="BN228" s="107"/>
      <c r="BO228" s="107"/>
      <c r="BP228" s="107"/>
      <c r="BQ228" s="107"/>
      <c r="BR228" s="107"/>
      <c r="BS228" s="107"/>
      <c r="BT228" s="107"/>
      <c r="BU228" s="107"/>
      <c r="BV228" s="107"/>
      <c r="BW228" s="107"/>
      <c r="BX228" s="107"/>
      <c r="BY228" s="107"/>
      <c r="BZ228" s="107"/>
      <c r="CA228" s="107"/>
      <c r="CB228" s="107"/>
      <c r="CC228" s="107"/>
      <c r="CD228" s="107"/>
      <c r="CE228" s="102"/>
      <c r="CF228" s="102"/>
      <c r="CG228" s="102"/>
      <c r="CH228" s="102"/>
      <c r="CI228" s="102"/>
      <c r="CJ228" s="102"/>
      <c r="CK228" s="102"/>
      <c r="CL228" s="102"/>
      <c r="CM228" s="102"/>
      <c r="CN228" s="102"/>
      <c r="CO228" s="102"/>
      <c r="CP228" s="102"/>
      <c r="CQ228" s="102"/>
      <c r="CR228" s="102"/>
      <c r="CS228" s="102"/>
      <c r="CT228" s="102"/>
      <c r="CU228" s="102"/>
      <c r="CV228" s="102"/>
      <c r="CW228" s="102"/>
      <c r="CX228" s="102"/>
      <c r="CY228" s="102"/>
      <c r="CZ228" s="102"/>
      <c r="DA228" s="102"/>
      <c r="DB228" s="102"/>
      <c r="DC228" s="102"/>
      <c r="DD228" s="102"/>
      <c r="DE228" s="102"/>
      <c r="DF228" s="102"/>
      <c r="DG228" s="102"/>
      <c r="DH228" s="102"/>
      <c r="DI228" s="102"/>
      <c r="DJ228" s="102"/>
      <c r="DK228" s="102"/>
      <c r="DL228" s="102"/>
      <c r="DM228" s="102"/>
      <c r="DN228" s="102"/>
      <c r="DO228" s="102"/>
      <c r="DP228" s="102"/>
    </row>
    <row r="229" spans="1:120" x14ac:dyDescent="0.25">
      <c r="A229" s="4"/>
      <c r="D229"/>
      <c r="E229"/>
      <c r="F229"/>
      <c r="J229" s="68" t="str">
        <f t="shared" si="84"/>
        <v/>
      </c>
      <c r="K229" s="68" t="str">
        <f t="shared" si="85"/>
        <v/>
      </c>
      <c r="L229" s="69" t="str">
        <f t="shared" si="86"/>
        <v/>
      </c>
      <c r="M229" s="69" t="str">
        <f t="shared" si="87"/>
        <v/>
      </c>
      <c r="N229" s="69" t="str">
        <f>IF(A229="","",Tabela1[[#This Row],[PTC]]*Tabela1[[#This Row],[ODDC]])</f>
        <v/>
      </c>
      <c r="O229" s="69" t="str">
        <f>IF(A229="","",Tabela1[[#This Row],[PTV]]*Tabela1[[#This Row],[ODDV]])</f>
        <v/>
      </c>
      <c r="P229" s="68" t="str">
        <f t="shared" si="88"/>
        <v/>
      </c>
      <c r="Q229" s="68" t="str">
        <f t="shared" si="89"/>
        <v/>
      </c>
      <c r="R229" s="68" t="str">
        <f t="shared" si="90"/>
        <v/>
      </c>
      <c r="S229" s="68" t="str">
        <f t="shared" si="91"/>
        <v/>
      </c>
      <c r="T229" s="68" t="str">
        <f>IF(A229="","",IF(F229="D",Tabela1[[#This Row],[ODDE]]-1,-1))</f>
        <v/>
      </c>
      <c r="U229" s="70" t="str">
        <f>IF(A229="","",IF(AND(Tabela1[[#This Row],[FTHG]]&gt;3,F229="H"),1,0))</f>
        <v/>
      </c>
      <c r="V229" s="70" t="str">
        <f>IF(A229="","",IF(AND(Tabela1[[#This Row],[FTAG]]&gt;3,F229="A"),1,0))</f>
        <v/>
      </c>
      <c r="W229" s="70" t="str">
        <f t="shared" si="92"/>
        <v/>
      </c>
      <c r="X229" s="70" t="str">
        <f t="shared" si="93"/>
        <v/>
      </c>
      <c r="Y229" s="71" t="str">
        <f t="shared" si="94"/>
        <v/>
      </c>
      <c r="Z229" s="70" t="str">
        <f t="shared" si="95"/>
        <v/>
      </c>
      <c r="AA229" s="70" t="str">
        <f t="shared" si="96"/>
        <v/>
      </c>
      <c r="AB229" s="70" t="str">
        <f t="shared" si="97"/>
        <v/>
      </c>
      <c r="AC229" s="71" t="str">
        <f t="shared" si="98"/>
        <v/>
      </c>
      <c r="AD229" s="72" t="str">
        <f t="shared" si="99"/>
        <v/>
      </c>
      <c r="AE229" s="73" t="str">
        <f>IF(A229="","",COUNT($N$2:N229))</f>
        <v/>
      </c>
      <c r="AF229" s="74" t="str">
        <f t="shared" si="100"/>
        <v/>
      </c>
      <c r="AG229" s="74" t="str">
        <f t="shared" si="101"/>
        <v/>
      </c>
      <c r="AH229" s="74" t="str">
        <f t="shared" si="102"/>
        <v/>
      </c>
      <c r="AI229" s="74" t="str">
        <f t="shared" si="103"/>
        <v/>
      </c>
      <c r="AJ229" s="74" t="str">
        <f t="shared" si="104"/>
        <v/>
      </c>
      <c r="AK229" s="74" t="str">
        <f>IF(A229="","",1/Tabela1[[#This Row],[ODDC]])</f>
        <v/>
      </c>
      <c r="AL229" s="74" t="str">
        <f>IF(A229="","",1/Tabela1[[#This Row],[ODDE]])</f>
        <v/>
      </c>
      <c r="AM229" s="74" t="str">
        <f>IF(A229="","",1/Tabela1[[#This Row],[ODDV]])</f>
        <v/>
      </c>
      <c r="AN229" s="74" t="str">
        <f>IF(A229="","",1-(Tabela1[[#This Row],[p(H)]]+Tabela1[[#This Row],[p(D)]]+Tabela1[[#This Row],[p(A)]]))</f>
        <v/>
      </c>
      <c r="AO229" s="74" t="str">
        <f>IF(A229="","",IFERROR(Tabela1[[#This Row],[p(H)]]/Tabela1[[#This Row],[FTHG]],1))</f>
        <v/>
      </c>
      <c r="AP229" s="74" t="str">
        <f>IF(A229="","",IFERROR(Tabela1[[#This Row],[p(A)]]/Tabela1[[#This Row],[FTAG]],1))</f>
        <v/>
      </c>
      <c r="AQ229" s="107"/>
      <c r="AR229" s="107"/>
      <c r="AS229" s="107"/>
      <c r="AT229" s="107"/>
      <c r="AU229" s="107"/>
      <c r="AV229" s="107"/>
      <c r="AW229" s="107"/>
      <c r="AX229" s="107"/>
      <c r="AY229" s="107"/>
      <c r="AZ229" s="107"/>
      <c r="BA229" s="107"/>
      <c r="BB229" s="107"/>
      <c r="BC229" s="107"/>
      <c r="BD229" s="107"/>
      <c r="BE229" s="107"/>
      <c r="BF229" s="107"/>
      <c r="BG229" s="107"/>
      <c r="BH229" s="107"/>
      <c r="BI229" s="107"/>
      <c r="BJ229" s="107"/>
      <c r="BK229" s="107"/>
      <c r="BL229" s="107"/>
      <c r="BM229" s="107"/>
      <c r="BN229" s="107"/>
      <c r="BO229" s="107"/>
      <c r="BP229" s="107"/>
      <c r="BQ229" s="107"/>
      <c r="BR229" s="107"/>
      <c r="BS229" s="107"/>
      <c r="BT229" s="107"/>
      <c r="BU229" s="107"/>
      <c r="BV229" s="107"/>
      <c r="BW229" s="107"/>
      <c r="BX229" s="107"/>
      <c r="BY229" s="107"/>
      <c r="BZ229" s="107"/>
      <c r="CA229" s="107"/>
      <c r="CB229" s="107"/>
      <c r="CC229" s="107"/>
      <c r="CD229" s="107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2"/>
      <c r="CR229" s="102"/>
      <c r="CS229" s="102"/>
      <c r="CT229" s="102"/>
      <c r="CU229" s="102"/>
      <c r="CV229" s="102"/>
      <c r="CW229" s="102"/>
      <c r="CX229" s="102"/>
      <c r="CY229" s="102"/>
      <c r="CZ229" s="102"/>
      <c r="DA229" s="102"/>
      <c r="DB229" s="102"/>
      <c r="DC229" s="102"/>
      <c r="DD229" s="102"/>
      <c r="DE229" s="102"/>
      <c r="DF229" s="102"/>
      <c r="DG229" s="102"/>
      <c r="DH229" s="102"/>
      <c r="DI229" s="102"/>
      <c r="DJ229" s="102"/>
      <c r="DK229" s="102"/>
      <c r="DL229" s="102"/>
      <c r="DM229" s="102"/>
      <c r="DN229" s="102"/>
      <c r="DO229" s="102"/>
      <c r="DP229" s="102"/>
    </row>
    <row r="230" spans="1:120" x14ac:dyDescent="0.25">
      <c r="A230" s="4"/>
      <c r="D230"/>
      <c r="E230"/>
      <c r="F230"/>
      <c r="J230" s="68" t="str">
        <f t="shared" si="84"/>
        <v/>
      </c>
      <c r="K230" s="68" t="str">
        <f t="shared" si="85"/>
        <v/>
      </c>
      <c r="L230" s="69" t="str">
        <f t="shared" si="86"/>
        <v/>
      </c>
      <c r="M230" s="69" t="str">
        <f t="shared" si="87"/>
        <v/>
      </c>
      <c r="N230" s="69" t="str">
        <f>IF(A230="","",Tabela1[[#This Row],[PTC]]*Tabela1[[#This Row],[ODDC]])</f>
        <v/>
      </c>
      <c r="O230" s="69" t="str">
        <f>IF(A230="","",Tabela1[[#This Row],[PTV]]*Tabela1[[#This Row],[ODDV]])</f>
        <v/>
      </c>
      <c r="P230" s="68" t="str">
        <f t="shared" si="88"/>
        <v/>
      </c>
      <c r="Q230" s="68" t="str">
        <f t="shared" si="89"/>
        <v/>
      </c>
      <c r="R230" s="68" t="str">
        <f t="shared" si="90"/>
        <v/>
      </c>
      <c r="S230" s="68" t="str">
        <f t="shared" si="91"/>
        <v/>
      </c>
      <c r="T230" s="68" t="str">
        <f>IF(A230="","",IF(F230="D",Tabela1[[#This Row],[ODDE]]-1,-1))</f>
        <v/>
      </c>
      <c r="U230" s="70" t="str">
        <f>IF(A230="","",IF(AND(Tabela1[[#This Row],[FTHG]]&gt;3,F230="H"),1,0))</f>
        <v/>
      </c>
      <c r="V230" s="70" t="str">
        <f>IF(A230="","",IF(AND(Tabela1[[#This Row],[FTAG]]&gt;3,F230="A"),1,0))</f>
        <v/>
      </c>
      <c r="W230" s="70" t="str">
        <f t="shared" si="92"/>
        <v/>
      </c>
      <c r="X230" s="70" t="str">
        <f t="shared" si="93"/>
        <v/>
      </c>
      <c r="Y230" s="71" t="str">
        <f t="shared" si="94"/>
        <v/>
      </c>
      <c r="Z230" s="70" t="str">
        <f t="shared" si="95"/>
        <v/>
      </c>
      <c r="AA230" s="70" t="str">
        <f t="shared" si="96"/>
        <v/>
      </c>
      <c r="AB230" s="70" t="str">
        <f t="shared" si="97"/>
        <v/>
      </c>
      <c r="AC230" s="71" t="str">
        <f t="shared" si="98"/>
        <v/>
      </c>
      <c r="AD230" s="72" t="str">
        <f t="shared" si="99"/>
        <v/>
      </c>
      <c r="AE230" s="73" t="str">
        <f>IF(A230="","",COUNT($N$2:N230))</f>
        <v/>
      </c>
      <c r="AF230" s="74" t="str">
        <f t="shared" si="100"/>
        <v/>
      </c>
      <c r="AG230" s="74" t="str">
        <f t="shared" si="101"/>
        <v/>
      </c>
      <c r="AH230" s="74" t="str">
        <f t="shared" si="102"/>
        <v/>
      </c>
      <c r="AI230" s="74" t="str">
        <f t="shared" si="103"/>
        <v/>
      </c>
      <c r="AJ230" s="74" t="str">
        <f t="shared" si="104"/>
        <v/>
      </c>
      <c r="AK230" s="74" t="str">
        <f>IF(A230="","",1/Tabela1[[#This Row],[ODDC]])</f>
        <v/>
      </c>
      <c r="AL230" s="74" t="str">
        <f>IF(A230="","",1/Tabela1[[#This Row],[ODDE]])</f>
        <v/>
      </c>
      <c r="AM230" s="74" t="str">
        <f>IF(A230="","",1/Tabela1[[#This Row],[ODDV]])</f>
        <v/>
      </c>
      <c r="AN230" s="74" t="str">
        <f>IF(A230="","",1-(Tabela1[[#This Row],[p(H)]]+Tabela1[[#This Row],[p(D)]]+Tabela1[[#This Row],[p(A)]]))</f>
        <v/>
      </c>
      <c r="AO230" s="74" t="str">
        <f>IF(A230="","",IFERROR(Tabela1[[#This Row],[p(H)]]/Tabela1[[#This Row],[FTHG]],1))</f>
        <v/>
      </c>
      <c r="AP230" s="74" t="str">
        <f>IF(A230="","",IFERROR(Tabela1[[#This Row],[p(A)]]/Tabela1[[#This Row],[FTAG]],1))</f>
        <v/>
      </c>
      <c r="AQ230" s="107"/>
      <c r="AR230" s="107"/>
      <c r="AS230" s="107"/>
      <c r="AT230" s="107"/>
      <c r="AU230" s="107"/>
      <c r="AV230" s="107"/>
      <c r="AW230" s="107"/>
      <c r="AX230" s="107"/>
      <c r="AY230" s="107"/>
      <c r="AZ230" s="107"/>
      <c r="BA230" s="107"/>
      <c r="BB230" s="107"/>
      <c r="BC230" s="107"/>
      <c r="BD230" s="107"/>
      <c r="BE230" s="107"/>
      <c r="BF230" s="107"/>
      <c r="BG230" s="107"/>
      <c r="BH230" s="107"/>
      <c r="BI230" s="107"/>
      <c r="BJ230" s="107"/>
      <c r="BK230" s="107"/>
      <c r="BL230" s="107"/>
      <c r="BM230" s="107"/>
      <c r="BN230" s="107"/>
      <c r="BO230" s="107"/>
      <c r="BP230" s="107"/>
      <c r="BQ230" s="107"/>
      <c r="BR230" s="107"/>
      <c r="BS230" s="107"/>
      <c r="BT230" s="107"/>
      <c r="BU230" s="107"/>
      <c r="BV230" s="107"/>
      <c r="BW230" s="107"/>
      <c r="BX230" s="107"/>
      <c r="BY230" s="107"/>
      <c r="BZ230" s="107"/>
      <c r="CA230" s="107"/>
      <c r="CB230" s="107"/>
      <c r="CC230" s="107"/>
      <c r="CD230" s="107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2"/>
      <c r="CR230" s="102"/>
      <c r="CS230" s="102"/>
      <c r="CT230" s="102"/>
      <c r="CU230" s="102"/>
      <c r="CV230" s="102"/>
      <c r="CW230" s="102"/>
      <c r="CX230" s="102"/>
      <c r="CY230" s="102"/>
      <c r="CZ230" s="102"/>
      <c r="DA230" s="102"/>
      <c r="DB230" s="102"/>
      <c r="DC230" s="102"/>
      <c r="DD230" s="102"/>
      <c r="DE230" s="102"/>
      <c r="DF230" s="102"/>
      <c r="DG230" s="102"/>
      <c r="DH230" s="102"/>
      <c r="DI230" s="102"/>
      <c r="DJ230" s="102"/>
      <c r="DK230" s="102"/>
      <c r="DL230" s="102"/>
      <c r="DM230" s="102"/>
      <c r="DN230" s="102"/>
      <c r="DO230" s="102"/>
      <c r="DP230" s="102"/>
    </row>
    <row r="231" spans="1:120" x14ac:dyDescent="0.25">
      <c r="A231" s="4"/>
      <c r="D231"/>
      <c r="E231"/>
      <c r="F231"/>
      <c r="J231" s="68" t="str">
        <f t="shared" si="84"/>
        <v/>
      </c>
      <c r="K231" s="68" t="str">
        <f t="shared" si="85"/>
        <v/>
      </c>
      <c r="L231" s="69" t="str">
        <f t="shared" si="86"/>
        <v/>
      </c>
      <c r="M231" s="69" t="str">
        <f t="shared" si="87"/>
        <v/>
      </c>
      <c r="N231" s="69" t="str">
        <f>IF(A231="","",Tabela1[[#This Row],[PTC]]*Tabela1[[#This Row],[ODDC]])</f>
        <v/>
      </c>
      <c r="O231" s="69" t="str">
        <f>IF(A231="","",Tabela1[[#This Row],[PTV]]*Tabela1[[#This Row],[ODDV]])</f>
        <v/>
      </c>
      <c r="P231" s="68" t="str">
        <f t="shared" si="88"/>
        <v/>
      </c>
      <c r="Q231" s="68" t="str">
        <f t="shared" si="89"/>
        <v/>
      </c>
      <c r="R231" s="68" t="str">
        <f t="shared" si="90"/>
        <v/>
      </c>
      <c r="S231" s="68" t="str">
        <f t="shared" si="91"/>
        <v/>
      </c>
      <c r="T231" s="68" t="str">
        <f>IF(A231="","",IF(F231="D",Tabela1[[#This Row],[ODDE]]-1,-1))</f>
        <v/>
      </c>
      <c r="U231" s="70" t="str">
        <f>IF(A231="","",IF(AND(Tabela1[[#This Row],[FTHG]]&gt;3,F231="H"),1,0))</f>
        <v/>
      </c>
      <c r="V231" s="70" t="str">
        <f>IF(A231="","",IF(AND(Tabela1[[#This Row],[FTAG]]&gt;3,F231="A"),1,0))</f>
        <v/>
      </c>
      <c r="W231" s="70" t="str">
        <f t="shared" si="92"/>
        <v/>
      </c>
      <c r="X231" s="70" t="str">
        <f t="shared" si="93"/>
        <v/>
      </c>
      <c r="Y231" s="71" t="str">
        <f t="shared" si="94"/>
        <v/>
      </c>
      <c r="Z231" s="70" t="str">
        <f t="shared" si="95"/>
        <v/>
      </c>
      <c r="AA231" s="70" t="str">
        <f t="shared" si="96"/>
        <v/>
      </c>
      <c r="AB231" s="70" t="str">
        <f t="shared" si="97"/>
        <v/>
      </c>
      <c r="AC231" s="71" t="str">
        <f t="shared" si="98"/>
        <v/>
      </c>
      <c r="AD231" s="72" t="str">
        <f t="shared" si="99"/>
        <v/>
      </c>
      <c r="AE231" s="73" t="str">
        <f>IF(A231="","",COUNT($N$2:N231))</f>
        <v/>
      </c>
      <c r="AF231" s="74" t="str">
        <f t="shared" si="100"/>
        <v/>
      </c>
      <c r="AG231" s="74" t="str">
        <f t="shared" si="101"/>
        <v/>
      </c>
      <c r="AH231" s="74" t="str">
        <f t="shared" si="102"/>
        <v/>
      </c>
      <c r="AI231" s="74" t="str">
        <f t="shared" si="103"/>
        <v/>
      </c>
      <c r="AJ231" s="74" t="str">
        <f t="shared" si="104"/>
        <v/>
      </c>
      <c r="AK231" s="74" t="str">
        <f>IF(A231="","",1/Tabela1[[#This Row],[ODDC]])</f>
        <v/>
      </c>
      <c r="AL231" s="74" t="str">
        <f>IF(A231="","",1/Tabela1[[#This Row],[ODDE]])</f>
        <v/>
      </c>
      <c r="AM231" s="74" t="str">
        <f>IF(A231="","",1/Tabela1[[#This Row],[ODDV]])</f>
        <v/>
      </c>
      <c r="AN231" s="74" t="str">
        <f>IF(A231="","",1-(Tabela1[[#This Row],[p(H)]]+Tabela1[[#This Row],[p(D)]]+Tabela1[[#This Row],[p(A)]]))</f>
        <v/>
      </c>
      <c r="AO231" s="74" t="str">
        <f>IF(A231="","",IFERROR(Tabela1[[#This Row],[p(H)]]/Tabela1[[#This Row],[FTHG]],1))</f>
        <v/>
      </c>
      <c r="AP231" s="74" t="str">
        <f>IF(A231="","",IFERROR(Tabela1[[#This Row],[p(A)]]/Tabela1[[#This Row],[FTAG]],1))</f>
        <v/>
      </c>
      <c r="AQ231" s="107"/>
      <c r="AR231" s="107"/>
      <c r="AS231" s="107"/>
      <c r="AT231" s="107"/>
      <c r="AU231" s="107"/>
      <c r="AV231" s="107"/>
      <c r="AW231" s="107"/>
      <c r="AX231" s="107"/>
      <c r="AY231" s="107"/>
      <c r="AZ231" s="107"/>
      <c r="BA231" s="107"/>
      <c r="BB231" s="107"/>
      <c r="BC231" s="107"/>
      <c r="BD231" s="107"/>
      <c r="BE231" s="107"/>
      <c r="BF231" s="107"/>
      <c r="BG231" s="107"/>
      <c r="BH231" s="107"/>
      <c r="BI231" s="107"/>
      <c r="BJ231" s="107"/>
      <c r="BK231" s="107"/>
      <c r="BL231" s="107"/>
      <c r="BM231" s="107"/>
      <c r="BN231" s="107"/>
      <c r="BO231" s="107"/>
      <c r="BP231" s="107"/>
      <c r="BQ231" s="107"/>
      <c r="BR231" s="107"/>
      <c r="BS231" s="107"/>
      <c r="BT231" s="107"/>
      <c r="BU231" s="107"/>
      <c r="BV231" s="107"/>
      <c r="BW231" s="107"/>
      <c r="BX231" s="107"/>
      <c r="BY231" s="107"/>
      <c r="BZ231" s="107"/>
      <c r="CA231" s="107"/>
      <c r="CB231" s="107"/>
      <c r="CC231" s="107"/>
      <c r="CD231" s="107"/>
      <c r="CE231" s="102"/>
      <c r="CF231" s="102"/>
      <c r="CG231" s="102"/>
      <c r="CH231" s="102"/>
      <c r="CI231" s="102"/>
      <c r="CJ231" s="102"/>
      <c r="CK231" s="102"/>
      <c r="CL231" s="102"/>
      <c r="CM231" s="102"/>
      <c r="CN231" s="102"/>
      <c r="CO231" s="102"/>
      <c r="CP231" s="102"/>
      <c r="CQ231" s="102"/>
      <c r="CR231" s="102"/>
      <c r="CS231" s="102"/>
      <c r="CT231" s="102"/>
      <c r="CU231" s="102"/>
      <c r="CV231" s="102"/>
      <c r="CW231" s="102"/>
      <c r="CX231" s="102"/>
      <c r="CY231" s="102"/>
      <c r="CZ231" s="102"/>
      <c r="DA231" s="102"/>
      <c r="DB231" s="102"/>
      <c r="DC231" s="102"/>
      <c r="DD231" s="102"/>
      <c r="DE231" s="102"/>
      <c r="DF231" s="102"/>
      <c r="DG231" s="102"/>
      <c r="DH231" s="102"/>
      <c r="DI231" s="102"/>
      <c r="DJ231" s="102"/>
      <c r="DK231" s="102"/>
      <c r="DL231" s="102"/>
      <c r="DM231" s="102"/>
      <c r="DN231" s="102"/>
      <c r="DO231" s="102"/>
      <c r="DP231" s="102"/>
    </row>
    <row r="232" spans="1:120" x14ac:dyDescent="0.25">
      <c r="A232" s="4"/>
      <c r="D232"/>
      <c r="E232"/>
      <c r="F232"/>
      <c r="J232" s="68" t="str">
        <f t="shared" si="84"/>
        <v/>
      </c>
      <c r="K232" s="68" t="str">
        <f t="shared" si="85"/>
        <v/>
      </c>
      <c r="L232" s="69" t="str">
        <f t="shared" si="86"/>
        <v/>
      </c>
      <c r="M232" s="69" t="str">
        <f t="shared" si="87"/>
        <v/>
      </c>
      <c r="N232" s="69" t="str">
        <f>IF(A232="","",Tabela1[[#This Row],[PTC]]*Tabela1[[#This Row],[ODDC]])</f>
        <v/>
      </c>
      <c r="O232" s="69" t="str">
        <f>IF(A232="","",Tabela1[[#This Row],[PTV]]*Tabela1[[#This Row],[ODDV]])</f>
        <v/>
      </c>
      <c r="P232" s="68" t="str">
        <f t="shared" si="88"/>
        <v/>
      </c>
      <c r="Q232" s="68" t="str">
        <f t="shared" si="89"/>
        <v/>
      </c>
      <c r="R232" s="68" t="str">
        <f t="shared" si="90"/>
        <v/>
      </c>
      <c r="S232" s="68" t="str">
        <f t="shared" si="91"/>
        <v/>
      </c>
      <c r="T232" s="68" t="str">
        <f>IF(A232="","",IF(F232="D",Tabela1[[#This Row],[ODDE]]-1,-1))</f>
        <v/>
      </c>
      <c r="U232" s="70" t="str">
        <f>IF(A232="","",IF(AND(Tabela1[[#This Row],[FTHG]]&gt;3,F232="H"),1,0))</f>
        <v/>
      </c>
      <c r="V232" s="70" t="str">
        <f>IF(A232="","",IF(AND(Tabela1[[#This Row],[FTAG]]&gt;3,F232="A"),1,0))</f>
        <v/>
      </c>
      <c r="W232" s="70" t="str">
        <f t="shared" si="92"/>
        <v/>
      </c>
      <c r="X232" s="70" t="str">
        <f t="shared" si="93"/>
        <v/>
      </c>
      <c r="Y232" s="71" t="str">
        <f t="shared" si="94"/>
        <v/>
      </c>
      <c r="Z232" s="70" t="str">
        <f t="shared" si="95"/>
        <v/>
      </c>
      <c r="AA232" s="70" t="str">
        <f t="shared" si="96"/>
        <v/>
      </c>
      <c r="AB232" s="70" t="str">
        <f t="shared" si="97"/>
        <v/>
      </c>
      <c r="AC232" s="71" t="str">
        <f t="shared" si="98"/>
        <v/>
      </c>
      <c r="AD232" s="72" t="str">
        <f t="shared" si="99"/>
        <v/>
      </c>
      <c r="AE232" s="73" t="str">
        <f>IF(A232="","",COUNT($N$2:N232))</f>
        <v/>
      </c>
      <c r="AF232" s="74" t="str">
        <f t="shared" si="100"/>
        <v/>
      </c>
      <c r="AG232" s="74" t="str">
        <f t="shared" si="101"/>
        <v/>
      </c>
      <c r="AH232" s="74" t="str">
        <f t="shared" si="102"/>
        <v/>
      </c>
      <c r="AI232" s="74" t="str">
        <f t="shared" si="103"/>
        <v/>
      </c>
      <c r="AJ232" s="74" t="str">
        <f t="shared" si="104"/>
        <v/>
      </c>
      <c r="AK232" s="74" t="str">
        <f>IF(A232="","",1/Tabela1[[#This Row],[ODDC]])</f>
        <v/>
      </c>
      <c r="AL232" s="74" t="str">
        <f>IF(A232="","",1/Tabela1[[#This Row],[ODDE]])</f>
        <v/>
      </c>
      <c r="AM232" s="74" t="str">
        <f>IF(A232="","",1/Tabela1[[#This Row],[ODDV]])</f>
        <v/>
      </c>
      <c r="AN232" s="74" t="str">
        <f>IF(A232="","",1-(Tabela1[[#This Row],[p(H)]]+Tabela1[[#This Row],[p(D)]]+Tabela1[[#This Row],[p(A)]]))</f>
        <v/>
      </c>
      <c r="AO232" s="74" t="str">
        <f>IF(A232="","",IFERROR(Tabela1[[#This Row],[p(H)]]/Tabela1[[#This Row],[FTHG]],1))</f>
        <v/>
      </c>
      <c r="AP232" s="74" t="str">
        <f>IF(A232="","",IFERROR(Tabela1[[#This Row],[p(A)]]/Tabela1[[#This Row],[FTAG]],1))</f>
        <v/>
      </c>
      <c r="AQ232" s="107"/>
      <c r="AR232" s="107"/>
      <c r="AS232" s="107"/>
      <c r="AT232" s="107"/>
      <c r="AU232" s="107"/>
      <c r="AV232" s="107"/>
      <c r="AW232" s="107"/>
      <c r="AX232" s="107"/>
      <c r="AY232" s="107"/>
      <c r="AZ232" s="107"/>
      <c r="BA232" s="107"/>
      <c r="BB232" s="107"/>
      <c r="BC232" s="107"/>
      <c r="BD232" s="107"/>
      <c r="BE232" s="107"/>
      <c r="BF232" s="107"/>
      <c r="BG232" s="107"/>
      <c r="BH232" s="107"/>
      <c r="BI232" s="107"/>
      <c r="BJ232" s="107"/>
      <c r="BK232" s="107"/>
      <c r="BL232" s="107"/>
      <c r="BM232" s="107"/>
      <c r="BN232" s="107"/>
      <c r="BO232" s="107"/>
      <c r="BP232" s="107"/>
      <c r="BQ232" s="107"/>
      <c r="BR232" s="107"/>
      <c r="BS232" s="107"/>
      <c r="BT232" s="107"/>
      <c r="BU232" s="107"/>
      <c r="BV232" s="107"/>
      <c r="BW232" s="107"/>
      <c r="BX232" s="107"/>
      <c r="BY232" s="107"/>
      <c r="BZ232" s="107"/>
      <c r="CA232" s="107"/>
      <c r="CB232" s="107"/>
      <c r="CC232" s="107"/>
      <c r="CD232" s="107"/>
      <c r="CE232" s="102"/>
      <c r="CF232" s="102"/>
      <c r="CG232" s="102"/>
      <c r="CH232" s="102"/>
      <c r="CI232" s="102"/>
      <c r="CJ232" s="102"/>
      <c r="CK232" s="102"/>
      <c r="CL232" s="102"/>
      <c r="CM232" s="102"/>
      <c r="CN232" s="102"/>
      <c r="CO232" s="102"/>
      <c r="CP232" s="102"/>
      <c r="CQ232" s="102"/>
      <c r="CR232" s="102"/>
      <c r="CS232" s="102"/>
      <c r="CT232" s="102"/>
      <c r="CU232" s="102"/>
      <c r="CV232" s="102"/>
      <c r="CW232" s="102"/>
      <c r="CX232" s="102"/>
      <c r="CY232" s="102"/>
      <c r="CZ232" s="102"/>
      <c r="DA232" s="102"/>
      <c r="DB232" s="102"/>
      <c r="DC232" s="102"/>
      <c r="DD232" s="102"/>
      <c r="DE232" s="102"/>
      <c r="DF232" s="102"/>
      <c r="DG232" s="102"/>
      <c r="DH232" s="102"/>
      <c r="DI232" s="102"/>
      <c r="DJ232" s="102"/>
      <c r="DK232" s="102"/>
      <c r="DL232" s="102"/>
      <c r="DM232" s="102"/>
      <c r="DN232" s="102"/>
      <c r="DO232" s="102"/>
      <c r="DP232" s="102"/>
    </row>
    <row r="233" spans="1:120" x14ac:dyDescent="0.25">
      <c r="A233" s="4"/>
      <c r="D233"/>
      <c r="E233"/>
      <c r="F233"/>
      <c r="J233" s="68" t="str">
        <f t="shared" si="84"/>
        <v/>
      </c>
      <c r="K233" s="68" t="str">
        <f t="shared" si="85"/>
        <v/>
      </c>
      <c r="L233" s="69" t="str">
        <f t="shared" si="86"/>
        <v/>
      </c>
      <c r="M233" s="69" t="str">
        <f t="shared" si="87"/>
        <v/>
      </c>
      <c r="N233" s="69" t="str">
        <f>IF(A233="","",Tabela1[[#This Row],[PTC]]*Tabela1[[#This Row],[ODDC]])</f>
        <v/>
      </c>
      <c r="O233" s="69" t="str">
        <f>IF(A233="","",Tabela1[[#This Row],[PTV]]*Tabela1[[#This Row],[ODDV]])</f>
        <v/>
      </c>
      <c r="P233" s="68" t="str">
        <f t="shared" si="88"/>
        <v/>
      </c>
      <c r="Q233" s="68" t="str">
        <f t="shared" si="89"/>
        <v/>
      </c>
      <c r="R233" s="68" t="str">
        <f t="shared" si="90"/>
        <v/>
      </c>
      <c r="S233" s="68" t="str">
        <f t="shared" si="91"/>
        <v/>
      </c>
      <c r="T233" s="68" t="str">
        <f>IF(A233="","",IF(F233="D",Tabela1[[#This Row],[ODDE]]-1,-1))</f>
        <v/>
      </c>
      <c r="U233" s="70" t="str">
        <f>IF(A233="","",IF(AND(Tabela1[[#This Row],[FTHG]]&gt;3,F233="H"),1,0))</f>
        <v/>
      </c>
      <c r="V233" s="70" t="str">
        <f>IF(A233="","",IF(AND(Tabela1[[#This Row],[FTAG]]&gt;3,F233="A"),1,0))</f>
        <v/>
      </c>
      <c r="W233" s="70" t="str">
        <f t="shared" si="92"/>
        <v/>
      </c>
      <c r="X233" s="70" t="str">
        <f t="shared" si="93"/>
        <v/>
      </c>
      <c r="Y233" s="71" t="str">
        <f t="shared" si="94"/>
        <v/>
      </c>
      <c r="Z233" s="70" t="str">
        <f t="shared" si="95"/>
        <v/>
      </c>
      <c r="AA233" s="70" t="str">
        <f t="shared" si="96"/>
        <v/>
      </c>
      <c r="AB233" s="70" t="str">
        <f t="shared" si="97"/>
        <v/>
      </c>
      <c r="AC233" s="71" t="str">
        <f t="shared" si="98"/>
        <v/>
      </c>
      <c r="AD233" s="72" t="str">
        <f t="shared" si="99"/>
        <v/>
      </c>
      <c r="AE233" s="73" t="str">
        <f>IF(A233="","",COUNT($N$2:N233))</f>
        <v/>
      </c>
      <c r="AF233" s="74" t="str">
        <f t="shared" si="100"/>
        <v/>
      </c>
      <c r="AG233" s="74" t="str">
        <f t="shared" si="101"/>
        <v/>
      </c>
      <c r="AH233" s="74" t="str">
        <f t="shared" si="102"/>
        <v/>
      </c>
      <c r="AI233" s="74" t="str">
        <f t="shared" si="103"/>
        <v/>
      </c>
      <c r="AJ233" s="74" t="str">
        <f t="shared" si="104"/>
        <v/>
      </c>
      <c r="AK233" s="74" t="str">
        <f>IF(A233="","",1/Tabela1[[#This Row],[ODDC]])</f>
        <v/>
      </c>
      <c r="AL233" s="74" t="str">
        <f>IF(A233="","",1/Tabela1[[#This Row],[ODDE]])</f>
        <v/>
      </c>
      <c r="AM233" s="74" t="str">
        <f>IF(A233="","",1/Tabela1[[#This Row],[ODDV]])</f>
        <v/>
      </c>
      <c r="AN233" s="74" t="str">
        <f>IF(A233="","",1-(Tabela1[[#This Row],[p(H)]]+Tabela1[[#This Row],[p(D)]]+Tabela1[[#This Row],[p(A)]]))</f>
        <v/>
      </c>
      <c r="AO233" s="74" t="str">
        <f>IF(A233="","",IFERROR(Tabela1[[#This Row],[p(H)]]/Tabela1[[#This Row],[FTHG]],1))</f>
        <v/>
      </c>
      <c r="AP233" s="74" t="str">
        <f>IF(A233="","",IFERROR(Tabela1[[#This Row],[p(A)]]/Tabela1[[#This Row],[FTAG]],1))</f>
        <v/>
      </c>
      <c r="AQ233" s="107"/>
      <c r="AR233" s="107"/>
      <c r="AS233" s="107"/>
      <c r="AT233" s="107"/>
      <c r="AU233" s="107"/>
      <c r="AV233" s="107"/>
      <c r="AW233" s="107"/>
      <c r="AX233" s="107"/>
      <c r="AY233" s="107"/>
      <c r="AZ233" s="107"/>
      <c r="BA233" s="107"/>
      <c r="BB233" s="107"/>
      <c r="BC233" s="107"/>
      <c r="BD233" s="107"/>
      <c r="BE233" s="107"/>
      <c r="BF233" s="107"/>
      <c r="BG233" s="107"/>
      <c r="BH233" s="107"/>
      <c r="BI233" s="107"/>
      <c r="BJ233" s="107"/>
      <c r="BK233" s="107"/>
      <c r="BL233" s="107"/>
      <c r="BM233" s="107"/>
      <c r="BN233" s="107"/>
      <c r="BO233" s="107"/>
      <c r="BP233" s="107"/>
      <c r="BQ233" s="107"/>
      <c r="BR233" s="107"/>
      <c r="BS233" s="107"/>
      <c r="BT233" s="107"/>
      <c r="BU233" s="107"/>
      <c r="BV233" s="107"/>
      <c r="BW233" s="107"/>
      <c r="BX233" s="107"/>
      <c r="BY233" s="107"/>
      <c r="BZ233" s="107"/>
      <c r="CA233" s="107"/>
      <c r="CB233" s="107"/>
      <c r="CC233" s="107"/>
      <c r="CD233" s="107"/>
      <c r="CE233" s="102"/>
      <c r="CF233" s="102"/>
      <c r="CG233" s="102"/>
      <c r="CH233" s="102"/>
      <c r="CI233" s="102"/>
      <c r="CJ233" s="102"/>
      <c r="CK233" s="102"/>
      <c r="CL233" s="102"/>
      <c r="CM233" s="102"/>
      <c r="CN233" s="102"/>
      <c r="CO233" s="102"/>
      <c r="CP233" s="102"/>
      <c r="CQ233" s="102"/>
      <c r="CR233" s="102"/>
      <c r="CS233" s="102"/>
      <c r="CT233" s="102"/>
      <c r="CU233" s="102"/>
      <c r="CV233" s="102"/>
      <c r="CW233" s="102"/>
      <c r="CX233" s="102"/>
      <c r="CY233" s="102"/>
      <c r="CZ233" s="102"/>
      <c r="DA233" s="102"/>
      <c r="DB233" s="102"/>
      <c r="DC233" s="102"/>
      <c r="DD233" s="102"/>
      <c r="DE233" s="102"/>
      <c r="DF233" s="102"/>
      <c r="DG233" s="102"/>
      <c r="DH233" s="102"/>
      <c r="DI233" s="102"/>
      <c r="DJ233" s="102"/>
      <c r="DK233" s="102"/>
      <c r="DL233" s="102"/>
      <c r="DM233" s="102"/>
      <c r="DN233" s="102"/>
      <c r="DO233" s="102"/>
      <c r="DP233" s="102"/>
    </row>
    <row r="234" spans="1:120" x14ac:dyDescent="0.25">
      <c r="A234" s="4"/>
      <c r="D234"/>
      <c r="E234"/>
      <c r="F234"/>
      <c r="J234" s="68" t="str">
        <f t="shared" si="84"/>
        <v/>
      </c>
      <c r="K234" s="68" t="str">
        <f t="shared" si="85"/>
        <v/>
      </c>
      <c r="L234" s="69" t="str">
        <f t="shared" si="86"/>
        <v/>
      </c>
      <c r="M234" s="69" t="str">
        <f t="shared" si="87"/>
        <v/>
      </c>
      <c r="N234" s="69" t="str">
        <f>IF(A234="","",Tabela1[[#This Row],[PTC]]*Tabela1[[#This Row],[ODDC]])</f>
        <v/>
      </c>
      <c r="O234" s="69" t="str">
        <f>IF(A234="","",Tabela1[[#This Row],[PTV]]*Tabela1[[#This Row],[ODDV]])</f>
        <v/>
      </c>
      <c r="P234" s="68" t="str">
        <f t="shared" si="88"/>
        <v/>
      </c>
      <c r="Q234" s="68" t="str">
        <f t="shared" si="89"/>
        <v/>
      </c>
      <c r="R234" s="68" t="str">
        <f t="shared" si="90"/>
        <v/>
      </c>
      <c r="S234" s="68" t="str">
        <f t="shared" si="91"/>
        <v/>
      </c>
      <c r="T234" s="68" t="str">
        <f>IF(A234="","",IF(F234="D",Tabela1[[#This Row],[ODDE]]-1,-1))</f>
        <v/>
      </c>
      <c r="U234" s="70" t="str">
        <f>IF(A234="","",IF(AND(Tabela1[[#This Row],[FTHG]]&gt;3,F234="H"),1,0))</f>
        <v/>
      </c>
      <c r="V234" s="70" t="str">
        <f>IF(A234="","",IF(AND(Tabela1[[#This Row],[FTAG]]&gt;3,F234="A"),1,0))</f>
        <v/>
      </c>
      <c r="W234" s="70" t="str">
        <f t="shared" si="92"/>
        <v/>
      </c>
      <c r="X234" s="70" t="str">
        <f t="shared" si="93"/>
        <v/>
      </c>
      <c r="Y234" s="71" t="str">
        <f t="shared" si="94"/>
        <v/>
      </c>
      <c r="Z234" s="70" t="str">
        <f t="shared" si="95"/>
        <v/>
      </c>
      <c r="AA234" s="70" t="str">
        <f t="shared" si="96"/>
        <v/>
      </c>
      <c r="AB234" s="70" t="str">
        <f t="shared" si="97"/>
        <v/>
      </c>
      <c r="AC234" s="71" t="str">
        <f t="shared" si="98"/>
        <v/>
      </c>
      <c r="AD234" s="72" t="str">
        <f t="shared" si="99"/>
        <v/>
      </c>
      <c r="AE234" s="73" t="str">
        <f>IF(A234="","",COUNT($N$2:N234))</f>
        <v/>
      </c>
      <c r="AF234" s="74" t="str">
        <f t="shared" si="100"/>
        <v/>
      </c>
      <c r="AG234" s="74" t="str">
        <f t="shared" si="101"/>
        <v/>
      </c>
      <c r="AH234" s="74" t="str">
        <f t="shared" si="102"/>
        <v/>
      </c>
      <c r="AI234" s="74" t="str">
        <f t="shared" si="103"/>
        <v/>
      </c>
      <c r="AJ234" s="74" t="str">
        <f t="shared" si="104"/>
        <v/>
      </c>
      <c r="AK234" s="74" t="str">
        <f>IF(A234="","",1/Tabela1[[#This Row],[ODDC]])</f>
        <v/>
      </c>
      <c r="AL234" s="74" t="str">
        <f>IF(A234="","",1/Tabela1[[#This Row],[ODDE]])</f>
        <v/>
      </c>
      <c r="AM234" s="74" t="str">
        <f>IF(A234="","",1/Tabela1[[#This Row],[ODDV]])</f>
        <v/>
      </c>
      <c r="AN234" s="74" t="str">
        <f>IF(A234="","",1-(Tabela1[[#This Row],[p(H)]]+Tabela1[[#This Row],[p(D)]]+Tabela1[[#This Row],[p(A)]]))</f>
        <v/>
      </c>
      <c r="AO234" s="74" t="str">
        <f>IF(A234="","",IFERROR(Tabela1[[#This Row],[p(H)]]/Tabela1[[#This Row],[FTHG]],1))</f>
        <v/>
      </c>
      <c r="AP234" s="74" t="str">
        <f>IF(A234="","",IFERROR(Tabela1[[#This Row],[p(A)]]/Tabela1[[#This Row],[FTAG]],1))</f>
        <v/>
      </c>
      <c r="AQ234" s="107"/>
      <c r="AR234" s="107"/>
      <c r="AS234" s="107"/>
      <c r="AT234" s="107"/>
      <c r="AU234" s="107"/>
      <c r="AV234" s="107"/>
      <c r="AW234" s="107"/>
      <c r="AX234" s="107"/>
      <c r="AY234" s="107"/>
      <c r="AZ234" s="107"/>
      <c r="BA234" s="107"/>
      <c r="BB234" s="107"/>
      <c r="BC234" s="107"/>
      <c r="BD234" s="107"/>
      <c r="BE234" s="107"/>
      <c r="BF234" s="107"/>
      <c r="BG234" s="107"/>
      <c r="BH234" s="107"/>
      <c r="BI234" s="107"/>
      <c r="BJ234" s="107"/>
      <c r="BK234" s="107"/>
      <c r="BL234" s="107"/>
      <c r="BM234" s="107"/>
      <c r="BN234" s="107"/>
      <c r="BO234" s="107"/>
      <c r="BP234" s="107"/>
      <c r="BQ234" s="107"/>
      <c r="BR234" s="107"/>
      <c r="BS234" s="107"/>
      <c r="BT234" s="107"/>
      <c r="BU234" s="107"/>
      <c r="BV234" s="107"/>
      <c r="BW234" s="107"/>
      <c r="BX234" s="107"/>
      <c r="BY234" s="107"/>
      <c r="BZ234" s="107"/>
      <c r="CA234" s="107"/>
      <c r="CB234" s="107"/>
      <c r="CC234" s="107"/>
      <c r="CD234" s="107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2"/>
      <c r="DC234" s="102"/>
      <c r="DD234" s="102"/>
      <c r="DE234" s="102"/>
      <c r="DF234" s="102"/>
      <c r="DG234" s="102"/>
      <c r="DH234" s="102"/>
      <c r="DI234" s="102"/>
      <c r="DJ234" s="102"/>
      <c r="DK234" s="102"/>
      <c r="DL234" s="102"/>
      <c r="DM234" s="102"/>
      <c r="DN234" s="102"/>
      <c r="DO234" s="102"/>
      <c r="DP234" s="102"/>
    </row>
    <row r="235" spans="1:120" x14ac:dyDescent="0.25">
      <c r="A235" s="4"/>
      <c r="D235"/>
      <c r="E235"/>
      <c r="F235"/>
      <c r="J235" s="68" t="str">
        <f t="shared" si="84"/>
        <v/>
      </c>
      <c r="K235" s="68" t="str">
        <f t="shared" si="85"/>
        <v/>
      </c>
      <c r="L235" s="69" t="str">
        <f t="shared" si="86"/>
        <v/>
      </c>
      <c r="M235" s="69" t="str">
        <f t="shared" si="87"/>
        <v/>
      </c>
      <c r="N235" s="69" t="str">
        <f>IF(A235="","",Tabela1[[#This Row],[PTC]]*Tabela1[[#This Row],[ODDC]])</f>
        <v/>
      </c>
      <c r="O235" s="69" t="str">
        <f>IF(A235="","",Tabela1[[#This Row],[PTV]]*Tabela1[[#This Row],[ODDV]])</f>
        <v/>
      </c>
      <c r="P235" s="68" t="str">
        <f t="shared" si="88"/>
        <v/>
      </c>
      <c r="Q235" s="68" t="str">
        <f t="shared" si="89"/>
        <v/>
      </c>
      <c r="R235" s="68" t="str">
        <f t="shared" si="90"/>
        <v/>
      </c>
      <c r="S235" s="68" t="str">
        <f t="shared" si="91"/>
        <v/>
      </c>
      <c r="T235" s="68" t="str">
        <f>IF(A235="","",IF(F235="D",Tabela1[[#This Row],[ODDE]]-1,-1))</f>
        <v/>
      </c>
      <c r="U235" s="70" t="str">
        <f>IF(A235="","",IF(AND(Tabela1[[#This Row],[FTHG]]&gt;3,F235="H"),1,0))</f>
        <v/>
      </c>
      <c r="V235" s="70" t="str">
        <f>IF(A235="","",IF(AND(Tabela1[[#This Row],[FTAG]]&gt;3,F235="A"),1,0))</f>
        <v/>
      </c>
      <c r="W235" s="70" t="str">
        <f t="shared" si="92"/>
        <v/>
      </c>
      <c r="X235" s="70" t="str">
        <f t="shared" si="93"/>
        <v/>
      </c>
      <c r="Y235" s="71" t="str">
        <f t="shared" si="94"/>
        <v/>
      </c>
      <c r="Z235" s="70" t="str">
        <f t="shared" si="95"/>
        <v/>
      </c>
      <c r="AA235" s="70" t="str">
        <f t="shared" si="96"/>
        <v/>
      </c>
      <c r="AB235" s="70" t="str">
        <f t="shared" si="97"/>
        <v/>
      </c>
      <c r="AC235" s="71" t="str">
        <f t="shared" si="98"/>
        <v/>
      </c>
      <c r="AD235" s="72" t="str">
        <f t="shared" si="99"/>
        <v/>
      </c>
      <c r="AE235" s="73" t="str">
        <f>IF(A235="","",COUNT($N$2:N235))</f>
        <v/>
      </c>
      <c r="AF235" s="74" t="str">
        <f t="shared" si="100"/>
        <v/>
      </c>
      <c r="AG235" s="74" t="str">
        <f t="shared" si="101"/>
        <v/>
      </c>
      <c r="AH235" s="74" t="str">
        <f t="shared" si="102"/>
        <v/>
      </c>
      <c r="AI235" s="74" t="str">
        <f t="shared" si="103"/>
        <v/>
      </c>
      <c r="AJ235" s="74" t="str">
        <f t="shared" si="104"/>
        <v/>
      </c>
      <c r="AK235" s="74" t="str">
        <f>IF(A235="","",1/Tabela1[[#This Row],[ODDC]])</f>
        <v/>
      </c>
      <c r="AL235" s="74" t="str">
        <f>IF(A235="","",1/Tabela1[[#This Row],[ODDE]])</f>
        <v/>
      </c>
      <c r="AM235" s="74" t="str">
        <f>IF(A235="","",1/Tabela1[[#This Row],[ODDV]])</f>
        <v/>
      </c>
      <c r="AN235" s="74" t="str">
        <f>IF(A235="","",1-(Tabela1[[#This Row],[p(H)]]+Tabela1[[#This Row],[p(D)]]+Tabela1[[#This Row],[p(A)]]))</f>
        <v/>
      </c>
      <c r="AO235" s="74" t="str">
        <f>IF(A235="","",IFERROR(Tabela1[[#This Row],[p(H)]]/Tabela1[[#This Row],[FTHG]],1))</f>
        <v/>
      </c>
      <c r="AP235" s="74" t="str">
        <f>IF(A235="","",IFERROR(Tabela1[[#This Row],[p(A)]]/Tabela1[[#This Row],[FTAG]],1))</f>
        <v/>
      </c>
      <c r="AQ235" s="107"/>
      <c r="AR235" s="107"/>
      <c r="AS235" s="107"/>
      <c r="AT235" s="107"/>
      <c r="AU235" s="107"/>
      <c r="AV235" s="107"/>
      <c r="AW235" s="107"/>
      <c r="AX235" s="107"/>
      <c r="AY235" s="107"/>
      <c r="AZ235" s="107"/>
      <c r="BA235" s="107"/>
      <c r="BB235" s="107"/>
      <c r="BC235" s="107"/>
      <c r="BD235" s="107"/>
      <c r="BE235" s="107"/>
      <c r="BF235" s="107"/>
      <c r="BG235" s="107"/>
      <c r="BH235" s="107"/>
      <c r="BI235" s="107"/>
      <c r="BJ235" s="107"/>
      <c r="BK235" s="107"/>
      <c r="BL235" s="107"/>
      <c r="BM235" s="107"/>
      <c r="BN235" s="107"/>
      <c r="BO235" s="107"/>
      <c r="BP235" s="107"/>
      <c r="BQ235" s="107"/>
      <c r="BR235" s="107"/>
      <c r="BS235" s="107"/>
      <c r="BT235" s="107"/>
      <c r="BU235" s="107"/>
      <c r="BV235" s="107"/>
      <c r="BW235" s="107"/>
      <c r="BX235" s="107"/>
      <c r="BY235" s="107"/>
      <c r="BZ235" s="107"/>
      <c r="CA235" s="107"/>
      <c r="CB235" s="107"/>
      <c r="CC235" s="107"/>
      <c r="CD235" s="107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2"/>
      <c r="CR235" s="102"/>
      <c r="CS235" s="102"/>
      <c r="CT235" s="102"/>
      <c r="CU235" s="102"/>
      <c r="CV235" s="102"/>
      <c r="CW235" s="102"/>
      <c r="CX235" s="102"/>
      <c r="CY235" s="102"/>
      <c r="CZ235" s="102"/>
      <c r="DA235" s="102"/>
      <c r="DB235" s="102"/>
      <c r="DC235" s="102"/>
      <c r="DD235" s="102"/>
      <c r="DE235" s="102"/>
      <c r="DF235" s="102"/>
      <c r="DG235" s="102"/>
      <c r="DH235" s="102"/>
      <c r="DI235" s="102"/>
      <c r="DJ235" s="102"/>
      <c r="DK235" s="102"/>
      <c r="DL235" s="102"/>
      <c r="DM235" s="102"/>
      <c r="DN235" s="102"/>
      <c r="DO235" s="102"/>
      <c r="DP235" s="102"/>
    </row>
    <row r="236" spans="1:120" x14ac:dyDescent="0.25">
      <c r="A236" s="4"/>
      <c r="D236"/>
      <c r="E236"/>
      <c r="F236"/>
      <c r="J236" s="68" t="str">
        <f t="shared" si="84"/>
        <v/>
      </c>
      <c r="K236" s="68" t="str">
        <f t="shared" si="85"/>
        <v/>
      </c>
      <c r="L236" s="69" t="str">
        <f t="shared" si="86"/>
        <v/>
      </c>
      <c r="M236" s="69" t="str">
        <f t="shared" si="87"/>
        <v/>
      </c>
      <c r="N236" s="69" t="str">
        <f>IF(A236="","",Tabela1[[#This Row],[PTC]]*Tabela1[[#This Row],[ODDC]])</f>
        <v/>
      </c>
      <c r="O236" s="69" t="str">
        <f>IF(A236="","",Tabela1[[#This Row],[PTV]]*Tabela1[[#This Row],[ODDV]])</f>
        <v/>
      </c>
      <c r="P236" s="68" t="str">
        <f t="shared" si="88"/>
        <v/>
      </c>
      <c r="Q236" s="68" t="str">
        <f t="shared" si="89"/>
        <v/>
      </c>
      <c r="R236" s="68" t="str">
        <f t="shared" si="90"/>
        <v/>
      </c>
      <c r="S236" s="68" t="str">
        <f t="shared" si="91"/>
        <v/>
      </c>
      <c r="T236" s="68" t="str">
        <f>IF(A236="","",IF(F236="D",Tabela1[[#This Row],[ODDE]]-1,-1))</f>
        <v/>
      </c>
      <c r="U236" s="70" t="str">
        <f>IF(A236="","",IF(AND(Tabela1[[#This Row],[FTHG]]&gt;3,F236="H"),1,0))</f>
        <v/>
      </c>
      <c r="V236" s="70" t="str">
        <f>IF(A236="","",IF(AND(Tabela1[[#This Row],[FTAG]]&gt;3,F236="A"),1,0))</f>
        <v/>
      </c>
      <c r="W236" s="70" t="str">
        <f t="shared" si="92"/>
        <v/>
      </c>
      <c r="X236" s="70" t="str">
        <f t="shared" si="93"/>
        <v/>
      </c>
      <c r="Y236" s="71" t="str">
        <f t="shared" si="94"/>
        <v/>
      </c>
      <c r="Z236" s="70" t="str">
        <f t="shared" si="95"/>
        <v/>
      </c>
      <c r="AA236" s="70" t="str">
        <f t="shared" si="96"/>
        <v/>
      </c>
      <c r="AB236" s="70" t="str">
        <f t="shared" si="97"/>
        <v/>
      </c>
      <c r="AC236" s="71" t="str">
        <f t="shared" si="98"/>
        <v/>
      </c>
      <c r="AD236" s="72" t="str">
        <f t="shared" si="99"/>
        <v/>
      </c>
      <c r="AE236" s="73" t="str">
        <f>IF(A236="","",COUNT($N$2:N236))</f>
        <v/>
      </c>
      <c r="AF236" s="74" t="str">
        <f t="shared" si="100"/>
        <v/>
      </c>
      <c r="AG236" s="74" t="str">
        <f t="shared" si="101"/>
        <v/>
      </c>
      <c r="AH236" s="74" t="str">
        <f t="shared" si="102"/>
        <v/>
      </c>
      <c r="AI236" s="74" t="str">
        <f t="shared" si="103"/>
        <v/>
      </c>
      <c r="AJ236" s="74" t="str">
        <f t="shared" si="104"/>
        <v/>
      </c>
      <c r="AK236" s="74" t="str">
        <f>IF(A236="","",1/Tabela1[[#This Row],[ODDC]])</f>
        <v/>
      </c>
      <c r="AL236" s="74" t="str">
        <f>IF(A236="","",1/Tabela1[[#This Row],[ODDE]])</f>
        <v/>
      </c>
      <c r="AM236" s="74" t="str">
        <f>IF(A236="","",1/Tabela1[[#This Row],[ODDV]])</f>
        <v/>
      </c>
      <c r="AN236" s="74" t="str">
        <f>IF(A236="","",1-(Tabela1[[#This Row],[p(H)]]+Tabela1[[#This Row],[p(D)]]+Tabela1[[#This Row],[p(A)]]))</f>
        <v/>
      </c>
      <c r="AO236" s="74" t="str">
        <f>IF(A236="","",IFERROR(Tabela1[[#This Row],[p(H)]]/Tabela1[[#This Row],[FTHG]],1))</f>
        <v/>
      </c>
      <c r="AP236" s="74" t="str">
        <f>IF(A236="","",IFERROR(Tabela1[[#This Row],[p(A)]]/Tabela1[[#This Row],[FTAG]],1))</f>
        <v/>
      </c>
      <c r="AQ236" s="107"/>
      <c r="AR236" s="107"/>
      <c r="AS236" s="107"/>
      <c r="AT236" s="107"/>
      <c r="AU236" s="107"/>
      <c r="AV236" s="107"/>
      <c r="AW236" s="107"/>
      <c r="AX236" s="107"/>
      <c r="AY236" s="107"/>
      <c r="AZ236" s="107"/>
      <c r="BA236" s="107"/>
      <c r="BB236" s="107"/>
      <c r="BC236" s="107"/>
      <c r="BD236" s="107"/>
      <c r="BE236" s="107"/>
      <c r="BF236" s="107"/>
      <c r="BG236" s="107"/>
      <c r="BH236" s="107"/>
      <c r="BI236" s="107"/>
      <c r="BJ236" s="107"/>
      <c r="BK236" s="107"/>
      <c r="BL236" s="107"/>
      <c r="BM236" s="107"/>
      <c r="BN236" s="107"/>
      <c r="BO236" s="107"/>
      <c r="BP236" s="107"/>
      <c r="BQ236" s="107"/>
      <c r="BR236" s="107"/>
      <c r="BS236" s="107"/>
      <c r="BT236" s="107"/>
      <c r="BU236" s="107"/>
      <c r="BV236" s="107"/>
      <c r="BW236" s="107"/>
      <c r="BX236" s="107"/>
      <c r="BY236" s="107"/>
      <c r="BZ236" s="107"/>
      <c r="CA236" s="107"/>
      <c r="CB236" s="107"/>
      <c r="CC236" s="107"/>
      <c r="CD236" s="107"/>
      <c r="CE236" s="102"/>
      <c r="CF236" s="102"/>
      <c r="CG236" s="102"/>
      <c r="CH236" s="102"/>
      <c r="CI236" s="102"/>
      <c r="CJ236" s="102"/>
      <c r="CK236" s="102"/>
      <c r="CL236" s="102"/>
      <c r="CM236" s="102"/>
      <c r="CN236" s="102"/>
      <c r="CO236" s="102"/>
      <c r="CP236" s="102"/>
      <c r="CQ236" s="102"/>
      <c r="CR236" s="102"/>
      <c r="CS236" s="102"/>
      <c r="CT236" s="102"/>
      <c r="CU236" s="102"/>
      <c r="CV236" s="102"/>
      <c r="CW236" s="102"/>
      <c r="CX236" s="102"/>
      <c r="CY236" s="102"/>
      <c r="CZ236" s="102"/>
      <c r="DA236" s="102"/>
      <c r="DB236" s="102"/>
      <c r="DC236" s="102"/>
      <c r="DD236" s="102"/>
      <c r="DE236" s="102"/>
      <c r="DF236" s="102"/>
      <c r="DG236" s="102"/>
      <c r="DH236" s="102"/>
      <c r="DI236" s="102"/>
      <c r="DJ236" s="102"/>
      <c r="DK236" s="102"/>
      <c r="DL236" s="102"/>
      <c r="DM236" s="102"/>
      <c r="DN236" s="102"/>
      <c r="DO236" s="102"/>
      <c r="DP236" s="102"/>
    </row>
    <row r="237" spans="1:120" x14ac:dyDescent="0.25">
      <c r="A237" s="4"/>
      <c r="D237"/>
      <c r="E237"/>
      <c r="F237"/>
      <c r="J237" s="68" t="str">
        <f t="shared" si="84"/>
        <v/>
      </c>
      <c r="K237" s="68" t="str">
        <f t="shared" si="85"/>
        <v/>
      </c>
      <c r="L237" s="69" t="str">
        <f t="shared" si="86"/>
        <v/>
      </c>
      <c r="M237" s="69" t="str">
        <f t="shared" si="87"/>
        <v/>
      </c>
      <c r="N237" s="69" t="str">
        <f>IF(A237="","",Tabela1[[#This Row],[PTC]]*Tabela1[[#This Row],[ODDC]])</f>
        <v/>
      </c>
      <c r="O237" s="69" t="str">
        <f>IF(A237="","",Tabela1[[#This Row],[PTV]]*Tabela1[[#This Row],[ODDV]])</f>
        <v/>
      </c>
      <c r="P237" s="68" t="str">
        <f t="shared" si="88"/>
        <v/>
      </c>
      <c r="Q237" s="68" t="str">
        <f t="shared" si="89"/>
        <v/>
      </c>
      <c r="R237" s="68" t="str">
        <f t="shared" si="90"/>
        <v/>
      </c>
      <c r="S237" s="68" t="str">
        <f t="shared" si="91"/>
        <v/>
      </c>
      <c r="T237" s="68" t="str">
        <f>IF(A237="","",IF(F237="D",Tabela1[[#This Row],[ODDE]]-1,-1))</f>
        <v/>
      </c>
      <c r="U237" s="70" t="str">
        <f>IF(A237="","",IF(AND(Tabela1[[#This Row],[FTHG]]&gt;3,F237="H"),1,0))</f>
        <v/>
      </c>
      <c r="V237" s="70" t="str">
        <f>IF(A237="","",IF(AND(Tabela1[[#This Row],[FTAG]]&gt;3,F237="A"),1,0))</f>
        <v/>
      </c>
      <c r="W237" s="70" t="str">
        <f t="shared" si="92"/>
        <v/>
      </c>
      <c r="X237" s="70" t="str">
        <f t="shared" si="93"/>
        <v/>
      </c>
      <c r="Y237" s="71" t="str">
        <f t="shared" si="94"/>
        <v/>
      </c>
      <c r="Z237" s="70" t="str">
        <f t="shared" si="95"/>
        <v/>
      </c>
      <c r="AA237" s="70" t="str">
        <f t="shared" si="96"/>
        <v/>
      </c>
      <c r="AB237" s="70" t="str">
        <f t="shared" si="97"/>
        <v/>
      </c>
      <c r="AC237" s="71" t="str">
        <f t="shared" si="98"/>
        <v/>
      </c>
      <c r="AD237" s="72" t="str">
        <f t="shared" si="99"/>
        <v/>
      </c>
      <c r="AE237" s="73" t="str">
        <f>IF(A237="","",COUNT($N$2:N237))</f>
        <v/>
      </c>
      <c r="AF237" s="74" t="str">
        <f t="shared" si="100"/>
        <v/>
      </c>
      <c r="AG237" s="74" t="str">
        <f t="shared" si="101"/>
        <v/>
      </c>
      <c r="AH237" s="74" t="str">
        <f t="shared" si="102"/>
        <v/>
      </c>
      <c r="AI237" s="74" t="str">
        <f t="shared" si="103"/>
        <v/>
      </c>
      <c r="AJ237" s="74" t="str">
        <f t="shared" si="104"/>
        <v/>
      </c>
      <c r="AK237" s="74" t="str">
        <f>IF(A237="","",1/Tabela1[[#This Row],[ODDC]])</f>
        <v/>
      </c>
      <c r="AL237" s="74" t="str">
        <f>IF(A237="","",1/Tabela1[[#This Row],[ODDE]])</f>
        <v/>
      </c>
      <c r="AM237" s="74" t="str">
        <f>IF(A237="","",1/Tabela1[[#This Row],[ODDV]])</f>
        <v/>
      </c>
      <c r="AN237" s="74" t="str">
        <f>IF(A237="","",1-(Tabela1[[#This Row],[p(H)]]+Tabela1[[#This Row],[p(D)]]+Tabela1[[#This Row],[p(A)]]))</f>
        <v/>
      </c>
      <c r="AO237" s="74" t="str">
        <f>IF(A237="","",IFERROR(Tabela1[[#This Row],[p(H)]]/Tabela1[[#This Row],[FTHG]],1))</f>
        <v/>
      </c>
      <c r="AP237" s="74" t="str">
        <f>IF(A237="","",IFERROR(Tabela1[[#This Row],[p(A)]]/Tabela1[[#This Row],[FTAG]],1))</f>
        <v/>
      </c>
      <c r="AQ237" s="107"/>
      <c r="AR237" s="107"/>
      <c r="AS237" s="107"/>
      <c r="AT237" s="107"/>
      <c r="AU237" s="107"/>
      <c r="AV237" s="107"/>
      <c r="AW237" s="107"/>
      <c r="AX237" s="107"/>
      <c r="AY237" s="107"/>
      <c r="AZ237" s="107"/>
      <c r="BA237" s="107"/>
      <c r="BB237" s="107"/>
      <c r="BC237" s="107"/>
      <c r="BD237" s="107"/>
      <c r="BE237" s="107"/>
      <c r="BF237" s="107"/>
      <c r="BG237" s="107"/>
      <c r="BH237" s="107"/>
      <c r="BI237" s="107"/>
      <c r="BJ237" s="107"/>
      <c r="BK237" s="107"/>
      <c r="BL237" s="107"/>
      <c r="BM237" s="107"/>
      <c r="BN237" s="107"/>
      <c r="BO237" s="107"/>
      <c r="BP237" s="107"/>
      <c r="BQ237" s="107"/>
      <c r="BR237" s="107"/>
      <c r="BS237" s="107"/>
      <c r="BT237" s="107"/>
      <c r="BU237" s="107"/>
      <c r="BV237" s="107"/>
      <c r="BW237" s="107"/>
      <c r="BX237" s="107"/>
      <c r="BY237" s="107"/>
      <c r="BZ237" s="107"/>
      <c r="CA237" s="107"/>
      <c r="CB237" s="107"/>
      <c r="CC237" s="107"/>
      <c r="CD237" s="107"/>
      <c r="CE237" s="102"/>
      <c r="CF237" s="102"/>
      <c r="CG237" s="102"/>
      <c r="CH237" s="102"/>
      <c r="CI237" s="102"/>
      <c r="CJ237" s="102"/>
      <c r="CK237" s="102"/>
      <c r="CL237" s="102"/>
      <c r="CM237" s="102"/>
      <c r="CN237" s="102"/>
      <c r="CO237" s="102"/>
      <c r="CP237" s="102"/>
      <c r="CQ237" s="102"/>
      <c r="CR237" s="102"/>
      <c r="CS237" s="102"/>
      <c r="CT237" s="102"/>
      <c r="CU237" s="102"/>
      <c r="CV237" s="102"/>
      <c r="CW237" s="102"/>
      <c r="CX237" s="102"/>
      <c r="CY237" s="102"/>
      <c r="CZ237" s="102"/>
      <c r="DA237" s="102"/>
      <c r="DB237" s="102"/>
      <c r="DC237" s="102"/>
      <c r="DD237" s="102"/>
      <c r="DE237" s="102"/>
      <c r="DF237" s="102"/>
      <c r="DG237" s="102"/>
      <c r="DH237" s="102"/>
      <c r="DI237" s="102"/>
      <c r="DJ237" s="102"/>
      <c r="DK237" s="102"/>
      <c r="DL237" s="102"/>
      <c r="DM237" s="102"/>
      <c r="DN237" s="102"/>
      <c r="DO237" s="102"/>
      <c r="DP237" s="102"/>
    </row>
    <row r="238" spans="1:120" x14ac:dyDescent="0.25">
      <c r="A238" s="4"/>
      <c r="D238"/>
      <c r="E238"/>
      <c r="F238"/>
      <c r="J238" s="68" t="str">
        <f t="shared" si="84"/>
        <v/>
      </c>
      <c r="K238" s="68" t="str">
        <f t="shared" si="85"/>
        <v/>
      </c>
      <c r="L238" s="69" t="str">
        <f t="shared" si="86"/>
        <v/>
      </c>
      <c r="M238" s="69" t="str">
        <f t="shared" si="87"/>
        <v/>
      </c>
      <c r="N238" s="69" t="str">
        <f>IF(A238="","",Tabela1[[#This Row],[PTC]]*Tabela1[[#This Row],[ODDC]])</f>
        <v/>
      </c>
      <c r="O238" s="69" t="str">
        <f>IF(A238="","",Tabela1[[#This Row],[PTV]]*Tabela1[[#This Row],[ODDV]])</f>
        <v/>
      </c>
      <c r="P238" s="68" t="str">
        <f t="shared" si="88"/>
        <v/>
      </c>
      <c r="Q238" s="68" t="str">
        <f t="shared" si="89"/>
        <v/>
      </c>
      <c r="R238" s="68" t="str">
        <f t="shared" si="90"/>
        <v/>
      </c>
      <c r="S238" s="68" t="str">
        <f t="shared" si="91"/>
        <v/>
      </c>
      <c r="T238" s="68" t="str">
        <f>IF(A238="","",IF(F238="D",Tabela1[[#This Row],[ODDE]]-1,-1))</f>
        <v/>
      </c>
      <c r="U238" s="70" t="str">
        <f>IF(A238="","",IF(AND(Tabela1[[#This Row],[FTHG]]&gt;3,F238="H"),1,0))</f>
        <v/>
      </c>
      <c r="V238" s="70" t="str">
        <f>IF(A238="","",IF(AND(Tabela1[[#This Row],[FTAG]]&gt;3,F238="A"),1,0))</f>
        <v/>
      </c>
      <c r="W238" s="70" t="str">
        <f t="shared" si="92"/>
        <v/>
      </c>
      <c r="X238" s="70" t="str">
        <f t="shared" si="93"/>
        <v/>
      </c>
      <c r="Y238" s="71" t="str">
        <f t="shared" si="94"/>
        <v/>
      </c>
      <c r="Z238" s="70" t="str">
        <f t="shared" si="95"/>
        <v/>
      </c>
      <c r="AA238" s="70" t="str">
        <f t="shared" si="96"/>
        <v/>
      </c>
      <c r="AB238" s="70" t="str">
        <f t="shared" si="97"/>
        <v/>
      </c>
      <c r="AC238" s="71" t="str">
        <f t="shared" si="98"/>
        <v/>
      </c>
      <c r="AD238" s="72" t="str">
        <f t="shared" si="99"/>
        <v/>
      </c>
      <c r="AE238" s="73" t="str">
        <f>IF(A238="","",COUNT($N$2:N238))</f>
        <v/>
      </c>
      <c r="AF238" s="74" t="str">
        <f t="shared" si="100"/>
        <v/>
      </c>
      <c r="AG238" s="74" t="str">
        <f t="shared" si="101"/>
        <v/>
      </c>
      <c r="AH238" s="74" t="str">
        <f t="shared" si="102"/>
        <v/>
      </c>
      <c r="AI238" s="74" t="str">
        <f t="shared" si="103"/>
        <v/>
      </c>
      <c r="AJ238" s="74" t="str">
        <f t="shared" si="104"/>
        <v/>
      </c>
      <c r="AK238" s="74" t="str">
        <f>IF(A238="","",1/Tabela1[[#This Row],[ODDC]])</f>
        <v/>
      </c>
      <c r="AL238" s="74" t="str">
        <f>IF(A238="","",1/Tabela1[[#This Row],[ODDE]])</f>
        <v/>
      </c>
      <c r="AM238" s="74" t="str">
        <f>IF(A238="","",1/Tabela1[[#This Row],[ODDV]])</f>
        <v/>
      </c>
      <c r="AN238" s="74" t="str">
        <f>IF(A238="","",1-(Tabela1[[#This Row],[p(H)]]+Tabela1[[#This Row],[p(D)]]+Tabela1[[#This Row],[p(A)]]))</f>
        <v/>
      </c>
      <c r="AO238" s="74" t="str">
        <f>IF(A238="","",IFERROR(Tabela1[[#This Row],[p(H)]]/Tabela1[[#This Row],[FTHG]],1))</f>
        <v/>
      </c>
      <c r="AP238" s="74" t="str">
        <f>IF(A238="","",IFERROR(Tabela1[[#This Row],[p(A)]]/Tabela1[[#This Row],[FTAG]],1))</f>
        <v/>
      </c>
      <c r="AQ238" s="107"/>
      <c r="AR238" s="107"/>
      <c r="AS238" s="107"/>
      <c r="AT238" s="107"/>
      <c r="AU238" s="107"/>
      <c r="AV238" s="107"/>
      <c r="AW238" s="107"/>
      <c r="AX238" s="107"/>
      <c r="AY238" s="107"/>
      <c r="AZ238" s="107"/>
      <c r="BA238" s="107"/>
      <c r="BB238" s="107"/>
      <c r="BC238" s="107"/>
      <c r="BD238" s="107"/>
      <c r="BE238" s="107"/>
      <c r="BF238" s="107"/>
      <c r="BG238" s="107"/>
      <c r="BH238" s="107"/>
      <c r="BI238" s="107"/>
      <c r="BJ238" s="107"/>
      <c r="BK238" s="107"/>
      <c r="BL238" s="107"/>
      <c r="BM238" s="107"/>
      <c r="BN238" s="107"/>
      <c r="BO238" s="107"/>
      <c r="BP238" s="107"/>
      <c r="BQ238" s="107"/>
      <c r="BR238" s="107"/>
      <c r="BS238" s="107"/>
      <c r="BT238" s="107"/>
      <c r="BU238" s="107"/>
      <c r="BV238" s="107"/>
      <c r="BW238" s="107"/>
      <c r="BX238" s="107"/>
      <c r="BY238" s="107"/>
      <c r="BZ238" s="107"/>
      <c r="CA238" s="107"/>
      <c r="CB238" s="107"/>
      <c r="CC238" s="107"/>
      <c r="CD238" s="107"/>
      <c r="CE238" s="102"/>
      <c r="CF238" s="102"/>
      <c r="CG238" s="102"/>
      <c r="CH238" s="102"/>
      <c r="CI238" s="102"/>
      <c r="CJ238" s="102"/>
      <c r="CK238" s="102"/>
      <c r="CL238" s="102"/>
      <c r="CM238" s="102"/>
      <c r="CN238" s="102"/>
      <c r="CO238" s="102"/>
      <c r="CP238" s="102"/>
      <c r="CQ238" s="102"/>
      <c r="CR238" s="102"/>
      <c r="CS238" s="102"/>
      <c r="CT238" s="102"/>
      <c r="CU238" s="102"/>
      <c r="CV238" s="102"/>
      <c r="CW238" s="102"/>
      <c r="CX238" s="102"/>
      <c r="CY238" s="102"/>
      <c r="CZ238" s="102"/>
      <c r="DA238" s="102"/>
      <c r="DB238" s="102"/>
      <c r="DC238" s="102"/>
      <c r="DD238" s="102"/>
      <c r="DE238" s="102"/>
      <c r="DF238" s="102"/>
      <c r="DG238" s="102"/>
      <c r="DH238" s="102"/>
      <c r="DI238" s="102"/>
      <c r="DJ238" s="102"/>
      <c r="DK238" s="102"/>
      <c r="DL238" s="102"/>
      <c r="DM238" s="102"/>
      <c r="DN238" s="102"/>
      <c r="DO238" s="102"/>
      <c r="DP238" s="102"/>
    </row>
    <row r="239" spans="1:120" x14ac:dyDescent="0.25">
      <c r="A239" s="4"/>
      <c r="D239"/>
      <c r="E239"/>
      <c r="F239"/>
      <c r="J239" s="68" t="str">
        <f t="shared" si="84"/>
        <v/>
      </c>
      <c r="K239" s="68" t="str">
        <f t="shared" si="85"/>
        <v/>
      </c>
      <c r="L239" s="69" t="str">
        <f t="shared" si="86"/>
        <v/>
      </c>
      <c r="M239" s="69" t="str">
        <f t="shared" si="87"/>
        <v/>
      </c>
      <c r="N239" s="69" t="str">
        <f>IF(A239="","",Tabela1[[#This Row],[PTC]]*Tabela1[[#This Row],[ODDC]])</f>
        <v/>
      </c>
      <c r="O239" s="69" t="str">
        <f>IF(A239="","",Tabela1[[#This Row],[PTV]]*Tabela1[[#This Row],[ODDV]])</f>
        <v/>
      </c>
      <c r="P239" s="68" t="str">
        <f t="shared" si="88"/>
        <v/>
      </c>
      <c r="Q239" s="68" t="str">
        <f t="shared" si="89"/>
        <v/>
      </c>
      <c r="R239" s="68" t="str">
        <f t="shared" si="90"/>
        <v/>
      </c>
      <c r="S239" s="68" t="str">
        <f t="shared" si="91"/>
        <v/>
      </c>
      <c r="T239" s="68" t="str">
        <f>IF(A239="","",IF(F239="D",Tabela1[[#This Row],[ODDE]]-1,-1))</f>
        <v/>
      </c>
      <c r="U239" s="70" t="str">
        <f>IF(A239="","",IF(AND(Tabela1[[#This Row],[FTHG]]&gt;3,F239="H"),1,0))</f>
        <v/>
      </c>
      <c r="V239" s="70" t="str">
        <f>IF(A239="","",IF(AND(Tabela1[[#This Row],[FTAG]]&gt;3,F239="A"),1,0))</f>
        <v/>
      </c>
      <c r="W239" s="70" t="str">
        <f t="shared" si="92"/>
        <v/>
      </c>
      <c r="X239" s="70" t="str">
        <f t="shared" si="93"/>
        <v/>
      </c>
      <c r="Y239" s="71" t="str">
        <f t="shared" si="94"/>
        <v/>
      </c>
      <c r="Z239" s="70" t="str">
        <f t="shared" si="95"/>
        <v/>
      </c>
      <c r="AA239" s="70" t="str">
        <f t="shared" si="96"/>
        <v/>
      </c>
      <c r="AB239" s="70" t="str">
        <f t="shared" si="97"/>
        <v/>
      </c>
      <c r="AC239" s="71" t="str">
        <f t="shared" si="98"/>
        <v/>
      </c>
      <c r="AD239" s="72" t="str">
        <f t="shared" si="99"/>
        <v/>
      </c>
      <c r="AE239" s="73" t="str">
        <f>IF(A239="","",COUNT($N$2:N239))</f>
        <v/>
      </c>
      <c r="AF239" s="74" t="str">
        <f t="shared" si="100"/>
        <v/>
      </c>
      <c r="AG239" s="74" t="str">
        <f t="shared" si="101"/>
        <v/>
      </c>
      <c r="AH239" s="74" t="str">
        <f t="shared" si="102"/>
        <v/>
      </c>
      <c r="AI239" s="74" t="str">
        <f t="shared" si="103"/>
        <v/>
      </c>
      <c r="AJ239" s="74" t="str">
        <f t="shared" si="104"/>
        <v/>
      </c>
      <c r="AK239" s="74" t="str">
        <f>IF(A239="","",1/Tabela1[[#This Row],[ODDC]])</f>
        <v/>
      </c>
      <c r="AL239" s="74" t="str">
        <f>IF(A239="","",1/Tabela1[[#This Row],[ODDE]])</f>
        <v/>
      </c>
      <c r="AM239" s="74" t="str">
        <f>IF(A239="","",1/Tabela1[[#This Row],[ODDV]])</f>
        <v/>
      </c>
      <c r="AN239" s="74" t="str">
        <f>IF(A239="","",1-(Tabela1[[#This Row],[p(H)]]+Tabela1[[#This Row],[p(D)]]+Tabela1[[#This Row],[p(A)]]))</f>
        <v/>
      </c>
      <c r="AO239" s="74" t="str">
        <f>IF(A239="","",IFERROR(Tabela1[[#This Row],[p(H)]]/Tabela1[[#This Row],[FTHG]],1))</f>
        <v/>
      </c>
      <c r="AP239" s="74" t="str">
        <f>IF(A239="","",IFERROR(Tabela1[[#This Row],[p(A)]]/Tabela1[[#This Row],[FTAG]],1))</f>
        <v/>
      </c>
      <c r="AQ239" s="107"/>
      <c r="AR239" s="107"/>
      <c r="AS239" s="107"/>
      <c r="AT239" s="107"/>
      <c r="AU239" s="107"/>
      <c r="AV239" s="107"/>
      <c r="AW239" s="107"/>
      <c r="AX239" s="107"/>
      <c r="AY239" s="107"/>
      <c r="AZ239" s="107"/>
      <c r="BA239" s="107"/>
      <c r="BB239" s="107"/>
      <c r="BC239" s="107"/>
      <c r="BD239" s="107"/>
      <c r="BE239" s="107"/>
      <c r="BF239" s="107"/>
      <c r="BG239" s="107"/>
      <c r="BH239" s="107"/>
      <c r="BI239" s="107"/>
      <c r="BJ239" s="107"/>
      <c r="BK239" s="107"/>
      <c r="BL239" s="107"/>
      <c r="BM239" s="107"/>
      <c r="BN239" s="107"/>
      <c r="BO239" s="107"/>
      <c r="BP239" s="107"/>
      <c r="BQ239" s="107"/>
      <c r="BR239" s="107"/>
      <c r="BS239" s="107"/>
      <c r="BT239" s="107"/>
      <c r="BU239" s="107"/>
      <c r="BV239" s="107"/>
      <c r="BW239" s="107"/>
      <c r="BX239" s="107"/>
      <c r="BY239" s="107"/>
      <c r="BZ239" s="107"/>
      <c r="CA239" s="107"/>
      <c r="CB239" s="107"/>
      <c r="CC239" s="107"/>
      <c r="CD239" s="107"/>
      <c r="CE239" s="102"/>
      <c r="CF239" s="102"/>
      <c r="CG239" s="102"/>
      <c r="CH239" s="102"/>
      <c r="CI239" s="102"/>
      <c r="CJ239" s="102"/>
      <c r="CK239" s="102"/>
      <c r="CL239" s="102"/>
      <c r="CM239" s="102"/>
      <c r="CN239" s="102"/>
      <c r="CO239" s="102"/>
      <c r="CP239" s="102"/>
      <c r="CQ239" s="102"/>
      <c r="CR239" s="102"/>
      <c r="CS239" s="102"/>
      <c r="CT239" s="102"/>
      <c r="CU239" s="102"/>
      <c r="CV239" s="102"/>
      <c r="CW239" s="102"/>
      <c r="CX239" s="102"/>
      <c r="CY239" s="102"/>
      <c r="CZ239" s="102"/>
      <c r="DA239" s="102"/>
      <c r="DB239" s="102"/>
      <c r="DC239" s="102"/>
      <c r="DD239" s="102"/>
      <c r="DE239" s="102"/>
      <c r="DF239" s="102"/>
      <c r="DG239" s="102"/>
      <c r="DH239" s="102"/>
      <c r="DI239" s="102"/>
      <c r="DJ239" s="102"/>
      <c r="DK239" s="102"/>
      <c r="DL239" s="102"/>
      <c r="DM239" s="102"/>
      <c r="DN239" s="102"/>
      <c r="DO239" s="102"/>
      <c r="DP239" s="102"/>
    </row>
    <row r="240" spans="1:120" x14ac:dyDescent="0.25">
      <c r="A240" s="4"/>
      <c r="D240"/>
      <c r="E240"/>
      <c r="F240"/>
      <c r="J240" s="68" t="str">
        <f t="shared" si="84"/>
        <v/>
      </c>
      <c r="K240" s="68" t="str">
        <f t="shared" si="85"/>
        <v/>
      </c>
      <c r="L240" s="69" t="str">
        <f t="shared" si="86"/>
        <v/>
      </c>
      <c r="M240" s="69" t="str">
        <f t="shared" si="87"/>
        <v/>
      </c>
      <c r="N240" s="69" t="str">
        <f>IF(A240="","",Tabela1[[#This Row],[PTC]]*Tabela1[[#This Row],[ODDC]])</f>
        <v/>
      </c>
      <c r="O240" s="69" t="str">
        <f>IF(A240="","",Tabela1[[#This Row],[PTV]]*Tabela1[[#This Row],[ODDV]])</f>
        <v/>
      </c>
      <c r="P240" s="68" t="str">
        <f t="shared" si="88"/>
        <v/>
      </c>
      <c r="Q240" s="68" t="str">
        <f t="shared" si="89"/>
        <v/>
      </c>
      <c r="R240" s="68" t="str">
        <f t="shared" si="90"/>
        <v/>
      </c>
      <c r="S240" s="68" t="str">
        <f t="shared" si="91"/>
        <v/>
      </c>
      <c r="T240" s="68" t="str">
        <f>IF(A240="","",IF(F240="D",Tabela1[[#This Row],[ODDE]]-1,-1))</f>
        <v/>
      </c>
      <c r="U240" s="70" t="str">
        <f>IF(A240="","",IF(AND(Tabela1[[#This Row],[FTHG]]&gt;3,F240="H"),1,0))</f>
        <v/>
      </c>
      <c r="V240" s="70" t="str">
        <f>IF(A240="","",IF(AND(Tabela1[[#This Row],[FTAG]]&gt;3,F240="A"),1,0))</f>
        <v/>
      </c>
      <c r="W240" s="70" t="str">
        <f t="shared" si="92"/>
        <v/>
      </c>
      <c r="X240" s="70" t="str">
        <f t="shared" si="93"/>
        <v/>
      </c>
      <c r="Y240" s="71" t="str">
        <f t="shared" si="94"/>
        <v/>
      </c>
      <c r="Z240" s="70" t="str">
        <f t="shared" si="95"/>
        <v/>
      </c>
      <c r="AA240" s="70" t="str">
        <f t="shared" si="96"/>
        <v/>
      </c>
      <c r="AB240" s="70" t="str">
        <f t="shared" si="97"/>
        <v/>
      </c>
      <c r="AC240" s="71" t="str">
        <f t="shared" si="98"/>
        <v/>
      </c>
      <c r="AD240" s="72" t="str">
        <f t="shared" si="99"/>
        <v/>
      </c>
      <c r="AE240" s="73" t="str">
        <f>IF(A240="","",COUNT($N$2:N240))</f>
        <v/>
      </c>
      <c r="AF240" s="74" t="str">
        <f t="shared" si="100"/>
        <v/>
      </c>
      <c r="AG240" s="74" t="str">
        <f t="shared" si="101"/>
        <v/>
      </c>
      <c r="AH240" s="74" t="str">
        <f t="shared" si="102"/>
        <v/>
      </c>
      <c r="AI240" s="74" t="str">
        <f t="shared" si="103"/>
        <v/>
      </c>
      <c r="AJ240" s="74" t="str">
        <f t="shared" si="104"/>
        <v/>
      </c>
      <c r="AK240" s="74" t="str">
        <f>IF(A240="","",1/Tabela1[[#This Row],[ODDC]])</f>
        <v/>
      </c>
      <c r="AL240" s="74" t="str">
        <f>IF(A240="","",1/Tabela1[[#This Row],[ODDE]])</f>
        <v/>
      </c>
      <c r="AM240" s="74" t="str">
        <f>IF(A240="","",1/Tabela1[[#This Row],[ODDV]])</f>
        <v/>
      </c>
      <c r="AN240" s="74" t="str">
        <f>IF(A240="","",1-(Tabela1[[#This Row],[p(H)]]+Tabela1[[#This Row],[p(D)]]+Tabela1[[#This Row],[p(A)]]))</f>
        <v/>
      </c>
      <c r="AO240" s="74" t="str">
        <f>IF(A240="","",IFERROR(Tabela1[[#This Row],[p(H)]]/Tabela1[[#This Row],[FTHG]],1))</f>
        <v/>
      </c>
      <c r="AP240" s="74" t="str">
        <f>IF(A240="","",IFERROR(Tabela1[[#This Row],[p(A)]]/Tabela1[[#This Row],[FTAG]],1))</f>
        <v/>
      </c>
      <c r="AQ240" s="107"/>
      <c r="AR240" s="107"/>
      <c r="AS240" s="107"/>
      <c r="AT240" s="107"/>
      <c r="AU240" s="107"/>
      <c r="AV240" s="107"/>
      <c r="AW240" s="107"/>
      <c r="AX240" s="107"/>
      <c r="AY240" s="107"/>
      <c r="AZ240" s="107"/>
      <c r="BA240" s="107"/>
      <c r="BB240" s="107"/>
      <c r="BC240" s="107"/>
      <c r="BD240" s="107"/>
      <c r="BE240" s="107"/>
      <c r="BF240" s="107"/>
      <c r="BG240" s="107"/>
      <c r="BH240" s="107"/>
      <c r="BI240" s="107"/>
      <c r="BJ240" s="107"/>
      <c r="BK240" s="107"/>
      <c r="BL240" s="107"/>
      <c r="BM240" s="107"/>
      <c r="BN240" s="107"/>
      <c r="BO240" s="107"/>
      <c r="BP240" s="107"/>
      <c r="BQ240" s="107"/>
      <c r="BR240" s="107"/>
      <c r="BS240" s="107"/>
      <c r="BT240" s="107"/>
      <c r="BU240" s="107"/>
      <c r="BV240" s="107"/>
      <c r="BW240" s="107"/>
      <c r="BX240" s="107"/>
      <c r="BY240" s="107"/>
      <c r="BZ240" s="107"/>
      <c r="CA240" s="107"/>
      <c r="CB240" s="107"/>
      <c r="CC240" s="107"/>
      <c r="CD240" s="107"/>
      <c r="CE240" s="102"/>
      <c r="CF240" s="102"/>
      <c r="CG240" s="102"/>
      <c r="CH240" s="102"/>
      <c r="CI240" s="102"/>
      <c r="CJ240" s="102"/>
      <c r="CK240" s="102"/>
      <c r="CL240" s="102"/>
      <c r="CM240" s="102"/>
      <c r="CN240" s="102"/>
      <c r="CO240" s="102"/>
      <c r="CP240" s="102"/>
      <c r="CQ240" s="102"/>
      <c r="CR240" s="102"/>
      <c r="CS240" s="102"/>
      <c r="CT240" s="102"/>
      <c r="CU240" s="102"/>
      <c r="CV240" s="102"/>
      <c r="CW240" s="102"/>
      <c r="CX240" s="102"/>
      <c r="CY240" s="102"/>
      <c r="CZ240" s="102"/>
      <c r="DA240" s="102"/>
      <c r="DB240" s="102"/>
      <c r="DC240" s="102"/>
      <c r="DD240" s="102"/>
      <c r="DE240" s="102"/>
      <c r="DF240" s="102"/>
      <c r="DG240" s="102"/>
      <c r="DH240" s="102"/>
      <c r="DI240" s="102"/>
      <c r="DJ240" s="102"/>
      <c r="DK240" s="102"/>
      <c r="DL240" s="102"/>
      <c r="DM240" s="102"/>
      <c r="DN240" s="102"/>
      <c r="DO240" s="102"/>
      <c r="DP240" s="102"/>
    </row>
    <row r="241" spans="1:120" x14ac:dyDescent="0.25">
      <c r="A241" s="4"/>
      <c r="D241"/>
      <c r="E241"/>
      <c r="F241"/>
      <c r="J241" s="68" t="str">
        <f t="shared" si="84"/>
        <v/>
      </c>
      <c r="K241" s="68" t="str">
        <f t="shared" si="85"/>
        <v/>
      </c>
      <c r="L241" s="69" t="str">
        <f t="shared" si="86"/>
        <v/>
      </c>
      <c r="M241" s="69" t="str">
        <f t="shared" si="87"/>
        <v/>
      </c>
      <c r="N241" s="69" t="str">
        <f>IF(A241="","",Tabela1[[#This Row],[PTC]]*Tabela1[[#This Row],[ODDC]])</f>
        <v/>
      </c>
      <c r="O241" s="69" t="str">
        <f>IF(A241="","",Tabela1[[#This Row],[PTV]]*Tabela1[[#This Row],[ODDV]])</f>
        <v/>
      </c>
      <c r="P241" s="68" t="str">
        <f t="shared" si="88"/>
        <v/>
      </c>
      <c r="Q241" s="68" t="str">
        <f t="shared" si="89"/>
        <v/>
      </c>
      <c r="R241" s="68" t="str">
        <f t="shared" si="90"/>
        <v/>
      </c>
      <c r="S241" s="68" t="str">
        <f t="shared" si="91"/>
        <v/>
      </c>
      <c r="T241" s="68" t="str">
        <f>IF(A241="","",IF(F241="D",Tabela1[[#This Row],[ODDE]]-1,-1))</f>
        <v/>
      </c>
      <c r="U241" s="70" t="str">
        <f>IF(A241="","",IF(AND(Tabela1[[#This Row],[FTHG]]&gt;3,F241="H"),1,0))</f>
        <v/>
      </c>
      <c r="V241" s="70" t="str">
        <f>IF(A241="","",IF(AND(Tabela1[[#This Row],[FTAG]]&gt;3,F241="A"),1,0))</f>
        <v/>
      </c>
      <c r="W241" s="70" t="str">
        <f t="shared" si="92"/>
        <v/>
      </c>
      <c r="X241" s="70" t="str">
        <f t="shared" si="93"/>
        <v/>
      </c>
      <c r="Y241" s="71" t="str">
        <f t="shared" si="94"/>
        <v/>
      </c>
      <c r="Z241" s="70" t="str">
        <f t="shared" si="95"/>
        <v/>
      </c>
      <c r="AA241" s="70" t="str">
        <f t="shared" si="96"/>
        <v/>
      </c>
      <c r="AB241" s="70" t="str">
        <f t="shared" si="97"/>
        <v/>
      </c>
      <c r="AC241" s="71" t="str">
        <f t="shared" si="98"/>
        <v/>
      </c>
      <c r="AD241" s="72" t="str">
        <f t="shared" si="99"/>
        <v/>
      </c>
      <c r="AE241" s="73" t="str">
        <f>IF(A241="","",COUNT($N$2:N241))</f>
        <v/>
      </c>
      <c r="AF241" s="74" t="str">
        <f t="shared" si="100"/>
        <v/>
      </c>
      <c r="AG241" s="74" t="str">
        <f t="shared" si="101"/>
        <v/>
      </c>
      <c r="AH241" s="74" t="str">
        <f t="shared" si="102"/>
        <v/>
      </c>
      <c r="AI241" s="74" t="str">
        <f t="shared" si="103"/>
        <v/>
      </c>
      <c r="AJ241" s="74" t="str">
        <f t="shared" si="104"/>
        <v/>
      </c>
      <c r="AK241" s="74" t="str">
        <f>IF(A241="","",1/Tabela1[[#This Row],[ODDC]])</f>
        <v/>
      </c>
      <c r="AL241" s="74" t="str">
        <f>IF(A241="","",1/Tabela1[[#This Row],[ODDE]])</f>
        <v/>
      </c>
      <c r="AM241" s="74" t="str">
        <f>IF(A241="","",1/Tabela1[[#This Row],[ODDV]])</f>
        <v/>
      </c>
      <c r="AN241" s="74" t="str">
        <f>IF(A241="","",1-(Tabela1[[#This Row],[p(H)]]+Tabela1[[#This Row],[p(D)]]+Tabela1[[#This Row],[p(A)]]))</f>
        <v/>
      </c>
      <c r="AO241" s="74" t="str">
        <f>IF(A241="","",IFERROR(Tabela1[[#This Row],[p(H)]]/Tabela1[[#This Row],[FTHG]],1))</f>
        <v/>
      </c>
      <c r="AP241" s="74" t="str">
        <f>IF(A241="","",IFERROR(Tabela1[[#This Row],[p(A)]]/Tabela1[[#This Row],[FTAG]],1))</f>
        <v/>
      </c>
      <c r="AQ241" s="107"/>
      <c r="AR241" s="107"/>
      <c r="AS241" s="107"/>
      <c r="AT241" s="107"/>
      <c r="AU241" s="107"/>
      <c r="AV241" s="107"/>
      <c r="AW241" s="107"/>
      <c r="AX241" s="107"/>
      <c r="AY241" s="107"/>
      <c r="AZ241" s="107"/>
      <c r="BA241" s="107"/>
      <c r="BB241" s="107"/>
      <c r="BC241" s="107"/>
      <c r="BD241" s="107"/>
      <c r="BE241" s="107"/>
      <c r="BF241" s="107"/>
      <c r="BG241" s="107"/>
      <c r="BH241" s="107"/>
      <c r="BI241" s="107"/>
      <c r="BJ241" s="107"/>
      <c r="BK241" s="107"/>
      <c r="BL241" s="107"/>
      <c r="BM241" s="107"/>
      <c r="BN241" s="107"/>
      <c r="BO241" s="107"/>
      <c r="BP241" s="107"/>
      <c r="BQ241" s="107"/>
      <c r="BR241" s="107"/>
      <c r="BS241" s="107"/>
      <c r="BT241" s="107"/>
      <c r="BU241" s="107"/>
      <c r="BV241" s="107"/>
      <c r="BW241" s="107"/>
      <c r="BX241" s="107"/>
      <c r="BY241" s="107"/>
      <c r="BZ241" s="107"/>
      <c r="CA241" s="107"/>
      <c r="CB241" s="107"/>
      <c r="CC241" s="107"/>
      <c r="CD241" s="107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2"/>
      <c r="DC241" s="102"/>
      <c r="DD241" s="102"/>
      <c r="DE241" s="102"/>
      <c r="DF241" s="102"/>
      <c r="DG241" s="102"/>
      <c r="DH241" s="102"/>
      <c r="DI241" s="102"/>
      <c r="DJ241" s="102"/>
      <c r="DK241" s="102"/>
      <c r="DL241" s="102"/>
      <c r="DM241" s="102"/>
      <c r="DN241" s="102"/>
      <c r="DO241" s="102"/>
      <c r="DP241" s="102"/>
    </row>
    <row r="242" spans="1:120" x14ac:dyDescent="0.25">
      <c r="A242" s="4"/>
      <c r="D242"/>
      <c r="E242"/>
      <c r="F242"/>
      <c r="J242" s="68" t="str">
        <f t="shared" si="84"/>
        <v/>
      </c>
      <c r="K242" s="68" t="str">
        <f t="shared" si="85"/>
        <v/>
      </c>
      <c r="L242" s="69" t="str">
        <f t="shared" si="86"/>
        <v/>
      </c>
      <c r="M242" s="69" t="str">
        <f t="shared" si="87"/>
        <v/>
      </c>
      <c r="N242" s="69" t="str">
        <f>IF(A242="","",Tabela1[[#This Row],[PTC]]*Tabela1[[#This Row],[ODDC]])</f>
        <v/>
      </c>
      <c r="O242" s="69" t="str">
        <f>IF(A242="","",Tabela1[[#This Row],[PTV]]*Tabela1[[#This Row],[ODDV]])</f>
        <v/>
      </c>
      <c r="P242" s="68" t="str">
        <f t="shared" si="88"/>
        <v/>
      </c>
      <c r="Q242" s="68" t="str">
        <f t="shared" si="89"/>
        <v/>
      </c>
      <c r="R242" s="68" t="str">
        <f t="shared" si="90"/>
        <v/>
      </c>
      <c r="S242" s="68" t="str">
        <f t="shared" si="91"/>
        <v/>
      </c>
      <c r="T242" s="68" t="str">
        <f>IF(A242="","",IF(F242="D",Tabela1[[#This Row],[ODDE]]-1,-1))</f>
        <v/>
      </c>
      <c r="U242" s="70" t="str">
        <f>IF(A242="","",IF(AND(Tabela1[[#This Row],[FTHG]]&gt;3,F242="H"),1,0))</f>
        <v/>
      </c>
      <c r="V242" s="70" t="str">
        <f>IF(A242="","",IF(AND(Tabela1[[#This Row],[FTAG]]&gt;3,F242="A"),1,0))</f>
        <v/>
      </c>
      <c r="W242" s="70" t="str">
        <f t="shared" si="92"/>
        <v/>
      </c>
      <c r="X242" s="70" t="str">
        <f t="shared" si="93"/>
        <v/>
      </c>
      <c r="Y242" s="71" t="str">
        <f t="shared" si="94"/>
        <v/>
      </c>
      <c r="Z242" s="70" t="str">
        <f t="shared" si="95"/>
        <v/>
      </c>
      <c r="AA242" s="70" t="str">
        <f t="shared" si="96"/>
        <v/>
      </c>
      <c r="AB242" s="70" t="str">
        <f t="shared" si="97"/>
        <v/>
      </c>
      <c r="AC242" s="71" t="str">
        <f t="shared" si="98"/>
        <v/>
      </c>
      <c r="AD242" s="72" t="str">
        <f t="shared" si="99"/>
        <v/>
      </c>
      <c r="AE242" s="73" t="str">
        <f>IF(A242="","",COUNT($N$2:N242))</f>
        <v/>
      </c>
      <c r="AF242" s="74" t="str">
        <f t="shared" si="100"/>
        <v/>
      </c>
      <c r="AG242" s="74" t="str">
        <f t="shared" si="101"/>
        <v/>
      </c>
      <c r="AH242" s="74" t="str">
        <f t="shared" si="102"/>
        <v/>
      </c>
      <c r="AI242" s="74" t="str">
        <f t="shared" si="103"/>
        <v/>
      </c>
      <c r="AJ242" s="74" t="str">
        <f t="shared" si="104"/>
        <v/>
      </c>
      <c r="AK242" s="74" t="str">
        <f>IF(A242="","",1/Tabela1[[#This Row],[ODDC]])</f>
        <v/>
      </c>
      <c r="AL242" s="74" t="str">
        <f>IF(A242="","",1/Tabela1[[#This Row],[ODDE]])</f>
        <v/>
      </c>
      <c r="AM242" s="74" t="str">
        <f>IF(A242="","",1/Tabela1[[#This Row],[ODDV]])</f>
        <v/>
      </c>
      <c r="AN242" s="74" t="str">
        <f>IF(A242="","",1-(Tabela1[[#This Row],[p(H)]]+Tabela1[[#This Row],[p(D)]]+Tabela1[[#This Row],[p(A)]]))</f>
        <v/>
      </c>
      <c r="AO242" s="74" t="str">
        <f>IF(A242="","",IFERROR(Tabela1[[#This Row],[p(H)]]/Tabela1[[#This Row],[FTHG]],1))</f>
        <v/>
      </c>
      <c r="AP242" s="74" t="str">
        <f>IF(A242="","",IFERROR(Tabela1[[#This Row],[p(A)]]/Tabela1[[#This Row],[FTAG]],1))</f>
        <v/>
      </c>
      <c r="AQ242" s="107"/>
      <c r="AR242" s="107"/>
      <c r="AS242" s="107"/>
      <c r="AT242" s="107"/>
      <c r="AU242" s="107"/>
      <c r="AV242" s="107"/>
      <c r="AW242" s="107"/>
      <c r="AX242" s="107"/>
      <c r="AY242" s="107"/>
      <c r="AZ242" s="107"/>
      <c r="BA242" s="107"/>
      <c r="BB242" s="107"/>
      <c r="BC242" s="107"/>
      <c r="BD242" s="107"/>
      <c r="BE242" s="107"/>
      <c r="BF242" s="107"/>
      <c r="BG242" s="107"/>
      <c r="BH242" s="107"/>
      <c r="BI242" s="107"/>
      <c r="BJ242" s="107"/>
      <c r="BK242" s="107"/>
      <c r="BL242" s="107"/>
      <c r="BM242" s="107"/>
      <c r="BN242" s="107"/>
      <c r="BO242" s="107"/>
      <c r="BP242" s="107"/>
      <c r="BQ242" s="107"/>
      <c r="BR242" s="107"/>
      <c r="BS242" s="107"/>
      <c r="BT242" s="107"/>
      <c r="BU242" s="107"/>
      <c r="BV242" s="107"/>
      <c r="BW242" s="107"/>
      <c r="BX242" s="107"/>
      <c r="BY242" s="107"/>
      <c r="BZ242" s="107"/>
      <c r="CA242" s="107"/>
      <c r="CB242" s="107"/>
      <c r="CC242" s="107"/>
      <c r="CD242" s="107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2"/>
      <c r="DC242" s="102"/>
      <c r="DD242" s="102"/>
      <c r="DE242" s="102"/>
      <c r="DF242" s="102"/>
      <c r="DG242" s="102"/>
      <c r="DH242" s="102"/>
      <c r="DI242" s="102"/>
      <c r="DJ242" s="102"/>
      <c r="DK242" s="102"/>
      <c r="DL242" s="102"/>
      <c r="DM242" s="102"/>
      <c r="DN242" s="102"/>
      <c r="DO242" s="102"/>
      <c r="DP242" s="102"/>
    </row>
    <row r="243" spans="1:120" x14ac:dyDescent="0.25">
      <c r="A243" s="4"/>
      <c r="D243"/>
      <c r="E243"/>
      <c r="F243"/>
      <c r="J243" s="68" t="str">
        <f t="shared" si="84"/>
        <v/>
      </c>
      <c r="K243" s="68" t="str">
        <f t="shared" si="85"/>
        <v/>
      </c>
      <c r="L243" s="69" t="str">
        <f t="shared" si="86"/>
        <v/>
      </c>
      <c r="M243" s="69" t="str">
        <f t="shared" si="87"/>
        <v/>
      </c>
      <c r="N243" s="69" t="str">
        <f>IF(A243="","",Tabela1[[#This Row],[PTC]]*Tabela1[[#This Row],[ODDC]])</f>
        <v/>
      </c>
      <c r="O243" s="69" t="str">
        <f>IF(A243="","",Tabela1[[#This Row],[PTV]]*Tabela1[[#This Row],[ODDV]])</f>
        <v/>
      </c>
      <c r="P243" s="68" t="str">
        <f t="shared" si="88"/>
        <v/>
      </c>
      <c r="Q243" s="68" t="str">
        <f t="shared" si="89"/>
        <v/>
      </c>
      <c r="R243" s="68" t="str">
        <f t="shared" si="90"/>
        <v/>
      </c>
      <c r="S243" s="68" t="str">
        <f t="shared" si="91"/>
        <v/>
      </c>
      <c r="T243" s="68" t="str">
        <f>IF(A243="","",IF(F243="D",Tabela1[[#This Row],[ODDE]]-1,-1))</f>
        <v/>
      </c>
      <c r="U243" s="70" t="str">
        <f>IF(A243="","",IF(AND(Tabela1[[#This Row],[FTHG]]&gt;3,F243="H"),1,0))</f>
        <v/>
      </c>
      <c r="V243" s="70" t="str">
        <f>IF(A243="","",IF(AND(Tabela1[[#This Row],[FTAG]]&gt;3,F243="A"),1,0))</f>
        <v/>
      </c>
      <c r="W243" s="70" t="str">
        <f t="shared" si="92"/>
        <v/>
      </c>
      <c r="X243" s="70" t="str">
        <f t="shared" si="93"/>
        <v/>
      </c>
      <c r="Y243" s="71" t="str">
        <f t="shared" si="94"/>
        <v/>
      </c>
      <c r="Z243" s="70" t="str">
        <f t="shared" si="95"/>
        <v/>
      </c>
      <c r="AA243" s="70" t="str">
        <f t="shared" si="96"/>
        <v/>
      </c>
      <c r="AB243" s="70" t="str">
        <f t="shared" si="97"/>
        <v/>
      </c>
      <c r="AC243" s="71" t="str">
        <f t="shared" si="98"/>
        <v/>
      </c>
      <c r="AD243" s="72" t="str">
        <f t="shared" si="99"/>
        <v/>
      </c>
      <c r="AE243" s="73" t="str">
        <f>IF(A243="","",COUNT($N$2:N243))</f>
        <v/>
      </c>
      <c r="AF243" s="74" t="str">
        <f t="shared" si="100"/>
        <v/>
      </c>
      <c r="AG243" s="74" t="str">
        <f t="shared" si="101"/>
        <v/>
      </c>
      <c r="AH243" s="74" t="str">
        <f t="shared" si="102"/>
        <v/>
      </c>
      <c r="AI243" s="74" t="str">
        <f t="shared" si="103"/>
        <v/>
      </c>
      <c r="AJ243" s="74" t="str">
        <f t="shared" si="104"/>
        <v/>
      </c>
      <c r="AK243" s="74" t="str">
        <f>IF(A243="","",1/Tabela1[[#This Row],[ODDC]])</f>
        <v/>
      </c>
      <c r="AL243" s="74" t="str">
        <f>IF(A243="","",1/Tabela1[[#This Row],[ODDE]])</f>
        <v/>
      </c>
      <c r="AM243" s="74" t="str">
        <f>IF(A243="","",1/Tabela1[[#This Row],[ODDV]])</f>
        <v/>
      </c>
      <c r="AN243" s="74" t="str">
        <f>IF(A243="","",1-(Tabela1[[#This Row],[p(H)]]+Tabela1[[#This Row],[p(D)]]+Tabela1[[#This Row],[p(A)]]))</f>
        <v/>
      </c>
      <c r="AO243" s="74" t="str">
        <f>IF(A243="","",IFERROR(Tabela1[[#This Row],[p(H)]]/Tabela1[[#This Row],[FTHG]],1))</f>
        <v/>
      </c>
      <c r="AP243" s="74" t="str">
        <f>IF(A243="","",IFERROR(Tabela1[[#This Row],[p(A)]]/Tabela1[[#This Row],[FTAG]],1))</f>
        <v/>
      </c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G243" s="107"/>
      <c r="BH243" s="107"/>
      <c r="BI243" s="107"/>
      <c r="BJ243" s="107"/>
      <c r="BK243" s="107"/>
      <c r="BL243" s="107"/>
      <c r="BM243" s="107"/>
      <c r="BN243" s="107"/>
      <c r="BO243" s="107"/>
      <c r="BP243" s="107"/>
      <c r="BQ243" s="107"/>
      <c r="BR243" s="107"/>
      <c r="BS243" s="107"/>
      <c r="BT243" s="107"/>
      <c r="BU243" s="107"/>
      <c r="BV243" s="107"/>
      <c r="BW243" s="107"/>
      <c r="BX243" s="107"/>
      <c r="BY243" s="107"/>
      <c r="BZ243" s="107"/>
      <c r="CA243" s="107"/>
      <c r="CB243" s="107"/>
      <c r="CC243" s="107"/>
      <c r="CD243" s="107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2"/>
      <c r="CR243" s="102"/>
      <c r="CS243" s="102"/>
      <c r="CT243" s="102"/>
      <c r="CU243" s="102"/>
      <c r="CV243" s="102"/>
      <c r="CW243" s="102"/>
      <c r="CX243" s="102"/>
      <c r="CY243" s="102"/>
      <c r="CZ243" s="102"/>
      <c r="DA243" s="102"/>
      <c r="DB243" s="102"/>
      <c r="DC243" s="102"/>
      <c r="DD243" s="102"/>
      <c r="DE243" s="102"/>
      <c r="DF243" s="102"/>
      <c r="DG243" s="102"/>
      <c r="DH243" s="102"/>
      <c r="DI243" s="102"/>
      <c r="DJ243" s="102"/>
      <c r="DK243" s="102"/>
      <c r="DL243" s="102"/>
      <c r="DM243" s="102"/>
      <c r="DN243" s="102"/>
      <c r="DO243" s="102"/>
      <c r="DP243" s="102"/>
    </row>
    <row r="244" spans="1:120" x14ac:dyDescent="0.25">
      <c r="A244" s="4"/>
      <c r="D244"/>
      <c r="E244"/>
      <c r="F244"/>
      <c r="J244" s="68" t="str">
        <f t="shared" si="84"/>
        <v/>
      </c>
      <c r="K244" s="68" t="str">
        <f t="shared" si="85"/>
        <v/>
      </c>
      <c r="L244" s="69" t="str">
        <f t="shared" si="86"/>
        <v/>
      </c>
      <c r="M244" s="69" t="str">
        <f t="shared" si="87"/>
        <v/>
      </c>
      <c r="N244" s="69" t="str">
        <f>IF(A244="","",Tabela1[[#This Row],[PTC]]*Tabela1[[#This Row],[ODDC]])</f>
        <v/>
      </c>
      <c r="O244" s="69" t="str">
        <f>IF(A244="","",Tabela1[[#This Row],[PTV]]*Tabela1[[#This Row],[ODDV]])</f>
        <v/>
      </c>
      <c r="P244" s="68" t="str">
        <f t="shared" si="88"/>
        <v/>
      </c>
      <c r="Q244" s="68" t="str">
        <f t="shared" si="89"/>
        <v/>
      </c>
      <c r="R244" s="68" t="str">
        <f t="shared" si="90"/>
        <v/>
      </c>
      <c r="S244" s="68" t="str">
        <f t="shared" si="91"/>
        <v/>
      </c>
      <c r="T244" s="68" t="str">
        <f>IF(A244="","",IF(F244="D",Tabela1[[#This Row],[ODDE]]-1,-1))</f>
        <v/>
      </c>
      <c r="U244" s="70" t="str">
        <f>IF(A244="","",IF(AND(Tabela1[[#This Row],[FTHG]]&gt;3,F244="H"),1,0))</f>
        <v/>
      </c>
      <c r="V244" s="70" t="str">
        <f>IF(A244="","",IF(AND(Tabela1[[#This Row],[FTAG]]&gt;3,F244="A"),1,0))</f>
        <v/>
      </c>
      <c r="W244" s="70" t="str">
        <f t="shared" si="92"/>
        <v/>
      </c>
      <c r="X244" s="70" t="str">
        <f t="shared" si="93"/>
        <v/>
      </c>
      <c r="Y244" s="71" t="str">
        <f t="shared" si="94"/>
        <v/>
      </c>
      <c r="Z244" s="70" t="str">
        <f t="shared" si="95"/>
        <v/>
      </c>
      <c r="AA244" s="70" t="str">
        <f t="shared" si="96"/>
        <v/>
      </c>
      <c r="AB244" s="70" t="str">
        <f t="shared" si="97"/>
        <v/>
      </c>
      <c r="AC244" s="71" t="str">
        <f t="shared" si="98"/>
        <v/>
      </c>
      <c r="AD244" s="72" t="str">
        <f t="shared" si="99"/>
        <v/>
      </c>
      <c r="AE244" s="73" t="str">
        <f>IF(A244="","",COUNT($N$2:N244))</f>
        <v/>
      </c>
      <c r="AF244" s="74" t="str">
        <f t="shared" si="100"/>
        <v/>
      </c>
      <c r="AG244" s="74" t="str">
        <f t="shared" si="101"/>
        <v/>
      </c>
      <c r="AH244" s="74" t="str">
        <f t="shared" si="102"/>
        <v/>
      </c>
      <c r="AI244" s="74" t="str">
        <f t="shared" si="103"/>
        <v/>
      </c>
      <c r="AJ244" s="74" t="str">
        <f t="shared" si="104"/>
        <v/>
      </c>
      <c r="AK244" s="74" t="str">
        <f>IF(A244="","",1/Tabela1[[#This Row],[ODDC]])</f>
        <v/>
      </c>
      <c r="AL244" s="74" t="str">
        <f>IF(A244="","",1/Tabela1[[#This Row],[ODDE]])</f>
        <v/>
      </c>
      <c r="AM244" s="74" t="str">
        <f>IF(A244="","",1/Tabela1[[#This Row],[ODDV]])</f>
        <v/>
      </c>
      <c r="AN244" s="74" t="str">
        <f>IF(A244="","",1-(Tabela1[[#This Row],[p(H)]]+Tabela1[[#This Row],[p(D)]]+Tabela1[[#This Row],[p(A)]]))</f>
        <v/>
      </c>
      <c r="AO244" s="74" t="str">
        <f>IF(A244="","",IFERROR(Tabela1[[#This Row],[p(H)]]/Tabela1[[#This Row],[FTHG]],1))</f>
        <v/>
      </c>
      <c r="AP244" s="74" t="str">
        <f>IF(A244="","",IFERROR(Tabela1[[#This Row],[p(A)]]/Tabela1[[#This Row],[FTAG]],1))</f>
        <v/>
      </c>
      <c r="AQ244" s="107"/>
      <c r="AR244" s="107"/>
      <c r="AS244" s="107"/>
      <c r="AT244" s="107"/>
      <c r="AU244" s="107"/>
      <c r="AV244" s="107"/>
      <c r="AW244" s="107"/>
      <c r="AX244" s="107"/>
      <c r="AY244" s="107"/>
      <c r="AZ244" s="107"/>
      <c r="BA244" s="107"/>
      <c r="BB244" s="107"/>
      <c r="BC244" s="107"/>
      <c r="BD244" s="107"/>
      <c r="BE244" s="107"/>
      <c r="BF244" s="107"/>
      <c r="BG244" s="107"/>
      <c r="BH244" s="107"/>
      <c r="BI244" s="107"/>
      <c r="BJ244" s="107"/>
      <c r="BK244" s="107"/>
      <c r="BL244" s="107"/>
      <c r="BM244" s="107"/>
      <c r="BN244" s="107"/>
      <c r="BO244" s="107"/>
      <c r="BP244" s="107"/>
      <c r="BQ244" s="107"/>
      <c r="BR244" s="107"/>
      <c r="BS244" s="107"/>
      <c r="BT244" s="107"/>
      <c r="BU244" s="107"/>
      <c r="BV244" s="107"/>
      <c r="BW244" s="107"/>
      <c r="BX244" s="107"/>
      <c r="BY244" s="107"/>
      <c r="BZ244" s="107"/>
      <c r="CA244" s="107"/>
      <c r="CB244" s="107"/>
      <c r="CC244" s="107"/>
      <c r="CD244" s="107"/>
      <c r="CE244" s="102"/>
      <c r="CF244" s="102"/>
      <c r="CG244" s="102"/>
      <c r="CH244" s="102"/>
      <c r="CI244" s="102"/>
      <c r="CJ244" s="102"/>
      <c r="CK244" s="102"/>
      <c r="CL244" s="102"/>
      <c r="CM244" s="102"/>
      <c r="CN244" s="102"/>
      <c r="CO244" s="102"/>
      <c r="CP244" s="102"/>
      <c r="CQ244" s="102"/>
      <c r="CR244" s="102"/>
      <c r="CS244" s="102"/>
      <c r="CT244" s="102"/>
      <c r="CU244" s="102"/>
      <c r="CV244" s="102"/>
      <c r="CW244" s="102"/>
      <c r="CX244" s="102"/>
      <c r="CY244" s="102"/>
      <c r="CZ244" s="102"/>
      <c r="DA244" s="102"/>
      <c r="DB244" s="102"/>
      <c r="DC244" s="102"/>
      <c r="DD244" s="102"/>
      <c r="DE244" s="102"/>
      <c r="DF244" s="102"/>
      <c r="DG244" s="102"/>
      <c r="DH244" s="102"/>
      <c r="DI244" s="102"/>
      <c r="DJ244" s="102"/>
      <c r="DK244" s="102"/>
      <c r="DL244" s="102"/>
      <c r="DM244" s="102"/>
      <c r="DN244" s="102"/>
      <c r="DO244" s="102"/>
      <c r="DP244" s="102"/>
    </row>
    <row r="245" spans="1:120" x14ac:dyDescent="0.25">
      <c r="A245" s="4"/>
      <c r="D245"/>
      <c r="E245"/>
      <c r="F245"/>
      <c r="J245" s="68" t="str">
        <f t="shared" si="84"/>
        <v/>
      </c>
      <c r="K245" s="68" t="str">
        <f t="shared" si="85"/>
        <v/>
      </c>
      <c r="L245" s="69" t="str">
        <f t="shared" si="86"/>
        <v/>
      </c>
      <c r="M245" s="69" t="str">
        <f t="shared" si="87"/>
        <v/>
      </c>
      <c r="N245" s="69" t="str">
        <f>IF(A245="","",Tabela1[[#This Row],[PTC]]*Tabela1[[#This Row],[ODDC]])</f>
        <v/>
      </c>
      <c r="O245" s="69" t="str">
        <f>IF(A245="","",Tabela1[[#This Row],[PTV]]*Tabela1[[#This Row],[ODDV]])</f>
        <v/>
      </c>
      <c r="P245" s="68" t="str">
        <f t="shared" si="88"/>
        <v/>
      </c>
      <c r="Q245" s="68" t="str">
        <f t="shared" si="89"/>
        <v/>
      </c>
      <c r="R245" s="68" t="str">
        <f t="shared" si="90"/>
        <v/>
      </c>
      <c r="S245" s="68" t="str">
        <f t="shared" si="91"/>
        <v/>
      </c>
      <c r="T245" s="68" t="str">
        <f>IF(A245="","",IF(F245="D",Tabela1[[#This Row],[ODDE]]-1,-1))</f>
        <v/>
      </c>
      <c r="U245" s="70" t="str">
        <f>IF(A245="","",IF(AND(Tabela1[[#This Row],[FTHG]]&gt;3,F245="H"),1,0))</f>
        <v/>
      </c>
      <c r="V245" s="70" t="str">
        <f>IF(A245="","",IF(AND(Tabela1[[#This Row],[FTAG]]&gt;3,F245="A"),1,0))</f>
        <v/>
      </c>
      <c r="W245" s="70" t="str">
        <f t="shared" si="92"/>
        <v/>
      </c>
      <c r="X245" s="70" t="str">
        <f t="shared" si="93"/>
        <v/>
      </c>
      <c r="Y245" s="71" t="str">
        <f t="shared" si="94"/>
        <v/>
      </c>
      <c r="Z245" s="70" t="str">
        <f t="shared" si="95"/>
        <v/>
      </c>
      <c r="AA245" s="70" t="str">
        <f t="shared" si="96"/>
        <v/>
      </c>
      <c r="AB245" s="70" t="str">
        <f t="shared" si="97"/>
        <v/>
      </c>
      <c r="AC245" s="71" t="str">
        <f t="shared" si="98"/>
        <v/>
      </c>
      <c r="AD245" s="72" t="str">
        <f t="shared" si="99"/>
        <v/>
      </c>
      <c r="AE245" s="73" t="str">
        <f>IF(A245="","",COUNT($N$2:N245))</f>
        <v/>
      </c>
      <c r="AF245" s="74" t="str">
        <f t="shared" si="100"/>
        <v/>
      </c>
      <c r="AG245" s="74" t="str">
        <f t="shared" si="101"/>
        <v/>
      </c>
      <c r="AH245" s="74" t="str">
        <f t="shared" si="102"/>
        <v/>
      </c>
      <c r="AI245" s="74" t="str">
        <f t="shared" si="103"/>
        <v/>
      </c>
      <c r="AJ245" s="74" t="str">
        <f t="shared" si="104"/>
        <v/>
      </c>
      <c r="AK245" s="74" t="str">
        <f>IF(A245="","",1/Tabela1[[#This Row],[ODDC]])</f>
        <v/>
      </c>
      <c r="AL245" s="74" t="str">
        <f>IF(A245="","",1/Tabela1[[#This Row],[ODDE]])</f>
        <v/>
      </c>
      <c r="AM245" s="74" t="str">
        <f>IF(A245="","",1/Tabela1[[#This Row],[ODDV]])</f>
        <v/>
      </c>
      <c r="AN245" s="74" t="str">
        <f>IF(A245="","",1-(Tabela1[[#This Row],[p(H)]]+Tabela1[[#This Row],[p(D)]]+Tabela1[[#This Row],[p(A)]]))</f>
        <v/>
      </c>
      <c r="AO245" s="74" t="str">
        <f>IF(A245="","",IFERROR(Tabela1[[#This Row],[p(H)]]/Tabela1[[#This Row],[FTHG]],1))</f>
        <v/>
      </c>
      <c r="AP245" s="74" t="str">
        <f>IF(A245="","",IFERROR(Tabela1[[#This Row],[p(A)]]/Tabela1[[#This Row],[FTAG]],1))</f>
        <v/>
      </c>
      <c r="AQ245" s="107"/>
      <c r="AR245" s="107"/>
      <c r="AS245" s="107"/>
      <c r="AT245" s="107"/>
      <c r="AU245" s="107"/>
      <c r="AV245" s="107"/>
      <c r="AW245" s="107"/>
      <c r="AX245" s="107"/>
      <c r="AY245" s="107"/>
      <c r="AZ245" s="107"/>
      <c r="BA245" s="107"/>
      <c r="BB245" s="107"/>
      <c r="BC245" s="107"/>
      <c r="BD245" s="107"/>
      <c r="BE245" s="107"/>
      <c r="BF245" s="107"/>
      <c r="BG245" s="107"/>
      <c r="BH245" s="107"/>
      <c r="BI245" s="107"/>
      <c r="BJ245" s="107"/>
      <c r="BK245" s="107"/>
      <c r="BL245" s="107"/>
      <c r="BM245" s="107"/>
      <c r="BN245" s="107"/>
      <c r="BO245" s="107"/>
      <c r="BP245" s="107"/>
      <c r="BQ245" s="107"/>
      <c r="BR245" s="107"/>
      <c r="BS245" s="107"/>
      <c r="BT245" s="107"/>
      <c r="BU245" s="107"/>
      <c r="BV245" s="107"/>
      <c r="BW245" s="107"/>
      <c r="BX245" s="107"/>
      <c r="BY245" s="107"/>
      <c r="BZ245" s="107"/>
      <c r="CA245" s="107"/>
      <c r="CB245" s="107"/>
      <c r="CC245" s="107"/>
      <c r="CD245" s="107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2"/>
      <c r="CR245" s="102"/>
      <c r="CS245" s="102"/>
      <c r="CT245" s="102"/>
      <c r="CU245" s="102"/>
      <c r="CV245" s="102"/>
      <c r="CW245" s="102"/>
      <c r="CX245" s="102"/>
      <c r="CY245" s="102"/>
      <c r="CZ245" s="102"/>
      <c r="DA245" s="102"/>
      <c r="DB245" s="102"/>
      <c r="DC245" s="102"/>
      <c r="DD245" s="102"/>
      <c r="DE245" s="102"/>
      <c r="DF245" s="102"/>
      <c r="DG245" s="102"/>
      <c r="DH245" s="102"/>
      <c r="DI245" s="102"/>
      <c r="DJ245" s="102"/>
      <c r="DK245" s="102"/>
      <c r="DL245" s="102"/>
      <c r="DM245" s="102"/>
      <c r="DN245" s="102"/>
      <c r="DO245" s="102"/>
      <c r="DP245" s="102"/>
    </row>
    <row r="246" spans="1:120" x14ac:dyDescent="0.25">
      <c r="A246" s="4"/>
      <c r="D246"/>
      <c r="E246"/>
      <c r="F246"/>
      <c r="J246" s="68" t="str">
        <f t="shared" si="84"/>
        <v/>
      </c>
      <c r="K246" s="68" t="str">
        <f t="shared" si="85"/>
        <v/>
      </c>
      <c r="L246" s="69" t="str">
        <f t="shared" si="86"/>
        <v/>
      </c>
      <c r="M246" s="69" t="str">
        <f t="shared" si="87"/>
        <v/>
      </c>
      <c r="N246" s="69" t="str">
        <f>IF(A246="","",Tabela1[[#This Row],[PTC]]*Tabela1[[#This Row],[ODDC]])</f>
        <v/>
      </c>
      <c r="O246" s="69" t="str">
        <f>IF(A246="","",Tabela1[[#This Row],[PTV]]*Tabela1[[#This Row],[ODDV]])</f>
        <v/>
      </c>
      <c r="P246" s="68" t="str">
        <f t="shared" si="88"/>
        <v/>
      </c>
      <c r="Q246" s="68" t="str">
        <f t="shared" si="89"/>
        <v/>
      </c>
      <c r="R246" s="68" t="str">
        <f t="shared" si="90"/>
        <v/>
      </c>
      <c r="S246" s="68" t="str">
        <f t="shared" si="91"/>
        <v/>
      </c>
      <c r="T246" s="68" t="str">
        <f>IF(A246="","",IF(F246="D",Tabela1[[#This Row],[ODDE]]-1,-1))</f>
        <v/>
      </c>
      <c r="U246" s="70" t="str">
        <f>IF(A246="","",IF(AND(Tabela1[[#This Row],[FTHG]]&gt;3,F246="H"),1,0))</f>
        <v/>
      </c>
      <c r="V246" s="70" t="str">
        <f>IF(A246="","",IF(AND(Tabela1[[#This Row],[FTAG]]&gt;3,F246="A"),1,0))</f>
        <v/>
      </c>
      <c r="W246" s="70" t="str">
        <f t="shared" si="92"/>
        <v/>
      </c>
      <c r="X246" s="70" t="str">
        <f t="shared" si="93"/>
        <v/>
      </c>
      <c r="Y246" s="71" t="str">
        <f t="shared" si="94"/>
        <v/>
      </c>
      <c r="Z246" s="70" t="str">
        <f t="shared" si="95"/>
        <v/>
      </c>
      <c r="AA246" s="70" t="str">
        <f t="shared" si="96"/>
        <v/>
      </c>
      <c r="AB246" s="70" t="str">
        <f t="shared" si="97"/>
        <v/>
      </c>
      <c r="AC246" s="71" t="str">
        <f t="shared" si="98"/>
        <v/>
      </c>
      <c r="AD246" s="72" t="str">
        <f t="shared" si="99"/>
        <v/>
      </c>
      <c r="AE246" s="73" t="str">
        <f>IF(A246="","",COUNT($N$2:N246))</f>
        <v/>
      </c>
      <c r="AF246" s="74" t="str">
        <f t="shared" si="100"/>
        <v/>
      </c>
      <c r="AG246" s="74" t="str">
        <f t="shared" si="101"/>
        <v/>
      </c>
      <c r="AH246" s="74" t="str">
        <f t="shared" si="102"/>
        <v/>
      </c>
      <c r="AI246" s="74" t="str">
        <f t="shared" si="103"/>
        <v/>
      </c>
      <c r="AJ246" s="74" t="str">
        <f t="shared" si="104"/>
        <v/>
      </c>
      <c r="AK246" s="74" t="str">
        <f>IF(A246="","",1/Tabela1[[#This Row],[ODDC]])</f>
        <v/>
      </c>
      <c r="AL246" s="74" t="str">
        <f>IF(A246="","",1/Tabela1[[#This Row],[ODDE]])</f>
        <v/>
      </c>
      <c r="AM246" s="74" t="str">
        <f>IF(A246="","",1/Tabela1[[#This Row],[ODDV]])</f>
        <v/>
      </c>
      <c r="AN246" s="74" t="str">
        <f>IF(A246="","",1-(Tabela1[[#This Row],[p(H)]]+Tabela1[[#This Row],[p(D)]]+Tabela1[[#This Row],[p(A)]]))</f>
        <v/>
      </c>
      <c r="AO246" s="74" t="str">
        <f>IF(A246="","",IFERROR(Tabela1[[#This Row],[p(H)]]/Tabela1[[#This Row],[FTHG]],1))</f>
        <v/>
      </c>
      <c r="AP246" s="74" t="str">
        <f>IF(A246="","",IFERROR(Tabela1[[#This Row],[p(A)]]/Tabela1[[#This Row],[FTAG]],1))</f>
        <v/>
      </c>
      <c r="AQ246" s="107"/>
      <c r="AR246" s="107"/>
      <c r="AS246" s="107"/>
      <c r="AT246" s="107"/>
      <c r="AU246" s="107"/>
      <c r="AV246" s="107"/>
      <c r="AW246" s="107"/>
      <c r="AX246" s="107"/>
      <c r="AY246" s="107"/>
      <c r="AZ246" s="107"/>
      <c r="BA246" s="107"/>
      <c r="BB246" s="107"/>
      <c r="BC246" s="107"/>
      <c r="BD246" s="107"/>
      <c r="BE246" s="107"/>
      <c r="BF246" s="107"/>
      <c r="BG246" s="107"/>
      <c r="BH246" s="107"/>
      <c r="BI246" s="107"/>
      <c r="BJ246" s="107"/>
      <c r="BK246" s="107"/>
      <c r="BL246" s="107"/>
      <c r="BM246" s="107"/>
      <c r="BN246" s="107"/>
      <c r="BO246" s="107"/>
      <c r="BP246" s="107"/>
      <c r="BQ246" s="107"/>
      <c r="BR246" s="107"/>
      <c r="BS246" s="107"/>
      <c r="BT246" s="107"/>
      <c r="BU246" s="107"/>
      <c r="BV246" s="107"/>
      <c r="BW246" s="107"/>
      <c r="BX246" s="107"/>
      <c r="BY246" s="107"/>
      <c r="BZ246" s="107"/>
      <c r="CA246" s="107"/>
      <c r="CB246" s="107"/>
      <c r="CC246" s="107"/>
      <c r="CD246" s="107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2"/>
      <c r="CR246" s="102"/>
      <c r="CS246" s="102"/>
      <c r="CT246" s="102"/>
      <c r="CU246" s="102"/>
      <c r="CV246" s="102"/>
      <c r="CW246" s="102"/>
      <c r="CX246" s="102"/>
      <c r="CY246" s="102"/>
      <c r="CZ246" s="102"/>
      <c r="DA246" s="102"/>
      <c r="DB246" s="102"/>
      <c r="DC246" s="102"/>
      <c r="DD246" s="102"/>
      <c r="DE246" s="102"/>
      <c r="DF246" s="102"/>
      <c r="DG246" s="102"/>
      <c r="DH246" s="102"/>
      <c r="DI246" s="102"/>
      <c r="DJ246" s="102"/>
      <c r="DK246" s="102"/>
      <c r="DL246" s="102"/>
      <c r="DM246" s="102"/>
      <c r="DN246" s="102"/>
      <c r="DO246" s="102"/>
      <c r="DP246" s="102"/>
    </row>
    <row r="247" spans="1:120" x14ac:dyDescent="0.25">
      <c r="A247" s="4"/>
      <c r="D247"/>
      <c r="E247"/>
      <c r="F247"/>
      <c r="J247" s="68" t="str">
        <f t="shared" si="84"/>
        <v/>
      </c>
      <c r="K247" s="68" t="str">
        <f t="shared" si="85"/>
        <v/>
      </c>
      <c r="L247" s="69" t="str">
        <f t="shared" si="86"/>
        <v/>
      </c>
      <c r="M247" s="69" t="str">
        <f t="shared" si="87"/>
        <v/>
      </c>
      <c r="N247" s="69" t="str">
        <f>IF(A247="","",Tabela1[[#This Row],[PTC]]*Tabela1[[#This Row],[ODDC]])</f>
        <v/>
      </c>
      <c r="O247" s="69" t="str">
        <f>IF(A247="","",Tabela1[[#This Row],[PTV]]*Tabela1[[#This Row],[ODDV]])</f>
        <v/>
      </c>
      <c r="P247" s="68" t="str">
        <f t="shared" si="88"/>
        <v/>
      </c>
      <c r="Q247" s="68" t="str">
        <f t="shared" si="89"/>
        <v/>
      </c>
      <c r="R247" s="68" t="str">
        <f t="shared" si="90"/>
        <v/>
      </c>
      <c r="S247" s="68" t="str">
        <f t="shared" si="91"/>
        <v/>
      </c>
      <c r="T247" s="68" t="str">
        <f>IF(A247="","",IF(F247="D",Tabela1[[#This Row],[ODDE]]-1,-1))</f>
        <v/>
      </c>
      <c r="U247" s="70" t="str">
        <f>IF(A247="","",IF(AND(Tabela1[[#This Row],[FTHG]]&gt;3,F247="H"),1,0))</f>
        <v/>
      </c>
      <c r="V247" s="70" t="str">
        <f>IF(A247="","",IF(AND(Tabela1[[#This Row],[FTAG]]&gt;3,F247="A"),1,0))</f>
        <v/>
      </c>
      <c r="W247" s="70" t="str">
        <f t="shared" si="92"/>
        <v/>
      </c>
      <c r="X247" s="70" t="str">
        <f t="shared" si="93"/>
        <v/>
      </c>
      <c r="Y247" s="71" t="str">
        <f t="shared" si="94"/>
        <v/>
      </c>
      <c r="Z247" s="70" t="str">
        <f t="shared" si="95"/>
        <v/>
      </c>
      <c r="AA247" s="70" t="str">
        <f t="shared" si="96"/>
        <v/>
      </c>
      <c r="AB247" s="70" t="str">
        <f t="shared" si="97"/>
        <v/>
      </c>
      <c r="AC247" s="71" t="str">
        <f t="shared" si="98"/>
        <v/>
      </c>
      <c r="AD247" s="72" t="str">
        <f t="shared" si="99"/>
        <v/>
      </c>
      <c r="AE247" s="73" t="str">
        <f>IF(A247="","",COUNT($N$2:N247))</f>
        <v/>
      </c>
      <c r="AF247" s="74" t="str">
        <f t="shared" si="100"/>
        <v/>
      </c>
      <c r="AG247" s="74" t="str">
        <f t="shared" si="101"/>
        <v/>
      </c>
      <c r="AH247" s="74" t="str">
        <f t="shared" si="102"/>
        <v/>
      </c>
      <c r="AI247" s="74" t="str">
        <f t="shared" si="103"/>
        <v/>
      </c>
      <c r="AJ247" s="74" t="str">
        <f t="shared" si="104"/>
        <v/>
      </c>
      <c r="AK247" s="74" t="str">
        <f>IF(A247="","",1/Tabela1[[#This Row],[ODDC]])</f>
        <v/>
      </c>
      <c r="AL247" s="74" t="str">
        <f>IF(A247="","",1/Tabela1[[#This Row],[ODDE]])</f>
        <v/>
      </c>
      <c r="AM247" s="74" t="str">
        <f>IF(A247="","",1/Tabela1[[#This Row],[ODDV]])</f>
        <v/>
      </c>
      <c r="AN247" s="74" t="str">
        <f>IF(A247="","",1-(Tabela1[[#This Row],[p(H)]]+Tabela1[[#This Row],[p(D)]]+Tabela1[[#This Row],[p(A)]]))</f>
        <v/>
      </c>
      <c r="AO247" s="74" t="str">
        <f>IF(A247="","",IFERROR(Tabela1[[#This Row],[p(H)]]/Tabela1[[#This Row],[FTHG]],1))</f>
        <v/>
      </c>
      <c r="AP247" s="74" t="str">
        <f>IF(A247="","",IFERROR(Tabela1[[#This Row],[p(A)]]/Tabela1[[#This Row],[FTAG]],1))</f>
        <v/>
      </c>
      <c r="AQ247" s="107"/>
      <c r="AR247" s="107"/>
      <c r="AS247" s="107"/>
      <c r="AT247" s="107"/>
      <c r="AU247" s="107"/>
      <c r="AV247" s="107"/>
      <c r="AW247" s="107"/>
      <c r="AX247" s="107"/>
      <c r="AY247" s="107"/>
      <c r="AZ247" s="107"/>
      <c r="BA247" s="107"/>
      <c r="BB247" s="107"/>
      <c r="BC247" s="107"/>
      <c r="BD247" s="107"/>
      <c r="BE247" s="107"/>
      <c r="BF247" s="107"/>
      <c r="BG247" s="107"/>
      <c r="BH247" s="107"/>
      <c r="BI247" s="107"/>
      <c r="BJ247" s="107"/>
      <c r="BK247" s="107"/>
      <c r="BL247" s="107"/>
      <c r="BM247" s="107"/>
      <c r="BN247" s="107"/>
      <c r="BO247" s="107"/>
      <c r="BP247" s="107"/>
      <c r="BQ247" s="107"/>
      <c r="BR247" s="107"/>
      <c r="BS247" s="107"/>
      <c r="BT247" s="107"/>
      <c r="BU247" s="107"/>
      <c r="BV247" s="107"/>
      <c r="BW247" s="107"/>
      <c r="BX247" s="107"/>
      <c r="BY247" s="107"/>
      <c r="BZ247" s="107"/>
      <c r="CA247" s="107"/>
      <c r="CB247" s="107"/>
      <c r="CC247" s="107"/>
      <c r="CD247" s="107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2"/>
      <c r="CR247" s="102"/>
      <c r="CS247" s="102"/>
      <c r="CT247" s="102"/>
      <c r="CU247" s="102"/>
      <c r="CV247" s="102"/>
      <c r="CW247" s="102"/>
      <c r="CX247" s="102"/>
      <c r="CY247" s="102"/>
      <c r="CZ247" s="102"/>
      <c r="DA247" s="102"/>
      <c r="DB247" s="102"/>
      <c r="DC247" s="102"/>
      <c r="DD247" s="102"/>
      <c r="DE247" s="102"/>
      <c r="DF247" s="102"/>
      <c r="DG247" s="102"/>
      <c r="DH247" s="102"/>
      <c r="DI247" s="102"/>
      <c r="DJ247" s="102"/>
      <c r="DK247" s="102"/>
      <c r="DL247" s="102"/>
      <c r="DM247" s="102"/>
      <c r="DN247" s="102"/>
      <c r="DO247" s="102"/>
      <c r="DP247" s="102"/>
    </row>
    <row r="248" spans="1:120" x14ac:dyDescent="0.25">
      <c r="A248" s="4"/>
      <c r="D248"/>
      <c r="E248"/>
      <c r="F248"/>
      <c r="J248" s="68" t="str">
        <f t="shared" si="84"/>
        <v/>
      </c>
      <c r="K248" s="68" t="str">
        <f t="shared" si="85"/>
        <v/>
      </c>
      <c r="L248" s="69" t="str">
        <f t="shared" si="86"/>
        <v/>
      </c>
      <c r="M248" s="69" t="str">
        <f t="shared" si="87"/>
        <v/>
      </c>
      <c r="N248" s="69" t="str">
        <f>IF(A248="","",Tabela1[[#This Row],[PTC]]*Tabela1[[#This Row],[ODDC]])</f>
        <v/>
      </c>
      <c r="O248" s="69" t="str">
        <f>IF(A248="","",Tabela1[[#This Row],[PTV]]*Tabela1[[#This Row],[ODDV]])</f>
        <v/>
      </c>
      <c r="P248" s="68" t="str">
        <f t="shared" si="88"/>
        <v/>
      </c>
      <c r="Q248" s="68" t="str">
        <f t="shared" si="89"/>
        <v/>
      </c>
      <c r="R248" s="68" t="str">
        <f t="shared" si="90"/>
        <v/>
      </c>
      <c r="S248" s="68" t="str">
        <f t="shared" si="91"/>
        <v/>
      </c>
      <c r="T248" s="68" t="str">
        <f>IF(A248="","",IF(F248="D",Tabela1[[#This Row],[ODDE]]-1,-1))</f>
        <v/>
      </c>
      <c r="U248" s="70" t="str">
        <f>IF(A248="","",IF(AND(Tabela1[[#This Row],[FTHG]]&gt;3,F248="H"),1,0))</f>
        <v/>
      </c>
      <c r="V248" s="70" t="str">
        <f>IF(A248="","",IF(AND(Tabela1[[#This Row],[FTAG]]&gt;3,F248="A"),1,0))</f>
        <v/>
      </c>
      <c r="W248" s="70" t="str">
        <f t="shared" si="92"/>
        <v/>
      </c>
      <c r="X248" s="70" t="str">
        <f t="shared" si="93"/>
        <v/>
      </c>
      <c r="Y248" s="71" t="str">
        <f t="shared" si="94"/>
        <v/>
      </c>
      <c r="Z248" s="70" t="str">
        <f t="shared" si="95"/>
        <v/>
      </c>
      <c r="AA248" s="70" t="str">
        <f t="shared" si="96"/>
        <v/>
      </c>
      <c r="AB248" s="70" t="str">
        <f t="shared" si="97"/>
        <v/>
      </c>
      <c r="AC248" s="71" t="str">
        <f t="shared" si="98"/>
        <v/>
      </c>
      <c r="AD248" s="72" t="str">
        <f t="shared" si="99"/>
        <v/>
      </c>
      <c r="AE248" s="73" t="str">
        <f>IF(A248="","",COUNT($N$2:N248))</f>
        <v/>
      </c>
      <c r="AF248" s="74" t="str">
        <f t="shared" si="100"/>
        <v/>
      </c>
      <c r="AG248" s="74" t="str">
        <f t="shared" si="101"/>
        <v/>
      </c>
      <c r="AH248" s="74" t="str">
        <f t="shared" si="102"/>
        <v/>
      </c>
      <c r="AI248" s="74" t="str">
        <f t="shared" si="103"/>
        <v/>
      </c>
      <c r="AJ248" s="74" t="str">
        <f t="shared" si="104"/>
        <v/>
      </c>
      <c r="AK248" s="74" t="str">
        <f>IF(A248="","",1/Tabela1[[#This Row],[ODDC]])</f>
        <v/>
      </c>
      <c r="AL248" s="74" t="str">
        <f>IF(A248="","",1/Tabela1[[#This Row],[ODDE]])</f>
        <v/>
      </c>
      <c r="AM248" s="74" t="str">
        <f>IF(A248="","",1/Tabela1[[#This Row],[ODDV]])</f>
        <v/>
      </c>
      <c r="AN248" s="74" t="str">
        <f>IF(A248="","",1-(Tabela1[[#This Row],[p(H)]]+Tabela1[[#This Row],[p(D)]]+Tabela1[[#This Row],[p(A)]]))</f>
        <v/>
      </c>
      <c r="AO248" s="74" t="str">
        <f>IF(A248="","",IFERROR(Tabela1[[#This Row],[p(H)]]/Tabela1[[#This Row],[FTHG]],1))</f>
        <v/>
      </c>
      <c r="AP248" s="74" t="str">
        <f>IF(A248="","",IFERROR(Tabela1[[#This Row],[p(A)]]/Tabela1[[#This Row],[FTAG]],1))</f>
        <v/>
      </c>
      <c r="AQ248" s="107"/>
      <c r="AR248" s="107"/>
      <c r="AS248" s="107"/>
      <c r="AT248" s="107"/>
      <c r="AU248" s="107"/>
      <c r="AV248" s="107"/>
      <c r="AW248" s="107"/>
      <c r="AX248" s="107"/>
      <c r="AY248" s="107"/>
      <c r="AZ248" s="107"/>
      <c r="BA248" s="107"/>
      <c r="BB248" s="107"/>
      <c r="BC248" s="107"/>
      <c r="BD248" s="107"/>
      <c r="BE248" s="107"/>
      <c r="BF248" s="107"/>
      <c r="BG248" s="107"/>
      <c r="BH248" s="107"/>
      <c r="BI248" s="107"/>
      <c r="BJ248" s="107"/>
      <c r="BK248" s="107"/>
      <c r="BL248" s="107"/>
      <c r="BM248" s="107"/>
      <c r="BN248" s="107"/>
      <c r="BO248" s="107"/>
      <c r="BP248" s="107"/>
      <c r="BQ248" s="107"/>
      <c r="BR248" s="107"/>
      <c r="BS248" s="107"/>
      <c r="BT248" s="107"/>
      <c r="BU248" s="107"/>
      <c r="BV248" s="107"/>
      <c r="BW248" s="107"/>
      <c r="BX248" s="107"/>
      <c r="BY248" s="107"/>
      <c r="BZ248" s="107"/>
      <c r="CA248" s="107"/>
      <c r="CB248" s="107"/>
      <c r="CC248" s="107"/>
      <c r="CD248" s="107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2"/>
      <c r="CR248" s="102"/>
      <c r="CS248" s="102"/>
      <c r="CT248" s="102"/>
      <c r="CU248" s="102"/>
      <c r="CV248" s="102"/>
      <c r="CW248" s="102"/>
      <c r="CX248" s="102"/>
      <c r="CY248" s="102"/>
      <c r="CZ248" s="102"/>
      <c r="DA248" s="102"/>
      <c r="DB248" s="102"/>
      <c r="DC248" s="102"/>
      <c r="DD248" s="102"/>
      <c r="DE248" s="102"/>
      <c r="DF248" s="102"/>
      <c r="DG248" s="102"/>
      <c r="DH248" s="102"/>
      <c r="DI248" s="102"/>
      <c r="DJ248" s="102"/>
      <c r="DK248" s="102"/>
      <c r="DL248" s="102"/>
      <c r="DM248" s="102"/>
      <c r="DN248" s="102"/>
      <c r="DO248" s="102"/>
      <c r="DP248" s="102"/>
    </row>
    <row r="249" spans="1:120" x14ac:dyDescent="0.25">
      <c r="A249" s="4"/>
      <c r="D249"/>
      <c r="E249"/>
      <c r="F249"/>
      <c r="J249" s="68" t="str">
        <f t="shared" si="84"/>
        <v/>
      </c>
      <c r="K249" s="68" t="str">
        <f t="shared" si="85"/>
        <v/>
      </c>
      <c r="L249" s="69" t="str">
        <f t="shared" si="86"/>
        <v/>
      </c>
      <c r="M249" s="69" t="str">
        <f t="shared" si="87"/>
        <v/>
      </c>
      <c r="N249" s="69" t="str">
        <f>IF(A249="","",Tabela1[[#This Row],[PTC]]*Tabela1[[#This Row],[ODDC]])</f>
        <v/>
      </c>
      <c r="O249" s="69" t="str">
        <f>IF(A249="","",Tabela1[[#This Row],[PTV]]*Tabela1[[#This Row],[ODDV]])</f>
        <v/>
      </c>
      <c r="P249" s="68" t="str">
        <f t="shared" si="88"/>
        <v/>
      </c>
      <c r="Q249" s="68" t="str">
        <f t="shared" si="89"/>
        <v/>
      </c>
      <c r="R249" s="68" t="str">
        <f t="shared" si="90"/>
        <v/>
      </c>
      <c r="S249" s="68" t="str">
        <f t="shared" si="91"/>
        <v/>
      </c>
      <c r="T249" s="68" t="str">
        <f>IF(A249="","",IF(F249="D",Tabela1[[#This Row],[ODDE]]-1,-1))</f>
        <v/>
      </c>
      <c r="U249" s="70" t="str">
        <f>IF(A249="","",IF(AND(Tabela1[[#This Row],[FTHG]]&gt;3,F249="H"),1,0))</f>
        <v/>
      </c>
      <c r="V249" s="70" t="str">
        <f>IF(A249="","",IF(AND(Tabela1[[#This Row],[FTAG]]&gt;3,F249="A"),1,0))</f>
        <v/>
      </c>
      <c r="W249" s="70" t="str">
        <f t="shared" si="92"/>
        <v/>
      </c>
      <c r="X249" s="70" t="str">
        <f t="shared" si="93"/>
        <v/>
      </c>
      <c r="Y249" s="71" t="str">
        <f t="shared" si="94"/>
        <v/>
      </c>
      <c r="Z249" s="70" t="str">
        <f t="shared" si="95"/>
        <v/>
      </c>
      <c r="AA249" s="70" t="str">
        <f t="shared" si="96"/>
        <v/>
      </c>
      <c r="AB249" s="70" t="str">
        <f t="shared" si="97"/>
        <v/>
      </c>
      <c r="AC249" s="71" t="str">
        <f t="shared" si="98"/>
        <v/>
      </c>
      <c r="AD249" s="72" t="str">
        <f t="shared" si="99"/>
        <v/>
      </c>
      <c r="AE249" s="73" t="str">
        <f>IF(A249="","",COUNT($N$2:N249))</f>
        <v/>
      </c>
      <c r="AF249" s="74" t="str">
        <f t="shared" si="100"/>
        <v/>
      </c>
      <c r="AG249" s="74" t="str">
        <f t="shared" si="101"/>
        <v/>
      </c>
      <c r="AH249" s="74" t="str">
        <f t="shared" si="102"/>
        <v/>
      </c>
      <c r="AI249" s="74" t="str">
        <f t="shared" si="103"/>
        <v/>
      </c>
      <c r="AJ249" s="74" t="str">
        <f t="shared" si="104"/>
        <v/>
      </c>
      <c r="AK249" s="74" t="str">
        <f>IF(A249="","",1/Tabela1[[#This Row],[ODDC]])</f>
        <v/>
      </c>
      <c r="AL249" s="74" t="str">
        <f>IF(A249="","",1/Tabela1[[#This Row],[ODDE]])</f>
        <v/>
      </c>
      <c r="AM249" s="74" t="str">
        <f>IF(A249="","",1/Tabela1[[#This Row],[ODDV]])</f>
        <v/>
      </c>
      <c r="AN249" s="74" t="str">
        <f>IF(A249="","",1-(Tabela1[[#This Row],[p(H)]]+Tabela1[[#This Row],[p(D)]]+Tabela1[[#This Row],[p(A)]]))</f>
        <v/>
      </c>
      <c r="AO249" s="74" t="str">
        <f>IF(A249="","",IFERROR(Tabela1[[#This Row],[p(H)]]/Tabela1[[#This Row],[FTHG]],1))</f>
        <v/>
      </c>
      <c r="AP249" s="74" t="str">
        <f>IF(A249="","",IFERROR(Tabela1[[#This Row],[p(A)]]/Tabela1[[#This Row],[FTAG]],1))</f>
        <v/>
      </c>
      <c r="AQ249" s="107"/>
      <c r="AR249" s="107"/>
      <c r="AS249" s="107"/>
      <c r="AT249" s="107"/>
      <c r="AU249" s="107"/>
      <c r="AV249" s="107"/>
      <c r="AW249" s="107"/>
      <c r="AX249" s="107"/>
      <c r="AY249" s="107"/>
      <c r="AZ249" s="107"/>
      <c r="BA249" s="107"/>
      <c r="BB249" s="107"/>
      <c r="BC249" s="107"/>
      <c r="BD249" s="107"/>
      <c r="BE249" s="107"/>
      <c r="BF249" s="107"/>
      <c r="BG249" s="107"/>
      <c r="BH249" s="107"/>
      <c r="BI249" s="107"/>
      <c r="BJ249" s="107"/>
      <c r="BK249" s="107"/>
      <c r="BL249" s="107"/>
      <c r="BM249" s="107"/>
      <c r="BN249" s="107"/>
      <c r="BO249" s="107"/>
      <c r="BP249" s="107"/>
      <c r="BQ249" s="107"/>
      <c r="BR249" s="107"/>
      <c r="BS249" s="107"/>
      <c r="BT249" s="107"/>
      <c r="BU249" s="107"/>
      <c r="BV249" s="107"/>
      <c r="BW249" s="107"/>
      <c r="BX249" s="107"/>
      <c r="BY249" s="107"/>
      <c r="BZ249" s="107"/>
      <c r="CA249" s="107"/>
      <c r="CB249" s="107"/>
      <c r="CC249" s="107"/>
      <c r="CD249" s="107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  <c r="DH249" s="102"/>
      <c r="DI249" s="102"/>
      <c r="DJ249" s="102"/>
      <c r="DK249" s="102"/>
      <c r="DL249" s="102"/>
      <c r="DM249" s="102"/>
      <c r="DN249" s="102"/>
      <c r="DO249" s="102"/>
      <c r="DP249" s="102"/>
    </row>
    <row r="250" spans="1:120" x14ac:dyDescent="0.25">
      <c r="A250" s="4"/>
      <c r="D250"/>
      <c r="E250"/>
      <c r="F250"/>
      <c r="J250" s="68" t="str">
        <f t="shared" si="84"/>
        <v/>
      </c>
      <c r="K250" s="68" t="str">
        <f t="shared" si="85"/>
        <v/>
      </c>
      <c r="L250" s="69" t="str">
        <f t="shared" si="86"/>
        <v/>
      </c>
      <c r="M250" s="69" t="str">
        <f t="shared" si="87"/>
        <v/>
      </c>
      <c r="N250" s="69" t="str">
        <f>IF(A250="","",Tabela1[[#This Row],[PTC]]*Tabela1[[#This Row],[ODDC]])</f>
        <v/>
      </c>
      <c r="O250" s="69" t="str">
        <f>IF(A250="","",Tabela1[[#This Row],[PTV]]*Tabela1[[#This Row],[ODDV]])</f>
        <v/>
      </c>
      <c r="P250" s="68" t="str">
        <f t="shared" si="88"/>
        <v/>
      </c>
      <c r="Q250" s="68" t="str">
        <f t="shared" si="89"/>
        <v/>
      </c>
      <c r="R250" s="68" t="str">
        <f t="shared" si="90"/>
        <v/>
      </c>
      <c r="S250" s="68" t="str">
        <f t="shared" si="91"/>
        <v/>
      </c>
      <c r="T250" s="68" t="str">
        <f>IF(A250="","",IF(F250="D",Tabela1[[#This Row],[ODDE]]-1,-1))</f>
        <v/>
      </c>
      <c r="U250" s="70" t="str">
        <f>IF(A250="","",IF(AND(Tabela1[[#This Row],[FTHG]]&gt;3,F250="H"),1,0))</f>
        <v/>
      </c>
      <c r="V250" s="70" t="str">
        <f>IF(A250="","",IF(AND(Tabela1[[#This Row],[FTAG]]&gt;3,F250="A"),1,0))</f>
        <v/>
      </c>
      <c r="W250" s="70" t="str">
        <f t="shared" si="92"/>
        <v/>
      </c>
      <c r="X250" s="70" t="str">
        <f t="shared" si="93"/>
        <v/>
      </c>
      <c r="Y250" s="71" t="str">
        <f t="shared" si="94"/>
        <v/>
      </c>
      <c r="Z250" s="70" t="str">
        <f t="shared" si="95"/>
        <v/>
      </c>
      <c r="AA250" s="70" t="str">
        <f t="shared" si="96"/>
        <v/>
      </c>
      <c r="AB250" s="70" t="str">
        <f t="shared" si="97"/>
        <v/>
      </c>
      <c r="AC250" s="71" t="str">
        <f t="shared" si="98"/>
        <v/>
      </c>
      <c r="AD250" s="72" t="str">
        <f t="shared" si="99"/>
        <v/>
      </c>
      <c r="AE250" s="73" t="str">
        <f>IF(A250="","",COUNT($N$2:N250))</f>
        <v/>
      </c>
      <c r="AF250" s="74" t="str">
        <f t="shared" si="100"/>
        <v/>
      </c>
      <c r="AG250" s="74" t="str">
        <f t="shared" si="101"/>
        <v/>
      </c>
      <c r="AH250" s="74" t="str">
        <f t="shared" si="102"/>
        <v/>
      </c>
      <c r="AI250" s="74" t="str">
        <f t="shared" si="103"/>
        <v/>
      </c>
      <c r="AJ250" s="74" t="str">
        <f t="shared" si="104"/>
        <v/>
      </c>
      <c r="AK250" s="74" t="str">
        <f>IF(A250="","",1/Tabela1[[#This Row],[ODDC]])</f>
        <v/>
      </c>
      <c r="AL250" s="74" t="str">
        <f>IF(A250="","",1/Tabela1[[#This Row],[ODDE]])</f>
        <v/>
      </c>
      <c r="AM250" s="74" t="str">
        <f>IF(A250="","",1/Tabela1[[#This Row],[ODDV]])</f>
        <v/>
      </c>
      <c r="AN250" s="74" t="str">
        <f>IF(A250="","",1-(Tabela1[[#This Row],[p(H)]]+Tabela1[[#This Row],[p(D)]]+Tabela1[[#This Row],[p(A)]]))</f>
        <v/>
      </c>
      <c r="AO250" s="74" t="str">
        <f>IF(A250="","",IFERROR(Tabela1[[#This Row],[p(H)]]/Tabela1[[#This Row],[FTHG]],1))</f>
        <v/>
      </c>
      <c r="AP250" s="74" t="str">
        <f>IF(A250="","",IFERROR(Tabela1[[#This Row],[p(A)]]/Tabela1[[#This Row],[FTAG]],1))</f>
        <v/>
      </c>
      <c r="AQ250" s="107"/>
      <c r="AR250" s="107"/>
      <c r="AS250" s="107"/>
      <c r="AT250" s="107"/>
      <c r="AU250" s="107"/>
      <c r="AV250" s="107"/>
      <c r="AW250" s="107"/>
      <c r="AX250" s="107"/>
      <c r="AY250" s="107"/>
      <c r="AZ250" s="107"/>
      <c r="BA250" s="107"/>
      <c r="BB250" s="107"/>
      <c r="BC250" s="107"/>
      <c r="BD250" s="107"/>
      <c r="BE250" s="107"/>
      <c r="BF250" s="107"/>
      <c r="BG250" s="107"/>
      <c r="BH250" s="107"/>
      <c r="BI250" s="107"/>
      <c r="BJ250" s="107"/>
      <c r="BK250" s="107"/>
      <c r="BL250" s="107"/>
      <c r="BM250" s="107"/>
      <c r="BN250" s="107"/>
      <c r="BO250" s="107"/>
      <c r="BP250" s="107"/>
      <c r="BQ250" s="107"/>
      <c r="BR250" s="107"/>
      <c r="BS250" s="107"/>
      <c r="BT250" s="107"/>
      <c r="BU250" s="107"/>
      <c r="BV250" s="107"/>
      <c r="BW250" s="107"/>
      <c r="BX250" s="107"/>
      <c r="BY250" s="107"/>
      <c r="BZ250" s="107"/>
      <c r="CA250" s="107"/>
      <c r="CB250" s="107"/>
      <c r="CC250" s="107"/>
      <c r="CD250" s="107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  <c r="DH250" s="102"/>
      <c r="DI250" s="102"/>
      <c r="DJ250" s="102"/>
      <c r="DK250" s="102"/>
      <c r="DL250" s="102"/>
      <c r="DM250" s="102"/>
      <c r="DN250" s="102"/>
      <c r="DO250" s="102"/>
      <c r="DP250" s="102"/>
    </row>
    <row r="251" spans="1:120" x14ac:dyDescent="0.25">
      <c r="A251" s="4"/>
      <c r="D251"/>
      <c r="E251"/>
      <c r="F251"/>
      <c r="J251" s="68" t="str">
        <f t="shared" si="84"/>
        <v/>
      </c>
      <c r="K251" s="68" t="str">
        <f t="shared" si="85"/>
        <v/>
      </c>
      <c r="L251" s="69" t="str">
        <f t="shared" si="86"/>
        <v/>
      </c>
      <c r="M251" s="69" t="str">
        <f t="shared" si="87"/>
        <v/>
      </c>
      <c r="N251" s="69" t="str">
        <f>IF(A251="","",Tabela1[[#This Row],[PTC]]*Tabela1[[#This Row],[ODDC]])</f>
        <v/>
      </c>
      <c r="O251" s="69" t="str">
        <f>IF(A251="","",Tabela1[[#This Row],[PTV]]*Tabela1[[#This Row],[ODDV]])</f>
        <v/>
      </c>
      <c r="P251" s="68" t="str">
        <f t="shared" si="88"/>
        <v/>
      </c>
      <c r="Q251" s="68" t="str">
        <f t="shared" si="89"/>
        <v/>
      </c>
      <c r="R251" s="68" t="str">
        <f t="shared" si="90"/>
        <v/>
      </c>
      <c r="S251" s="68" t="str">
        <f t="shared" si="91"/>
        <v/>
      </c>
      <c r="T251" s="68" t="str">
        <f>IF(A251="","",IF(F251="D",Tabela1[[#This Row],[ODDE]]-1,-1))</f>
        <v/>
      </c>
      <c r="U251" s="70" t="str">
        <f>IF(A251="","",IF(AND(Tabela1[[#This Row],[FTHG]]&gt;3,F251="H"),1,0))</f>
        <v/>
      </c>
      <c r="V251" s="70" t="str">
        <f>IF(A251="","",IF(AND(Tabela1[[#This Row],[FTAG]]&gt;3,F251="A"),1,0))</f>
        <v/>
      </c>
      <c r="W251" s="70" t="str">
        <f t="shared" si="92"/>
        <v/>
      </c>
      <c r="X251" s="70" t="str">
        <f t="shared" si="93"/>
        <v/>
      </c>
      <c r="Y251" s="71" t="str">
        <f t="shared" si="94"/>
        <v/>
      </c>
      <c r="Z251" s="70" t="str">
        <f t="shared" si="95"/>
        <v/>
      </c>
      <c r="AA251" s="70" t="str">
        <f t="shared" si="96"/>
        <v/>
      </c>
      <c r="AB251" s="70" t="str">
        <f t="shared" si="97"/>
        <v/>
      </c>
      <c r="AC251" s="71" t="str">
        <f t="shared" si="98"/>
        <v/>
      </c>
      <c r="AD251" s="72" t="str">
        <f t="shared" si="99"/>
        <v/>
      </c>
      <c r="AE251" s="73" t="str">
        <f>IF(A251="","",COUNT($N$2:N251))</f>
        <v/>
      </c>
      <c r="AF251" s="74" t="str">
        <f t="shared" si="100"/>
        <v/>
      </c>
      <c r="AG251" s="74" t="str">
        <f t="shared" si="101"/>
        <v/>
      </c>
      <c r="AH251" s="74" t="str">
        <f t="shared" si="102"/>
        <v/>
      </c>
      <c r="AI251" s="74" t="str">
        <f t="shared" si="103"/>
        <v/>
      </c>
      <c r="AJ251" s="74" t="str">
        <f t="shared" si="104"/>
        <v/>
      </c>
      <c r="AK251" s="74" t="str">
        <f>IF(A251="","",1/Tabela1[[#This Row],[ODDC]])</f>
        <v/>
      </c>
      <c r="AL251" s="74" t="str">
        <f>IF(A251="","",1/Tabela1[[#This Row],[ODDE]])</f>
        <v/>
      </c>
      <c r="AM251" s="74" t="str">
        <f>IF(A251="","",1/Tabela1[[#This Row],[ODDV]])</f>
        <v/>
      </c>
      <c r="AN251" s="74" t="str">
        <f>IF(A251="","",1-(Tabela1[[#This Row],[p(H)]]+Tabela1[[#This Row],[p(D)]]+Tabela1[[#This Row],[p(A)]]))</f>
        <v/>
      </c>
      <c r="AO251" s="74" t="str">
        <f>IF(A251="","",IFERROR(Tabela1[[#This Row],[p(H)]]/Tabela1[[#This Row],[FTHG]],1))</f>
        <v/>
      </c>
      <c r="AP251" s="74" t="str">
        <f>IF(A251="","",IFERROR(Tabela1[[#This Row],[p(A)]]/Tabela1[[#This Row],[FTAG]],1))</f>
        <v/>
      </c>
      <c r="AQ251" s="107"/>
      <c r="AR251" s="107"/>
      <c r="AS251" s="107"/>
      <c r="AT251" s="107"/>
      <c r="AU251" s="107"/>
      <c r="AV251" s="107"/>
      <c r="AW251" s="107"/>
      <c r="AX251" s="107"/>
      <c r="AY251" s="107"/>
      <c r="AZ251" s="107"/>
      <c r="BA251" s="107"/>
      <c r="BB251" s="107"/>
      <c r="BC251" s="107"/>
      <c r="BD251" s="107"/>
      <c r="BE251" s="107"/>
      <c r="BF251" s="107"/>
      <c r="BG251" s="107"/>
      <c r="BH251" s="107"/>
      <c r="BI251" s="107"/>
      <c r="BJ251" s="107"/>
      <c r="BK251" s="107"/>
      <c r="BL251" s="107"/>
      <c r="BM251" s="107"/>
      <c r="BN251" s="107"/>
      <c r="BO251" s="107"/>
      <c r="BP251" s="107"/>
      <c r="BQ251" s="107"/>
      <c r="BR251" s="107"/>
      <c r="BS251" s="107"/>
      <c r="BT251" s="107"/>
      <c r="BU251" s="107"/>
      <c r="BV251" s="107"/>
      <c r="BW251" s="107"/>
      <c r="BX251" s="107"/>
      <c r="BY251" s="107"/>
      <c r="BZ251" s="107"/>
      <c r="CA251" s="107"/>
      <c r="CB251" s="107"/>
      <c r="CC251" s="107"/>
      <c r="CD251" s="107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  <c r="DH251" s="102"/>
      <c r="DI251" s="102"/>
      <c r="DJ251" s="102"/>
      <c r="DK251" s="102"/>
      <c r="DL251" s="102"/>
      <c r="DM251" s="102"/>
      <c r="DN251" s="102"/>
      <c r="DO251" s="102"/>
      <c r="DP251" s="102"/>
    </row>
    <row r="252" spans="1:120" x14ac:dyDescent="0.25">
      <c r="A252" s="4"/>
      <c r="D252"/>
      <c r="E252"/>
      <c r="F252"/>
      <c r="J252" s="68" t="str">
        <f t="shared" si="84"/>
        <v/>
      </c>
      <c r="K252" s="68" t="str">
        <f t="shared" si="85"/>
        <v/>
      </c>
      <c r="L252" s="69" t="str">
        <f t="shared" si="86"/>
        <v/>
      </c>
      <c r="M252" s="69" t="str">
        <f t="shared" si="87"/>
        <v/>
      </c>
      <c r="N252" s="69" t="str">
        <f>IF(A252="","",Tabela1[[#This Row],[PTC]]*Tabela1[[#This Row],[ODDC]])</f>
        <v/>
      </c>
      <c r="O252" s="69" t="str">
        <f>IF(A252="","",Tabela1[[#This Row],[PTV]]*Tabela1[[#This Row],[ODDV]])</f>
        <v/>
      </c>
      <c r="P252" s="68" t="str">
        <f t="shared" si="88"/>
        <v/>
      </c>
      <c r="Q252" s="68" t="str">
        <f t="shared" si="89"/>
        <v/>
      </c>
      <c r="R252" s="68" t="str">
        <f t="shared" si="90"/>
        <v/>
      </c>
      <c r="S252" s="68" t="str">
        <f t="shared" si="91"/>
        <v/>
      </c>
      <c r="T252" s="68" t="str">
        <f>IF(A252="","",IF(F252="D",Tabela1[[#This Row],[ODDE]]-1,-1))</f>
        <v/>
      </c>
      <c r="U252" s="70" t="str">
        <f>IF(A252="","",IF(AND(Tabela1[[#This Row],[FTHG]]&gt;3,F252="H"),1,0))</f>
        <v/>
      </c>
      <c r="V252" s="70" t="str">
        <f>IF(A252="","",IF(AND(Tabela1[[#This Row],[FTAG]]&gt;3,F252="A"),1,0))</f>
        <v/>
      </c>
      <c r="W252" s="70" t="str">
        <f t="shared" si="92"/>
        <v/>
      </c>
      <c r="X252" s="70" t="str">
        <f t="shared" si="93"/>
        <v/>
      </c>
      <c r="Y252" s="71" t="str">
        <f t="shared" si="94"/>
        <v/>
      </c>
      <c r="Z252" s="70" t="str">
        <f t="shared" si="95"/>
        <v/>
      </c>
      <c r="AA252" s="70" t="str">
        <f t="shared" si="96"/>
        <v/>
      </c>
      <c r="AB252" s="70" t="str">
        <f t="shared" si="97"/>
        <v/>
      </c>
      <c r="AC252" s="71" t="str">
        <f t="shared" si="98"/>
        <v/>
      </c>
      <c r="AD252" s="72" t="str">
        <f t="shared" si="99"/>
        <v/>
      </c>
      <c r="AE252" s="73" t="str">
        <f>IF(A252="","",COUNT($N$2:N252))</f>
        <v/>
      </c>
      <c r="AF252" s="74" t="str">
        <f t="shared" si="100"/>
        <v/>
      </c>
      <c r="AG252" s="74" t="str">
        <f t="shared" si="101"/>
        <v/>
      </c>
      <c r="AH252" s="74" t="str">
        <f t="shared" si="102"/>
        <v/>
      </c>
      <c r="AI252" s="74" t="str">
        <f t="shared" si="103"/>
        <v/>
      </c>
      <c r="AJ252" s="74" t="str">
        <f t="shared" si="104"/>
        <v/>
      </c>
      <c r="AK252" s="74" t="str">
        <f>IF(A252="","",1/Tabela1[[#This Row],[ODDC]])</f>
        <v/>
      </c>
      <c r="AL252" s="74" t="str">
        <f>IF(A252="","",1/Tabela1[[#This Row],[ODDE]])</f>
        <v/>
      </c>
      <c r="AM252" s="74" t="str">
        <f>IF(A252="","",1/Tabela1[[#This Row],[ODDV]])</f>
        <v/>
      </c>
      <c r="AN252" s="74" t="str">
        <f>IF(A252="","",1-(Tabela1[[#This Row],[p(H)]]+Tabela1[[#This Row],[p(D)]]+Tabela1[[#This Row],[p(A)]]))</f>
        <v/>
      </c>
      <c r="AO252" s="74" t="str">
        <f>IF(A252="","",IFERROR(Tabela1[[#This Row],[p(H)]]/Tabela1[[#This Row],[FTHG]],1))</f>
        <v/>
      </c>
      <c r="AP252" s="74" t="str">
        <f>IF(A252="","",IFERROR(Tabela1[[#This Row],[p(A)]]/Tabela1[[#This Row],[FTAG]],1))</f>
        <v/>
      </c>
      <c r="AQ252" s="107"/>
      <c r="AR252" s="107"/>
      <c r="AS252" s="107"/>
      <c r="AT252" s="107"/>
      <c r="AU252" s="107"/>
      <c r="AV252" s="107"/>
      <c r="AW252" s="107"/>
      <c r="AX252" s="107"/>
      <c r="AY252" s="107"/>
      <c r="AZ252" s="107"/>
      <c r="BA252" s="107"/>
      <c r="BB252" s="107"/>
      <c r="BC252" s="107"/>
      <c r="BD252" s="107"/>
      <c r="BE252" s="107"/>
      <c r="BF252" s="107"/>
      <c r="BG252" s="107"/>
      <c r="BH252" s="107"/>
      <c r="BI252" s="107"/>
      <c r="BJ252" s="107"/>
      <c r="BK252" s="107"/>
      <c r="BL252" s="107"/>
      <c r="BM252" s="107"/>
      <c r="BN252" s="107"/>
      <c r="BO252" s="107"/>
      <c r="BP252" s="107"/>
      <c r="BQ252" s="107"/>
      <c r="BR252" s="107"/>
      <c r="BS252" s="107"/>
      <c r="BT252" s="107"/>
      <c r="BU252" s="107"/>
      <c r="BV252" s="107"/>
      <c r="BW252" s="107"/>
      <c r="BX252" s="107"/>
      <c r="BY252" s="107"/>
      <c r="BZ252" s="107"/>
      <c r="CA252" s="107"/>
      <c r="CB252" s="107"/>
      <c r="CC252" s="107"/>
      <c r="CD252" s="107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  <c r="DH252" s="102"/>
      <c r="DI252" s="102"/>
      <c r="DJ252" s="102"/>
      <c r="DK252" s="102"/>
      <c r="DL252" s="102"/>
      <c r="DM252" s="102"/>
      <c r="DN252" s="102"/>
      <c r="DO252" s="102"/>
      <c r="DP252" s="102"/>
    </row>
    <row r="253" spans="1:120" x14ac:dyDescent="0.25">
      <c r="A253" s="4"/>
      <c r="D253"/>
      <c r="E253"/>
      <c r="F253"/>
      <c r="J253" s="68" t="str">
        <f t="shared" si="84"/>
        <v/>
      </c>
      <c r="K253" s="68" t="str">
        <f t="shared" si="85"/>
        <v/>
      </c>
      <c r="L253" s="69" t="str">
        <f t="shared" si="86"/>
        <v/>
      </c>
      <c r="M253" s="69" t="str">
        <f t="shared" si="87"/>
        <v/>
      </c>
      <c r="N253" s="69" t="str">
        <f>IF(A253="","",Tabela1[[#This Row],[PTC]]*Tabela1[[#This Row],[ODDC]])</f>
        <v/>
      </c>
      <c r="O253" s="69" t="str">
        <f>IF(A253="","",Tabela1[[#This Row],[PTV]]*Tabela1[[#This Row],[ODDV]])</f>
        <v/>
      </c>
      <c r="P253" s="68" t="str">
        <f t="shared" si="88"/>
        <v/>
      </c>
      <c r="Q253" s="68" t="str">
        <f t="shared" si="89"/>
        <v/>
      </c>
      <c r="R253" s="68" t="str">
        <f t="shared" si="90"/>
        <v/>
      </c>
      <c r="S253" s="68" t="str">
        <f t="shared" si="91"/>
        <v/>
      </c>
      <c r="T253" s="68" t="str">
        <f>IF(A253="","",IF(F253="D",Tabela1[[#This Row],[ODDE]]-1,-1))</f>
        <v/>
      </c>
      <c r="U253" s="70" t="str">
        <f>IF(A253="","",IF(AND(Tabela1[[#This Row],[FTHG]]&gt;3,F253="H"),1,0))</f>
        <v/>
      </c>
      <c r="V253" s="70" t="str">
        <f>IF(A253="","",IF(AND(Tabela1[[#This Row],[FTAG]]&gt;3,F253="A"),1,0))</f>
        <v/>
      </c>
      <c r="W253" s="70" t="str">
        <f t="shared" si="92"/>
        <v/>
      </c>
      <c r="X253" s="70" t="str">
        <f t="shared" si="93"/>
        <v/>
      </c>
      <c r="Y253" s="71" t="str">
        <f t="shared" si="94"/>
        <v/>
      </c>
      <c r="Z253" s="70" t="str">
        <f t="shared" si="95"/>
        <v/>
      </c>
      <c r="AA253" s="70" t="str">
        <f t="shared" si="96"/>
        <v/>
      </c>
      <c r="AB253" s="70" t="str">
        <f t="shared" si="97"/>
        <v/>
      </c>
      <c r="AC253" s="71" t="str">
        <f t="shared" si="98"/>
        <v/>
      </c>
      <c r="AD253" s="72" t="str">
        <f t="shared" si="99"/>
        <v/>
      </c>
      <c r="AE253" s="73" t="str">
        <f>IF(A253="","",COUNT($N$2:N253))</f>
        <v/>
      </c>
      <c r="AF253" s="74" t="str">
        <f t="shared" si="100"/>
        <v/>
      </c>
      <c r="AG253" s="74" t="str">
        <f t="shared" si="101"/>
        <v/>
      </c>
      <c r="AH253" s="74" t="str">
        <f t="shared" si="102"/>
        <v/>
      </c>
      <c r="AI253" s="74" t="str">
        <f t="shared" si="103"/>
        <v/>
      </c>
      <c r="AJ253" s="74" t="str">
        <f t="shared" si="104"/>
        <v/>
      </c>
      <c r="AK253" s="74" t="str">
        <f>IF(A253="","",1/Tabela1[[#This Row],[ODDC]])</f>
        <v/>
      </c>
      <c r="AL253" s="74" t="str">
        <f>IF(A253="","",1/Tabela1[[#This Row],[ODDE]])</f>
        <v/>
      </c>
      <c r="AM253" s="74" t="str">
        <f>IF(A253="","",1/Tabela1[[#This Row],[ODDV]])</f>
        <v/>
      </c>
      <c r="AN253" s="74" t="str">
        <f>IF(A253="","",1-(Tabela1[[#This Row],[p(H)]]+Tabela1[[#This Row],[p(D)]]+Tabela1[[#This Row],[p(A)]]))</f>
        <v/>
      </c>
      <c r="AO253" s="74" t="str">
        <f>IF(A253="","",IFERROR(Tabela1[[#This Row],[p(H)]]/Tabela1[[#This Row],[FTHG]],1))</f>
        <v/>
      </c>
      <c r="AP253" s="74" t="str">
        <f>IF(A253="","",IFERROR(Tabela1[[#This Row],[p(A)]]/Tabela1[[#This Row],[FTAG]],1))</f>
        <v/>
      </c>
      <c r="AQ253" s="107"/>
      <c r="AR253" s="107"/>
      <c r="AS253" s="107"/>
      <c r="AT253" s="107"/>
      <c r="AU253" s="107"/>
      <c r="AV253" s="107"/>
      <c r="AW253" s="107"/>
      <c r="AX253" s="107"/>
      <c r="AY253" s="107"/>
      <c r="AZ253" s="107"/>
      <c r="BA253" s="107"/>
      <c r="BB253" s="107"/>
      <c r="BC253" s="107"/>
      <c r="BD253" s="107"/>
      <c r="BE253" s="107"/>
      <c r="BF253" s="107"/>
      <c r="BG253" s="107"/>
      <c r="BH253" s="107"/>
      <c r="BI253" s="107"/>
      <c r="BJ253" s="107"/>
      <c r="BK253" s="107"/>
      <c r="BL253" s="107"/>
      <c r="BM253" s="107"/>
      <c r="BN253" s="107"/>
      <c r="BO253" s="107"/>
      <c r="BP253" s="107"/>
      <c r="BQ253" s="107"/>
      <c r="BR253" s="107"/>
      <c r="BS253" s="107"/>
      <c r="BT253" s="107"/>
      <c r="BU253" s="107"/>
      <c r="BV253" s="107"/>
      <c r="BW253" s="107"/>
      <c r="BX253" s="107"/>
      <c r="BY253" s="107"/>
      <c r="BZ253" s="107"/>
      <c r="CA253" s="107"/>
      <c r="CB253" s="107"/>
      <c r="CC253" s="107"/>
      <c r="CD253" s="107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2"/>
      <c r="CR253" s="102"/>
      <c r="CS253" s="102"/>
      <c r="CT253" s="102"/>
      <c r="CU253" s="102"/>
      <c r="CV253" s="102"/>
      <c r="CW253" s="102"/>
      <c r="CX253" s="102"/>
      <c r="CY253" s="102"/>
      <c r="CZ253" s="102"/>
      <c r="DA253" s="102"/>
      <c r="DB253" s="102"/>
      <c r="DC253" s="102"/>
      <c r="DD253" s="102"/>
      <c r="DE253" s="102"/>
      <c r="DF253" s="102"/>
      <c r="DG253" s="102"/>
      <c r="DH253" s="102"/>
      <c r="DI253" s="102"/>
      <c r="DJ253" s="102"/>
      <c r="DK253" s="102"/>
      <c r="DL253" s="102"/>
      <c r="DM253" s="102"/>
      <c r="DN253" s="102"/>
      <c r="DO253" s="102"/>
      <c r="DP253" s="102"/>
    </row>
    <row r="254" spans="1:120" x14ac:dyDescent="0.25">
      <c r="A254" s="4"/>
      <c r="D254"/>
      <c r="E254"/>
      <c r="F254"/>
      <c r="J254" s="68" t="str">
        <f t="shared" si="84"/>
        <v/>
      </c>
      <c r="K254" s="68" t="str">
        <f t="shared" si="85"/>
        <v/>
      </c>
      <c r="L254" s="69" t="str">
        <f t="shared" si="86"/>
        <v/>
      </c>
      <c r="M254" s="69" t="str">
        <f t="shared" si="87"/>
        <v/>
      </c>
      <c r="N254" s="69" t="str">
        <f>IF(A254="","",Tabela1[[#This Row],[PTC]]*Tabela1[[#This Row],[ODDC]])</f>
        <v/>
      </c>
      <c r="O254" s="69" t="str">
        <f>IF(A254="","",Tabela1[[#This Row],[PTV]]*Tabela1[[#This Row],[ODDV]])</f>
        <v/>
      </c>
      <c r="P254" s="68" t="str">
        <f t="shared" si="88"/>
        <v/>
      </c>
      <c r="Q254" s="68" t="str">
        <f t="shared" si="89"/>
        <v/>
      </c>
      <c r="R254" s="68" t="str">
        <f t="shared" si="90"/>
        <v/>
      </c>
      <c r="S254" s="68" t="str">
        <f t="shared" si="91"/>
        <v/>
      </c>
      <c r="T254" s="68" t="str">
        <f>IF(A254="","",IF(F254="D",Tabela1[[#This Row],[ODDE]]-1,-1))</f>
        <v/>
      </c>
      <c r="U254" s="70" t="str">
        <f>IF(A254="","",IF(AND(Tabela1[[#This Row],[FTHG]]&gt;3,F254="H"),1,0))</f>
        <v/>
      </c>
      <c r="V254" s="70" t="str">
        <f>IF(A254="","",IF(AND(Tabela1[[#This Row],[FTAG]]&gt;3,F254="A"),1,0))</f>
        <v/>
      </c>
      <c r="W254" s="70" t="str">
        <f t="shared" si="92"/>
        <v/>
      </c>
      <c r="X254" s="70" t="str">
        <f t="shared" si="93"/>
        <v/>
      </c>
      <c r="Y254" s="71" t="str">
        <f t="shared" si="94"/>
        <v/>
      </c>
      <c r="Z254" s="70" t="str">
        <f t="shared" si="95"/>
        <v/>
      </c>
      <c r="AA254" s="70" t="str">
        <f t="shared" si="96"/>
        <v/>
      </c>
      <c r="AB254" s="70" t="str">
        <f t="shared" si="97"/>
        <v/>
      </c>
      <c r="AC254" s="71" t="str">
        <f t="shared" si="98"/>
        <v/>
      </c>
      <c r="AD254" s="72" t="str">
        <f t="shared" si="99"/>
        <v/>
      </c>
      <c r="AE254" s="73" t="str">
        <f>IF(A254="","",COUNT($N$2:N254))</f>
        <v/>
      </c>
      <c r="AF254" s="74" t="str">
        <f t="shared" si="100"/>
        <v/>
      </c>
      <c r="AG254" s="74" t="str">
        <f t="shared" si="101"/>
        <v/>
      </c>
      <c r="AH254" s="74" t="str">
        <f t="shared" si="102"/>
        <v/>
      </c>
      <c r="AI254" s="74" t="str">
        <f t="shared" si="103"/>
        <v/>
      </c>
      <c r="AJ254" s="74" t="str">
        <f t="shared" si="104"/>
        <v/>
      </c>
      <c r="AK254" s="74" t="str">
        <f>IF(A254="","",1/Tabela1[[#This Row],[ODDC]])</f>
        <v/>
      </c>
      <c r="AL254" s="74" t="str">
        <f>IF(A254="","",1/Tabela1[[#This Row],[ODDE]])</f>
        <v/>
      </c>
      <c r="AM254" s="74" t="str">
        <f>IF(A254="","",1/Tabela1[[#This Row],[ODDV]])</f>
        <v/>
      </c>
      <c r="AN254" s="74" t="str">
        <f>IF(A254="","",1-(Tabela1[[#This Row],[p(H)]]+Tabela1[[#This Row],[p(D)]]+Tabela1[[#This Row],[p(A)]]))</f>
        <v/>
      </c>
      <c r="AO254" s="74" t="str">
        <f>IF(A254="","",IFERROR(Tabela1[[#This Row],[p(H)]]/Tabela1[[#This Row],[FTHG]],1))</f>
        <v/>
      </c>
      <c r="AP254" s="74" t="str">
        <f>IF(A254="","",IFERROR(Tabela1[[#This Row],[p(A)]]/Tabela1[[#This Row],[FTAG]],1))</f>
        <v/>
      </c>
      <c r="AQ254" s="107"/>
      <c r="AR254" s="107"/>
      <c r="AS254" s="107"/>
      <c r="AT254" s="107"/>
      <c r="AU254" s="107"/>
      <c r="AV254" s="107"/>
      <c r="AW254" s="107"/>
      <c r="AX254" s="107"/>
      <c r="AY254" s="107"/>
      <c r="AZ254" s="107"/>
      <c r="BA254" s="107"/>
      <c r="BB254" s="107"/>
      <c r="BC254" s="107"/>
      <c r="BD254" s="107"/>
      <c r="BE254" s="107"/>
      <c r="BF254" s="107"/>
      <c r="BG254" s="107"/>
      <c r="BH254" s="107"/>
      <c r="BI254" s="107"/>
      <c r="BJ254" s="107"/>
      <c r="BK254" s="107"/>
      <c r="BL254" s="107"/>
      <c r="BM254" s="107"/>
      <c r="BN254" s="107"/>
      <c r="BO254" s="107"/>
      <c r="BP254" s="107"/>
      <c r="BQ254" s="107"/>
      <c r="BR254" s="107"/>
      <c r="BS254" s="107"/>
      <c r="BT254" s="107"/>
      <c r="BU254" s="107"/>
      <c r="BV254" s="107"/>
      <c r="BW254" s="107"/>
      <c r="BX254" s="107"/>
      <c r="BY254" s="107"/>
      <c r="BZ254" s="107"/>
      <c r="CA254" s="107"/>
      <c r="CB254" s="107"/>
      <c r="CC254" s="107"/>
      <c r="CD254" s="107"/>
      <c r="CE254" s="102"/>
      <c r="CF254" s="102"/>
      <c r="CG254" s="102"/>
      <c r="CH254" s="102"/>
      <c r="CI254" s="102"/>
      <c r="CJ254" s="102"/>
      <c r="CK254" s="102"/>
      <c r="CL254" s="102"/>
      <c r="CM254" s="102"/>
      <c r="CN254" s="102"/>
      <c r="CO254" s="102"/>
      <c r="CP254" s="102"/>
      <c r="CQ254" s="102"/>
      <c r="CR254" s="102"/>
      <c r="CS254" s="102"/>
      <c r="CT254" s="102"/>
      <c r="CU254" s="102"/>
      <c r="CV254" s="102"/>
      <c r="CW254" s="102"/>
      <c r="CX254" s="102"/>
      <c r="CY254" s="102"/>
      <c r="CZ254" s="102"/>
      <c r="DA254" s="102"/>
      <c r="DB254" s="102"/>
      <c r="DC254" s="102"/>
      <c r="DD254" s="102"/>
      <c r="DE254" s="102"/>
      <c r="DF254" s="102"/>
      <c r="DG254" s="102"/>
      <c r="DH254" s="102"/>
      <c r="DI254" s="102"/>
      <c r="DJ254" s="102"/>
      <c r="DK254" s="102"/>
      <c r="DL254" s="102"/>
      <c r="DM254" s="102"/>
      <c r="DN254" s="102"/>
      <c r="DO254" s="102"/>
      <c r="DP254" s="102"/>
    </row>
    <row r="255" spans="1:120" x14ac:dyDescent="0.25">
      <c r="A255" s="4"/>
      <c r="D255"/>
      <c r="E255"/>
      <c r="F255"/>
      <c r="J255" s="68" t="str">
        <f t="shared" si="84"/>
        <v/>
      </c>
      <c r="K255" s="68" t="str">
        <f t="shared" si="85"/>
        <v/>
      </c>
      <c r="L255" s="69" t="str">
        <f t="shared" si="86"/>
        <v/>
      </c>
      <c r="M255" s="69" t="str">
        <f t="shared" si="87"/>
        <v/>
      </c>
      <c r="N255" s="69" t="str">
        <f>IF(A255="","",Tabela1[[#This Row],[PTC]]*Tabela1[[#This Row],[ODDC]])</f>
        <v/>
      </c>
      <c r="O255" s="69" t="str">
        <f>IF(A255="","",Tabela1[[#This Row],[PTV]]*Tabela1[[#This Row],[ODDV]])</f>
        <v/>
      </c>
      <c r="P255" s="68" t="str">
        <f t="shared" si="88"/>
        <v/>
      </c>
      <c r="Q255" s="68" t="str">
        <f t="shared" si="89"/>
        <v/>
      </c>
      <c r="R255" s="68" t="str">
        <f t="shared" si="90"/>
        <v/>
      </c>
      <c r="S255" s="68" t="str">
        <f t="shared" si="91"/>
        <v/>
      </c>
      <c r="T255" s="68" t="str">
        <f>IF(A255="","",IF(F255="D",Tabela1[[#This Row],[ODDE]]-1,-1))</f>
        <v/>
      </c>
      <c r="U255" s="70" t="str">
        <f>IF(A255="","",IF(AND(Tabela1[[#This Row],[FTHG]]&gt;3,F255="H"),1,0))</f>
        <v/>
      </c>
      <c r="V255" s="70" t="str">
        <f>IF(A255="","",IF(AND(Tabela1[[#This Row],[FTAG]]&gt;3,F255="A"),1,0))</f>
        <v/>
      </c>
      <c r="W255" s="70" t="str">
        <f t="shared" si="92"/>
        <v/>
      </c>
      <c r="X255" s="70" t="str">
        <f t="shared" si="93"/>
        <v/>
      </c>
      <c r="Y255" s="71" t="str">
        <f t="shared" si="94"/>
        <v/>
      </c>
      <c r="Z255" s="70" t="str">
        <f t="shared" si="95"/>
        <v/>
      </c>
      <c r="AA255" s="70" t="str">
        <f t="shared" si="96"/>
        <v/>
      </c>
      <c r="AB255" s="70" t="str">
        <f t="shared" si="97"/>
        <v/>
      </c>
      <c r="AC255" s="71" t="str">
        <f t="shared" si="98"/>
        <v/>
      </c>
      <c r="AD255" s="72" t="str">
        <f t="shared" si="99"/>
        <v/>
      </c>
      <c r="AE255" s="73" t="str">
        <f>IF(A255="","",COUNT($N$2:N255))</f>
        <v/>
      </c>
      <c r="AF255" s="74" t="str">
        <f t="shared" si="100"/>
        <v/>
      </c>
      <c r="AG255" s="74" t="str">
        <f t="shared" si="101"/>
        <v/>
      </c>
      <c r="AH255" s="74" t="str">
        <f t="shared" si="102"/>
        <v/>
      </c>
      <c r="AI255" s="74" t="str">
        <f t="shared" si="103"/>
        <v/>
      </c>
      <c r="AJ255" s="74" t="str">
        <f t="shared" si="104"/>
        <v/>
      </c>
      <c r="AK255" s="74" t="str">
        <f>IF(A255="","",1/Tabela1[[#This Row],[ODDC]])</f>
        <v/>
      </c>
      <c r="AL255" s="74" t="str">
        <f>IF(A255="","",1/Tabela1[[#This Row],[ODDE]])</f>
        <v/>
      </c>
      <c r="AM255" s="74" t="str">
        <f>IF(A255="","",1/Tabela1[[#This Row],[ODDV]])</f>
        <v/>
      </c>
      <c r="AN255" s="74" t="str">
        <f>IF(A255="","",1-(Tabela1[[#This Row],[p(H)]]+Tabela1[[#This Row],[p(D)]]+Tabela1[[#This Row],[p(A)]]))</f>
        <v/>
      </c>
      <c r="AO255" s="74" t="str">
        <f>IF(A255="","",IFERROR(Tabela1[[#This Row],[p(H)]]/Tabela1[[#This Row],[FTHG]],1))</f>
        <v/>
      </c>
      <c r="AP255" s="74" t="str">
        <f>IF(A255="","",IFERROR(Tabela1[[#This Row],[p(A)]]/Tabela1[[#This Row],[FTAG]],1))</f>
        <v/>
      </c>
      <c r="AQ255" s="107"/>
      <c r="AR255" s="107"/>
      <c r="AS255" s="107"/>
      <c r="AT255" s="107"/>
      <c r="AU255" s="107"/>
      <c r="AV255" s="107"/>
      <c r="AW255" s="107"/>
      <c r="AX255" s="107"/>
      <c r="AY255" s="107"/>
      <c r="AZ255" s="107"/>
      <c r="BA255" s="107"/>
      <c r="BB255" s="107"/>
      <c r="BC255" s="107"/>
      <c r="BD255" s="107"/>
      <c r="BE255" s="107"/>
      <c r="BF255" s="107"/>
      <c r="BG255" s="107"/>
      <c r="BH255" s="107"/>
      <c r="BI255" s="107"/>
      <c r="BJ255" s="107"/>
      <c r="BK255" s="107"/>
      <c r="BL255" s="107"/>
      <c r="BM255" s="107"/>
      <c r="BN255" s="107"/>
      <c r="BO255" s="107"/>
      <c r="BP255" s="107"/>
      <c r="BQ255" s="107"/>
      <c r="BR255" s="107"/>
      <c r="BS255" s="107"/>
      <c r="BT255" s="107"/>
      <c r="BU255" s="107"/>
      <c r="BV255" s="107"/>
      <c r="BW255" s="107"/>
      <c r="BX255" s="107"/>
      <c r="BY255" s="107"/>
      <c r="BZ255" s="107"/>
      <c r="CA255" s="107"/>
      <c r="CB255" s="107"/>
      <c r="CC255" s="107"/>
      <c r="CD255" s="107"/>
      <c r="CE255" s="102"/>
      <c r="CF255" s="102"/>
      <c r="CG255" s="102"/>
      <c r="CH255" s="102"/>
      <c r="CI255" s="102"/>
      <c r="CJ255" s="102"/>
      <c r="CK255" s="102"/>
      <c r="CL255" s="102"/>
      <c r="CM255" s="102"/>
      <c r="CN255" s="102"/>
      <c r="CO255" s="102"/>
      <c r="CP255" s="102"/>
      <c r="CQ255" s="102"/>
      <c r="CR255" s="102"/>
      <c r="CS255" s="102"/>
      <c r="CT255" s="102"/>
      <c r="CU255" s="102"/>
      <c r="CV255" s="102"/>
      <c r="CW255" s="102"/>
      <c r="CX255" s="102"/>
      <c r="CY255" s="102"/>
      <c r="CZ255" s="102"/>
      <c r="DA255" s="102"/>
      <c r="DB255" s="102"/>
      <c r="DC255" s="102"/>
      <c r="DD255" s="102"/>
      <c r="DE255" s="102"/>
      <c r="DF255" s="102"/>
      <c r="DG255" s="102"/>
      <c r="DH255" s="102"/>
      <c r="DI255" s="102"/>
      <c r="DJ255" s="102"/>
      <c r="DK255" s="102"/>
      <c r="DL255" s="102"/>
      <c r="DM255" s="102"/>
      <c r="DN255" s="102"/>
      <c r="DO255" s="102"/>
      <c r="DP255" s="102"/>
    </row>
    <row r="256" spans="1:120" x14ac:dyDescent="0.25">
      <c r="A256" s="4"/>
      <c r="D256"/>
      <c r="E256"/>
      <c r="F256"/>
      <c r="J256" s="68" t="str">
        <f t="shared" si="84"/>
        <v/>
      </c>
      <c r="K256" s="68" t="str">
        <f t="shared" si="85"/>
        <v/>
      </c>
      <c r="L256" s="69" t="str">
        <f t="shared" si="86"/>
        <v/>
      </c>
      <c r="M256" s="69" t="str">
        <f t="shared" si="87"/>
        <v/>
      </c>
      <c r="N256" s="69" t="str">
        <f>IF(A256="","",Tabela1[[#This Row],[PTC]]*Tabela1[[#This Row],[ODDC]])</f>
        <v/>
      </c>
      <c r="O256" s="69" t="str">
        <f>IF(A256="","",Tabela1[[#This Row],[PTV]]*Tabela1[[#This Row],[ODDV]])</f>
        <v/>
      </c>
      <c r="P256" s="68" t="str">
        <f t="shared" si="88"/>
        <v/>
      </c>
      <c r="Q256" s="68" t="str">
        <f t="shared" si="89"/>
        <v/>
      </c>
      <c r="R256" s="68" t="str">
        <f t="shared" si="90"/>
        <v/>
      </c>
      <c r="S256" s="68" t="str">
        <f t="shared" si="91"/>
        <v/>
      </c>
      <c r="T256" s="68" t="str">
        <f>IF(A256="","",IF(F256="D",Tabela1[[#This Row],[ODDE]]-1,-1))</f>
        <v/>
      </c>
      <c r="U256" s="70" t="str">
        <f>IF(A256="","",IF(AND(Tabela1[[#This Row],[FTHG]]&gt;3,F256="H"),1,0))</f>
        <v/>
      </c>
      <c r="V256" s="70" t="str">
        <f>IF(A256="","",IF(AND(Tabela1[[#This Row],[FTAG]]&gt;3,F256="A"),1,0))</f>
        <v/>
      </c>
      <c r="W256" s="70" t="str">
        <f t="shared" si="92"/>
        <v/>
      </c>
      <c r="X256" s="70" t="str">
        <f t="shared" si="93"/>
        <v/>
      </c>
      <c r="Y256" s="71" t="str">
        <f t="shared" si="94"/>
        <v/>
      </c>
      <c r="Z256" s="70" t="str">
        <f t="shared" si="95"/>
        <v/>
      </c>
      <c r="AA256" s="70" t="str">
        <f t="shared" si="96"/>
        <v/>
      </c>
      <c r="AB256" s="70" t="str">
        <f t="shared" si="97"/>
        <v/>
      </c>
      <c r="AC256" s="71" t="str">
        <f t="shared" si="98"/>
        <v/>
      </c>
      <c r="AD256" s="72" t="str">
        <f t="shared" si="99"/>
        <v/>
      </c>
      <c r="AE256" s="73" t="str">
        <f>IF(A256="","",COUNT($N$2:N256))</f>
        <v/>
      </c>
      <c r="AF256" s="74" t="str">
        <f t="shared" si="100"/>
        <v/>
      </c>
      <c r="AG256" s="74" t="str">
        <f t="shared" si="101"/>
        <v/>
      </c>
      <c r="AH256" s="74" t="str">
        <f t="shared" si="102"/>
        <v/>
      </c>
      <c r="AI256" s="74" t="str">
        <f t="shared" si="103"/>
        <v/>
      </c>
      <c r="AJ256" s="74" t="str">
        <f t="shared" si="104"/>
        <v/>
      </c>
      <c r="AK256" s="74" t="str">
        <f>IF(A256="","",1/Tabela1[[#This Row],[ODDC]])</f>
        <v/>
      </c>
      <c r="AL256" s="74" t="str">
        <f>IF(A256="","",1/Tabela1[[#This Row],[ODDE]])</f>
        <v/>
      </c>
      <c r="AM256" s="74" t="str">
        <f>IF(A256="","",1/Tabela1[[#This Row],[ODDV]])</f>
        <v/>
      </c>
      <c r="AN256" s="74" t="str">
        <f>IF(A256="","",1-(Tabela1[[#This Row],[p(H)]]+Tabela1[[#This Row],[p(D)]]+Tabela1[[#This Row],[p(A)]]))</f>
        <v/>
      </c>
      <c r="AO256" s="74" t="str">
        <f>IF(A256="","",IFERROR(Tabela1[[#This Row],[p(H)]]/Tabela1[[#This Row],[FTHG]],1))</f>
        <v/>
      </c>
      <c r="AP256" s="74" t="str">
        <f>IF(A256="","",IFERROR(Tabela1[[#This Row],[p(A)]]/Tabela1[[#This Row],[FTAG]],1))</f>
        <v/>
      </c>
      <c r="AQ256" s="107"/>
      <c r="AR256" s="107"/>
      <c r="AS256" s="107"/>
      <c r="AT256" s="107"/>
      <c r="AU256" s="107"/>
      <c r="AV256" s="107"/>
      <c r="AW256" s="107"/>
      <c r="AX256" s="107"/>
      <c r="AY256" s="107"/>
      <c r="AZ256" s="107"/>
      <c r="BA256" s="107"/>
      <c r="BB256" s="107"/>
      <c r="BC256" s="107"/>
      <c r="BD256" s="107"/>
      <c r="BE256" s="107"/>
      <c r="BF256" s="107"/>
      <c r="BG256" s="107"/>
      <c r="BH256" s="107"/>
      <c r="BI256" s="107"/>
      <c r="BJ256" s="107"/>
      <c r="BK256" s="107"/>
      <c r="BL256" s="107"/>
      <c r="BM256" s="107"/>
      <c r="BN256" s="107"/>
      <c r="BO256" s="107"/>
      <c r="BP256" s="107"/>
      <c r="BQ256" s="107"/>
      <c r="BR256" s="107"/>
      <c r="BS256" s="107"/>
      <c r="BT256" s="107"/>
      <c r="BU256" s="107"/>
      <c r="BV256" s="107"/>
      <c r="BW256" s="107"/>
      <c r="BX256" s="107"/>
      <c r="BY256" s="107"/>
      <c r="BZ256" s="107"/>
      <c r="CA256" s="107"/>
      <c r="CB256" s="107"/>
      <c r="CC256" s="107"/>
      <c r="CD256" s="107"/>
      <c r="CE256" s="102"/>
      <c r="CF256" s="102"/>
      <c r="CG256" s="102"/>
      <c r="CH256" s="102"/>
      <c r="CI256" s="102"/>
      <c r="CJ256" s="102"/>
      <c r="CK256" s="102"/>
      <c r="CL256" s="102"/>
      <c r="CM256" s="102"/>
      <c r="CN256" s="102"/>
      <c r="CO256" s="102"/>
      <c r="CP256" s="102"/>
      <c r="CQ256" s="102"/>
      <c r="CR256" s="102"/>
      <c r="CS256" s="102"/>
      <c r="CT256" s="102"/>
      <c r="CU256" s="102"/>
      <c r="CV256" s="102"/>
      <c r="CW256" s="102"/>
      <c r="CX256" s="102"/>
      <c r="CY256" s="102"/>
      <c r="CZ256" s="102"/>
      <c r="DA256" s="102"/>
      <c r="DB256" s="102"/>
      <c r="DC256" s="102"/>
      <c r="DD256" s="102"/>
      <c r="DE256" s="102"/>
      <c r="DF256" s="102"/>
      <c r="DG256" s="102"/>
      <c r="DH256" s="102"/>
      <c r="DI256" s="102"/>
      <c r="DJ256" s="102"/>
      <c r="DK256" s="102"/>
      <c r="DL256" s="102"/>
      <c r="DM256" s="102"/>
      <c r="DN256" s="102"/>
      <c r="DO256" s="102"/>
      <c r="DP256" s="102"/>
    </row>
    <row r="257" spans="1:120" x14ac:dyDescent="0.25">
      <c r="A257" s="4"/>
      <c r="D257"/>
      <c r="E257"/>
      <c r="F257"/>
      <c r="J257" s="68" t="str">
        <f t="shared" si="84"/>
        <v/>
      </c>
      <c r="K257" s="68" t="str">
        <f t="shared" si="85"/>
        <v/>
      </c>
      <c r="L257" s="69" t="str">
        <f t="shared" si="86"/>
        <v/>
      </c>
      <c r="M257" s="69" t="str">
        <f t="shared" si="87"/>
        <v/>
      </c>
      <c r="N257" s="69" t="str">
        <f>IF(A257="","",Tabela1[[#This Row],[PTC]]*Tabela1[[#This Row],[ODDC]])</f>
        <v/>
      </c>
      <c r="O257" s="69" t="str">
        <f>IF(A257="","",Tabela1[[#This Row],[PTV]]*Tabela1[[#This Row],[ODDV]])</f>
        <v/>
      </c>
      <c r="P257" s="68" t="str">
        <f t="shared" si="88"/>
        <v/>
      </c>
      <c r="Q257" s="68" t="str">
        <f t="shared" si="89"/>
        <v/>
      </c>
      <c r="R257" s="68" t="str">
        <f t="shared" si="90"/>
        <v/>
      </c>
      <c r="S257" s="68" t="str">
        <f t="shared" si="91"/>
        <v/>
      </c>
      <c r="T257" s="68" t="str">
        <f>IF(A257="","",IF(F257="D",Tabela1[[#This Row],[ODDE]]-1,-1))</f>
        <v/>
      </c>
      <c r="U257" s="70" t="str">
        <f>IF(A257="","",IF(AND(Tabela1[[#This Row],[FTHG]]&gt;3,F257="H"),1,0))</f>
        <v/>
      </c>
      <c r="V257" s="70" t="str">
        <f>IF(A257="","",IF(AND(Tabela1[[#This Row],[FTAG]]&gt;3,F257="A"),1,0))</f>
        <v/>
      </c>
      <c r="W257" s="70" t="str">
        <f t="shared" si="92"/>
        <v/>
      </c>
      <c r="X257" s="70" t="str">
        <f t="shared" si="93"/>
        <v/>
      </c>
      <c r="Y257" s="71" t="str">
        <f t="shared" si="94"/>
        <v/>
      </c>
      <c r="Z257" s="70" t="str">
        <f t="shared" si="95"/>
        <v/>
      </c>
      <c r="AA257" s="70" t="str">
        <f t="shared" si="96"/>
        <v/>
      </c>
      <c r="AB257" s="70" t="str">
        <f t="shared" si="97"/>
        <v/>
      </c>
      <c r="AC257" s="71" t="str">
        <f t="shared" si="98"/>
        <v/>
      </c>
      <c r="AD257" s="72" t="str">
        <f t="shared" si="99"/>
        <v/>
      </c>
      <c r="AE257" s="73" t="str">
        <f>IF(A257="","",COUNT($N$2:N257))</f>
        <v/>
      </c>
      <c r="AF257" s="74" t="str">
        <f t="shared" si="100"/>
        <v/>
      </c>
      <c r="AG257" s="74" t="str">
        <f t="shared" si="101"/>
        <v/>
      </c>
      <c r="AH257" s="74" t="str">
        <f t="shared" si="102"/>
        <v/>
      </c>
      <c r="AI257" s="74" t="str">
        <f t="shared" si="103"/>
        <v/>
      </c>
      <c r="AJ257" s="74" t="str">
        <f t="shared" si="104"/>
        <v/>
      </c>
      <c r="AK257" s="74" t="str">
        <f>IF(A257="","",1/Tabela1[[#This Row],[ODDC]])</f>
        <v/>
      </c>
      <c r="AL257" s="74" t="str">
        <f>IF(A257="","",1/Tabela1[[#This Row],[ODDE]])</f>
        <v/>
      </c>
      <c r="AM257" s="74" t="str">
        <f>IF(A257="","",1/Tabela1[[#This Row],[ODDV]])</f>
        <v/>
      </c>
      <c r="AN257" s="74" t="str">
        <f>IF(A257="","",1-(Tabela1[[#This Row],[p(H)]]+Tabela1[[#This Row],[p(D)]]+Tabela1[[#This Row],[p(A)]]))</f>
        <v/>
      </c>
      <c r="AO257" s="74" t="str">
        <f>IF(A257="","",IFERROR(Tabela1[[#This Row],[p(H)]]/Tabela1[[#This Row],[FTHG]],1))</f>
        <v/>
      </c>
      <c r="AP257" s="74" t="str">
        <f>IF(A257="","",IFERROR(Tabela1[[#This Row],[p(A)]]/Tabela1[[#This Row],[FTAG]],1))</f>
        <v/>
      </c>
      <c r="AQ257" s="107"/>
      <c r="AR257" s="107"/>
      <c r="AS257" s="107"/>
      <c r="AT257" s="107"/>
      <c r="AU257" s="107"/>
      <c r="AV257" s="107"/>
      <c r="AW257" s="107"/>
      <c r="AX257" s="107"/>
      <c r="AY257" s="107"/>
      <c r="AZ257" s="107"/>
      <c r="BA257" s="107"/>
      <c r="BB257" s="107"/>
      <c r="BC257" s="107"/>
      <c r="BD257" s="107"/>
      <c r="BE257" s="107"/>
      <c r="BF257" s="107"/>
      <c r="BG257" s="107"/>
      <c r="BH257" s="107"/>
      <c r="BI257" s="107"/>
      <c r="BJ257" s="107"/>
      <c r="BK257" s="107"/>
      <c r="BL257" s="107"/>
      <c r="BM257" s="107"/>
      <c r="BN257" s="107"/>
      <c r="BO257" s="107"/>
      <c r="BP257" s="107"/>
      <c r="BQ257" s="107"/>
      <c r="BR257" s="107"/>
      <c r="BS257" s="107"/>
      <c r="BT257" s="107"/>
      <c r="BU257" s="107"/>
      <c r="BV257" s="107"/>
      <c r="BW257" s="107"/>
      <c r="BX257" s="107"/>
      <c r="BY257" s="107"/>
      <c r="BZ257" s="107"/>
      <c r="CA257" s="107"/>
      <c r="CB257" s="107"/>
      <c r="CC257" s="107"/>
      <c r="CD257" s="107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  <c r="DH257" s="102"/>
      <c r="DI257" s="102"/>
      <c r="DJ257" s="102"/>
      <c r="DK257" s="102"/>
      <c r="DL257" s="102"/>
      <c r="DM257" s="102"/>
      <c r="DN257" s="102"/>
      <c r="DO257" s="102"/>
      <c r="DP257" s="102"/>
    </row>
    <row r="258" spans="1:120" x14ac:dyDescent="0.25">
      <c r="A258" s="4"/>
      <c r="D258"/>
      <c r="E258"/>
      <c r="F258"/>
      <c r="J258" s="68" t="str">
        <f t="shared" si="84"/>
        <v/>
      </c>
      <c r="K258" s="68" t="str">
        <f t="shared" si="85"/>
        <v/>
      </c>
      <c r="L258" s="69" t="str">
        <f t="shared" si="86"/>
        <v/>
      </c>
      <c r="M258" s="69" t="str">
        <f t="shared" si="87"/>
        <v/>
      </c>
      <c r="N258" s="69" t="str">
        <f>IF(A258="","",Tabela1[[#This Row],[PTC]]*Tabela1[[#This Row],[ODDC]])</f>
        <v/>
      </c>
      <c r="O258" s="69" t="str">
        <f>IF(A258="","",Tabela1[[#This Row],[PTV]]*Tabela1[[#This Row],[ODDV]])</f>
        <v/>
      </c>
      <c r="P258" s="68" t="str">
        <f t="shared" si="88"/>
        <v/>
      </c>
      <c r="Q258" s="68" t="str">
        <f t="shared" si="89"/>
        <v/>
      </c>
      <c r="R258" s="68" t="str">
        <f t="shared" si="90"/>
        <v/>
      </c>
      <c r="S258" s="68" t="str">
        <f t="shared" si="91"/>
        <v/>
      </c>
      <c r="T258" s="68" t="str">
        <f>IF(A258="","",IF(F258="D",Tabela1[[#This Row],[ODDE]]-1,-1))</f>
        <v/>
      </c>
      <c r="U258" s="70" t="str">
        <f>IF(A258="","",IF(AND(Tabela1[[#This Row],[FTHG]]&gt;3,F258="H"),1,0))</f>
        <v/>
      </c>
      <c r="V258" s="70" t="str">
        <f>IF(A258="","",IF(AND(Tabela1[[#This Row],[FTAG]]&gt;3,F258="A"),1,0))</f>
        <v/>
      </c>
      <c r="W258" s="70" t="str">
        <f t="shared" si="92"/>
        <v/>
      </c>
      <c r="X258" s="70" t="str">
        <f t="shared" si="93"/>
        <v/>
      </c>
      <c r="Y258" s="71" t="str">
        <f t="shared" si="94"/>
        <v/>
      </c>
      <c r="Z258" s="70" t="str">
        <f t="shared" si="95"/>
        <v/>
      </c>
      <c r="AA258" s="70" t="str">
        <f t="shared" si="96"/>
        <v/>
      </c>
      <c r="AB258" s="70" t="str">
        <f t="shared" si="97"/>
        <v/>
      </c>
      <c r="AC258" s="71" t="str">
        <f t="shared" si="98"/>
        <v/>
      </c>
      <c r="AD258" s="72" t="str">
        <f t="shared" si="99"/>
        <v/>
      </c>
      <c r="AE258" s="73" t="str">
        <f>IF(A258="","",COUNT($N$2:N258))</f>
        <v/>
      </c>
      <c r="AF258" s="74" t="str">
        <f t="shared" si="100"/>
        <v/>
      </c>
      <c r="AG258" s="74" t="str">
        <f t="shared" si="101"/>
        <v/>
      </c>
      <c r="AH258" s="74" t="str">
        <f t="shared" si="102"/>
        <v/>
      </c>
      <c r="AI258" s="74" t="str">
        <f t="shared" si="103"/>
        <v/>
      </c>
      <c r="AJ258" s="74" t="str">
        <f t="shared" si="104"/>
        <v/>
      </c>
      <c r="AK258" s="74" t="str">
        <f>IF(A258="","",1/Tabela1[[#This Row],[ODDC]])</f>
        <v/>
      </c>
      <c r="AL258" s="74" t="str">
        <f>IF(A258="","",1/Tabela1[[#This Row],[ODDE]])</f>
        <v/>
      </c>
      <c r="AM258" s="74" t="str">
        <f>IF(A258="","",1/Tabela1[[#This Row],[ODDV]])</f>
        <v/>
      </c>
      <c r="AN258" s="74" t="str">
        <f>IF(A258="","",1-(Tabela1[[#This Row],[p(H)]]+Tabela1[[#This Row],[p(D)]]+Tabela1[[#This Row],[p(A)]]))</f>
        <v/>
      </c>
      <c r="AO258" s="74" t="str">
        <f>IF(A258="","",IFERROR(Tabela1[[#This Row],[p(H)]]/Tabela1[[#This Row],[FTHG]],1))</f>
        <v/>
      </c>
      <c r="AP258" s="74" t="str">
        <f>IF(A258="","",IFERROR(Tabela1[[#This Row],[p(A)]]/Tabela1[[#This Row],[FTAG]],1))</f>
        <v/>
      </c>
      <c r="AQ258" s="107"/>
      <c r="AR258" s="107"/>
      <c r="AS258" s="107"/>
      <c r="AT258" s="107"/>
      <c r="AU258" s="107"/>
      <c r="AV258" s="107"/>
      <c r="AW258" s="107"/>
      <c r="AX258" s="107"/>
      <c r="AY258" s="107"/>
      <c r="AZ258" s="107"/>
      <c r="BA258" s="107"/>
      <c r="BB258" s="107"/>
      <c r="BC258" s="107"/>
      <c r="BD258" s="107"/>
      <c r="BE258" s="107"/>
      <c r="BF258" s="107"/>
      <c r="BG258" s="107"/>
      <c r="BH258" s="107"/>
      <c r="BI258" s="107"/>
      <c r="BJ258" s="107"/>
      <c r="BK258" s="107"/>
      <c r="BL258" s="107"/>
      <c r="BM258" s="107"/>
      <c r="BN258" s="107"/>
      <c r="BO258" s="107"/>
      <c r="BP258" s="107"/>
      <c r="BQ258" s="107"/>
      <c r="BR258" s="107"/>
      <c r="BS258" s="107"/>
      <c r="BT258" s="107"/>
      <c r="BU258" s="107"/>
      <c r="BV258" s="107"/>
      <c r="BW258" s="107"/>
      <c r="BX258" s="107"/>
      <c r="BY258" s="107"/>
      <c r="BZ258" s="107"/>
      <c r="CA258" s="107"/>
      <c r="CB258" s="107"/>
      <c r="CC258" s="107"/>
      <c r="CD258" s="107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2"/>
      <c r="CR258" s="102"/>
      <c r="CS258" s="102"/>
      <c r="CT258" s="102"/>
      <c r="CU258" s="102"/>
      <c r="CV258" s="102"/>
      <c r="CW258" s="102"/>
      <c r="CX258" s="102"/>
      <c r="CY258" s="102"/>
      <c r="CZ258" s="102"/>
      <c r="DA258" s="102"/>
      <c r="DB258" s="102"/>
      <c r="DC258" s="102"/>
      <c r="DD258" s="102"/>
      <c r="DE258" s="102"/>
      <c r="DF258" s="102"/>
      <c r="DG258" s="102"/>
      <c r="DH258" s="102"/>
      <c r="DI258" s="102"/>
      <c r="DJ258" s="102"/>
      <c r="DK258" s="102"/>
      <c r="DL258" s="102"/>
      <c r="DM258" s="102"/>
      <c r="DN258" s="102"/>
      <c r="DO258" s="102"/>
      <c r="DP258" s="102"/>
    </row>
    <row r="259" spans="1:120" x14ac:dyDescent="0.25">
      <c r="A259" s="4"/>
      <c r="D259"/>
      <c r="E259"/>
      <c r="F259"/>
      <c r="J259" s="68" t="str">
        <f t="shared" ref="J259:J322" si="105">IF(A259="","",IF(F259="H",3,IF(F259="D",1,0)))</f>
        <v/>
      </c>
      <c r="K259" s="68" t="str">
        <f t="shared" ref="K259:K322" si="106">IF(A259="","",IF(F259="H",0,IF(F259="D",1,3)))</f>
        <v/>
      </c>
      <c r="L259" s="69" t="str">
        <f t="shared" ref="L259:L322" si="107">IF(A259="","",D259/I259)</f>
        <v/>
      </c>
      <c r="M259" s="69" t="str">
        <f t="shared" ref="M259:M322" si="108">IF(A259="","",E259/G259)</f>
        <v/>
      </c>
      <c r="N259" s="69" t="str">
        <f>IF(A259="","",Tabela1[[#This Row],[PTC]]*Tabela1[[#This Row],[ODDC]])</f>
        <v/>
      </c>
      <c r="O259" s="69" t="str">
        <f>IF(A259="","",Tabela1[[#This Row],[PTV]]*Tabela1[[#This Row],[ODDV]])</f>
        <v/>
      </c>
      <c r="P259" s="68" t="str">
        <f t="shared" ref="P259:P322" si="109">IF(A259="","",D259-E259)</f>
        <v/>
      </c>
      <c r="Q259" s="68" t="str">
        <f t="shared" ref="Q259:Q322" si="110">IF(A259="","",E259-D259)</f>
        <v/>
      </c>
      <c r="R259" s="68" t="str">
        <f t="shared" ref="R259:R322" si="111">IF(A259="","",IF(F259="H",G259-1,-1))</f>
        <v/>
      </c>
      <c r="S259" s="68" t="str">
        <f t="shared" ref="S259:S322" si="112">IF(A259="","",IF(F259="A",I259-1,-1))</f>
        <v/>
      </c>
      <c r="T259" s="68" t="str">
        <f>IF(A259="","",IF(F259="D",Tabela1[[#This Row],[ODDE]]-1,-1))</f>
        <v/>
      </c>
      <c r="U259" s="70" t="str">
        <f>IF(A259="","",IF(AND(Tabela1[[#This Row],[FTHG]]&gt;3,F259="H"),1,0))</f>
        <v/>
      </c>
      <c r="V259" s="70" t="str">
        <f>IF(A259="","",IF(AND(Tabela1[[#This Row],[FTAG]]&gt;3,F259="A"),1,0))</f>
        <v/>
      </c>
      <c r="W259" s="70" t="str">
        <f t="shared" ref="W259:W322" si="113">IF(A259="","",IF(D259+E259&gt;0,1,0))</f>
        <v/>
      </c>
      <c r="X259" s="70" t="str">
        <f t="shared" ref="X259:X322" si="114">IF(A259="","",IF(D259+E259&gt;1,1,0))</f>
        <v/>
      </c>
      <c r="Y259" s="71" t="str">
        <f t="shared" ref="Y259:Y322" si="115">IF(A259="","",IF(D259+E259&gt;2,1,0))</f>
        <v/>
      </c>
      <c r="Z259" s="70" t="str">
        <f t="shared" ref="Z259:Z322" si="116">IF(A259="","",IF(D259+E259&gt;3,1,0))</f>
        <v/>
      </c>
      <c r="AA259" s="70" t="str">
        <f t="shared" ref="AA259:AA322" si="117">IF(A259="","",IF(D259+E259&gt;4,1,0))</f>
        <v/>
      </c>
      <c r="AB259" s="70" t="str">
        <f t="shared" ref="AB259:AB322" si="118">IF(A259="","",IF(D259+E259&gt;5,1,0))</f>
        <v/>
      </c>
      <c r="AC259" s="71" t="str">
        <f t="shared" ref="AC259:AC322" si="119">IF(A259="","",IFERROR(IF(AND(D259&gt;0,E259&gt;0),1,0),0))</f>
        <v/>
      </c>
      <c r="AD259" s="72" t="str">
        <f t="shared" ref="AD259:AD322" si="120">IF(A259="","",UPPER(TEXT(A259,"MMM")))</f>
        <v/>
      </c>
      <c r="AE259" s="73" t="str">
        <f>IF(A259="","",COUNT($N$2:N259))</f>
        <v/>
      </c>
      <c r="AF259" s="74" t="str">
        <f t="shared" ref="AF259:AF322" si="121">IF(A259="","",IF(F259="H",1,0))</f>
        <v/>
      </c>
      <c r="AG259" s="74" t="str">
        <f t="shared" ref="AG259:AG322" si="122">IF(A259="","",IF(F259="D",1,0))</f>
        <v/>
      </c>
      <c r="AH259" s="74" t="str">
        <f t="shared" ref="AH259:AH322" si="123">IF(A259="","",IF(F259="A",1,0))</f>
        <v/>
      </c>
      <c r="AI259" s="74" t="str">
        <f t="shared" ref="AI259:AI322" si="124">IF(A259="","",IF(G259&lt;1.21,"1,01-1,2",IF(G259&lt;1.41,"1,21-1,4",IF(G259&lt;1.71,"1,41-1,7",IF(G259&lt;2.01,"1,71-2,0",IF(G259&lt;2.41,"2,01-2,4",IF(G259&lt;3.01,"2,41-3,0",IF(G259&lt;4.01,"3,01-4.0",IF(G259&lt;5.51,"4,01-5,5",IF(G259&lt;9.01,"5,51-9,0",IF(G259&lt;16.01,"9,01-16","Z16-99")))))))))))</f>
        <v/>
      </c>
      <c r="AJ259" s="74" t="str">
        <f t="shared" ref="AJ259:AJ322" si="125">IF(A259="","",IF(I259&lt;1.21,"1,01-1,2",IF(I259&lt;1.41,"1,21-1,4",IF(I259&lt;1.71,"1,41-1,7",IF(I259&lt;2.01,"1,71-2,0",IF(I259&lt;2.41,"2,01-2,4",IF(I259&lt;3.01,"2,41-3,0",IF(I259&lt;4.01,"3,01-4.0",IF(I259&lt;5.51,"4,01-5,5",IF(I259&lt;9.01,"5,51-9,0",IF(I259&lt;16.01,"9,01-16","Z16-99")))))))))))</f>
        <v/>
      </c>
      <c r="AK259" s="74" t="str">
        <f>IF(A259="","",1/Tabela1[[#This Row],[ODDC]])</f>
        <v/>
      </c>
      <c r="AL259" s="74" t="str">
        <f>IF(A259="","",1/Tabela1[[#This Row],[ODDE]])</f>
        <v/>
      </c>
      <c r="AM259" s="74" t="str">
        <f>IF(A259="","",1/Tabela1[[#This Row],[ODDV]])</f>
        <v/>
      </c>
      <c r="AN259" s="74" t="str">
        <f>IF(A259="","",1-(Tabela1[[#This Row],[p(H)]]+Tabela1[[#This Row],[p(D)]]+Tabela1[[#This Row],[p(A)]]))</f>
        <v/>
      </c>
      <c r="AO259" s="74" t="str">
        <f>IF(A259="","",IFERROR(Tabela1[[#This Row],[p(H)]]/Tabela1[[#This Row],[FTHG]],1))</f>
        <v/>
      </c>
      <c r="AP259" s="74" t="str">
        <f>IF(A259="","",IFERROR(Tabela1[[#This Row],[p(A)]]/Tabela1[[#This Row],[FTAG]],1))</f>
        <v/>
      </c>
      <c r="AQ259" s="107"/>
      <c r="AR259" s="107"/>
      <c r="AS259" s="107"/>
      <c r="AT259" s="107"/>
      <c r="AU259" s="107"/>
      <c r="AV259" s="107"/>
      <c r="AW259" s="107"/>
      <c r="AX259" s="107"/>
      <c r="AY259" s="107"/>
      <c r="AZ259" s="107"/>
      <c r="BA259" s="107"/>
      <c r="BB259" s="107"/>
      <c r="BC259" s="107"/>
      <c r="BD259" s="107"/>
      <c r="BE259" s="107"/>
      <c r="BF259" s="107"/>
      <c r="BG259" s="107"/>
      <c r="BH259" s="107"/>
      <c r="BI259" s="107"/>
      <c r="BJ259" s="107"/>
      <c r="BK259" s="107"/>
      <c r="BL259" s="107"/>
      <c r="BM259" s="107"/>
      <c r="BN259" s="107"/>
      <c r="BO259" s="107"/>
      <c r="BP259" s="107"/>
      <c r="BQ259" s="107"/>
      <c r="BR259" s="107"/>
      <c r="BS259" s="107"/>
      <c r="BT259" s="107"/>
      <c r="BU259" s="107"/>
      <c r="BV259" s="107"/>
      <c r="BW259" s="107"/>
      <c r="BX259" s="107"/>
      <c r="BY259" s="107"/>
      <c r="BZ259" s="107"/>
      <c r="CA259" s="107"/>
      <c r="CB259" s="107"/>
      <c r="CC259" s="107"/>
      <c r="CD259" s="107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2"/>
      <c r="CR259" s="102"/>
      <c r="CS259" s="102"/>
      <c r="CT259" s="102"/>
      <c r="CU259" s="102"/>
      <c r="CV259" s="102"/>
      <c r="CW259" s="102"/>
      <c r="CX259" s="102"/>
      <c r="CY259" s="102"/>
      <c r="CZ259" s="102"/>
      <c r="DA259" s="102"/>
      <c r="DB259" s="102"/>
      <c r="DC259" s="102"/>
      <c r="DD259" s="102"/>
      <c r="DE259" s="102"/>
      <c r="DF259" s="102"/>
      <c r="DG259" s="102"/>
      <c r="DH259" s="102"/>
      <c r="DI259" s="102"/>
      <c r="DJ259" s="102"/>
      <c r="DK259" s="102"/>
      <c r="DL259" s="102"/>
      <c r="DM259" s="102"/>
      <c r="DN259" s="102"/>
      <c r="DO259" s="102"/>
      <c r="DP259" s="102"/>
    </row>
    <row r="260" spans="1:120" x14ac:dyDescent="0.25">
      <c r="A260" s="4"/>
      <c r="D260"/>
      <c r="E260"/>
      <c r="F260"/>
      <c r="J260" s="68" t="str">
        <f t="shared" si="105"/>
        <v/>
      </c>
      <c r="K260" s="68" t="str">
        <f t="shared" si="106"/>
        <v/>
      </c>
      <c r="L260" s="69" t="str">
        <f t="shared" si="107"/>
        <v/>
      </c>
      <c r="M260" s="69" t="str">
        <f t="shared" si="108"/>
        <v/>
      </c>
      <c r="N260" s="69" t="str">
        <f>IF(A260="","",Tabela1[[#This Row],[PTC]]*Tabela1[[#This Row],[ODDC]])</f>
        <v/>
      </c>
      <c r="O260" s="69" t="str">
        <f>IF(A260="","",Tabela1[[#This Row],[PTV]]*Tabela1[[#This Row],[ODDV]])</f>
        <v/>
      </c>
      <c r="P260" s="68" t="str">
        <f t="shared" si="109"/>
        <v/>
      </c>
      <c r="Q260" s="68" t="str">
        <f t="shared" si="110"/>
        <v/>
      </c>
      <c r="R260" s="68" t="str">
        <f t="shared" si="111"/>
        <v/>
      </c>
      <c r="S260" s="68" t="str">
        <f t="shared" si="112"/>
        <v/>
      </c>
      <c r="T260" s="68" t="str">
        <f>IF(A260="","",IF(F260="D",Tabela1[[#This Row],[ODDE]]-1,-1))</f>
        <v/>
      </c>
      <c r="U260" s="70" t="str">
        <f>IF(A260="","",IF(AND(Tabela1[[#This Row],[FTHG]]&gt;3,F260="H"),1,0))</f>
        <v/>
      </c>
      <c r="V260" s="70" t="str">
        <f>IF(A260="","",IF(AND(Tabela1[[#This Row],[FTAG]]&gt;3,F260="A"),1,0))</f>
        <v/>
      </c>
      <c r="W260" s="70" t="str">
        <f t="shared" si="113"/>
        <v/>
      </c>
      <c r="X260" s="70" t="str">
        <f t="shared" si="114"/>
        <v/>
      </c>
      <c r="Y260" s="71" t="str">
        <f t="shared" si="115"/>
        <v/>
      </c>
      <c r="Z260" s="70" t="str">
        <f t="shared" si="116"/>
        <v/>
      </c>
      <c r="AA260" s="70" t="str">
        <f t="shared" si="117"/>
        <v/>
      </c>
      <c r="AB260" s="70" t="str">
        <f t="shared" si="118"/>
        <v/>
      </c>
      <c r="AC260" s="71" t="str">
        <f t="shared" si="119"/>
        <v/>
      </c>
      <c r="AD260" s="72" t="str">
        <f t="shared" si="120"/>
        <v/>
      </c>
      <c r="AE260" s="73" t="str">
        <f>IF(A260="","",COUNT($N$2:N260))</f>
        <v/>
      </c>
      <c r="AF260" s="74" t="str">
        <f t="shared" si="121"/>
        <v/>
      </c>
      <c r="AG260" s="74" t="str">
        <f t="shared" si="122"/>
        <v/>
      </c>
      <c r="AH260" s="74" t="str">
        <f t="shared" si="123"/>
        <v/>
      </c>
      <c r="AI260" s="74" t="str">
        <f t="shared" si="124"/>
        <v/>
      </c>
      <c r="AJ260" s="74" t="str">
        <f t="shared" si="125"/>
        <v/>
      </c>
      <c r="AK260" s="74" t="str">
        <f>IF(A260="","",1/Tabela1[[#This Row],[ODDC]])</f>
        <v/>
      </c>
      <c r="AL260" s="74" t="str">
        <f>IF(A260="","",1/Tabela1[[#This Row],[ODDE]])</f>
        <v/>
      </c>
      <c r="AM260" s="74" t="str">
        <f>IF(A260="","",1/Tabela1[[#This Row],[ODDV]])</f>
        <v/>
      </c>
      <c r="AN260" s="74" t="str">
        <f>IF(A260="","",1-(Tabela1[[#This Row],[p(H)]]+Tabela1[[#This Row],[p(D)]]+Tabela1[[#This Row],[p(A)]]))</f>
        <v/>
      </c>
      <c r="AO260" s="74" t="str">
        <f>IF(A260="","",IFERROR(Tabela1[[#This Row],[p(H)]]/Tabela1[[#This Row],[FTHG]],1))</f>
        <v/>
      </c>
      <c r="AP260" s="74" t="str">
        <f>IF(A260="","",IFERROR(Tabela1[[#This Row],[p(A)]]/Tabela1[[#This Row],[FTAG]],1))</f>
        <v/>
      </c>
      <c r="AQ260" s="107"/>
      <c r="AR260" s="107"/>
      <c r="AS260" s="107"/>
      <c r="AT260" s="107"/>
      <c r="AU260" s="107"/>
      <c r="AV260" s="107"/>
      <c r="AW260" s="107"/>
      <c r="AX260" s="107"/>
      <c r="AY260" s="107"/>
      <c r="AZ260" s="107"/>
      <c r="BA260" s="107"/>
      <c r="BB260" s="107"/>
      <c r="BC260" s="107"/>
      <c r="BD260" s="107"/>
      <c r="BE260" s="107"/>
      <c r="BF260" s="107"/>
      <c r="BG260" s="107"/>
      <c r="BH260" s="107"/>
      <c r="BI260" s="107"/>
      <c r="BJ260" s="107"/>
      <c r="BK260" s="107"/>
      <c r="BL260" s="107"/>
      <c r="BM260" s="107"/>
      <c r="BN260" s="107"/>
      <c r="BO260" s="107"/>
      <c r="BP260" s="107"/>
      <c r="BQ260" s="107"/>
      <c r="BR260" s="107"/>
      <c r="BS260" s="107"/>
      <c r="BT260" s="107"/>
      <c r="BU260" s="107"/>
      <c r="BV260" s="107"/>
      <c r="BW260" s="107"/>
      <c r="BX260" s="107"/>
      <c r="BY260" s="107"/>
      <c r="BZ260" s="107"/>
      <c r="CA260" s="107"/>
      <c r="CB260" s="107"/>
      <c r="CC260" s="107"/>
      <c r="CD260" s="107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2"/>
      <c r="CR260" s="102"/>
      <c r="CS260" s="102"/>
      <c r="CT260" s="102"/>
      <c r="CU260" s="102"/>
      <c r="CV260" s="102"/>
      <c r="CW260" s="102"/>
      <c r="CX260" s="102"/>
      <c r="CY260" s="102"/>
      <c r="CZ260" s="102"/>
      <c r="DA260" s="102"/>
      <c r="DB260" s="102"/>
      <c r="DC260" s="102"/>
      <c r="DD260" s="102"/>
      <c r="DE260" s="102"/>
      <c r="DF260" s="102"/>
      <c r="DG260" s="102"/>
      <c r="DH260" s="102"/>
      <c r="DI260" s="102"/>
      <c r="DJ260" s="102"/>
      <c r="DK260" s="102"/>
      <c r="DL260" s="102"/>
      <c r="DM260" s="102"/>
      <c r="DN260" s="102"/>
      <c r="DO260" s="102"/>
      <c r="DP260" s="102"/>
    </row>
    <row r="261" spans="1:120" x14ac:dyDescent="0.25">
      <c r="A261" s="4"/>
      <c r="D261"/>
      <c r="E261"/>
      <c r="F261"/>
      <c r="J261" s="68" t="str">
        <f t="shared" si="105"/>
        <v/>
      </c>
      <c r="K261" s="68" t="str">
        <f t="shared" si="106"/>
        <v/>
      </c>
      <c r="L261" s="69" t="str">
        <f t="shared" si="107"/>
        <v/>
      </c>
      <c r="M261" s="69" t="str">
        <f t="shared" si="108"/>
        <v/>
      </c>
      <c r="N261" s="69" t="str">
        <f>IF(A261="","",Tabela1[[#This Row],[PTC]]*Tabela1[[#This Row],[ODDC]])</f>
        <v/>
      </c>
      <c r="O261" s="69" t="str">
        <f>IF(A261="","",Tabela1[[#This Row],[PTV]]*Tabela1[[#This Row],[ODDV]])</f>
        <v/>
      </c>
      <c r="P261" s="68" t="str">
        <f t="shared" si="109"/>
        <v/>
      </c>
      <c r="Q261" s="68" t="str">
        <f t="shared" si="110"/>
        <v/>
      </c>
      <c r="R261" s="68" t="str">
        <f t="shared" si="111"/>
        <v/>
      </c>
      <c r="S261" s="68" t="str">
        <f t="shared" si="112"/>
        <v/>
      </c>
      <c r="T261" s="68" t="str">
        <f>IF(A261="","",IF(F261="D",Tabela1[[#This Row],[ODDE]]-1,-1))</f>
        <v/>
      </c>
      <c r="U261" s="70" t="str">
        <f>IF(A261="","",IF(AND(Tabela1[[#This Row],[FTHG]]&gt;3,F261="H"),1,0))</f>
        <v/>
      </c>
      <c r="V261" s="70" t="str">
        <f>IF(A261="","",IF(AND(Tabela1[[#This Row],[FTAG]]&gt;3,F261="A"),1,0))</f>
        <v/>
      </c>
      <c r="W261" s="70" t="str">
        <f t="shared" si="113"/>
        <v/>
      </c>
      <c r="X261" s="70" t="str">
        <f t="shared" si="114"/>
        <v/>
      </c>
      <c r="Y261" s="71" t="str">
        <f t="shared" si="115"/>
        <v/>
      </c>
      <c r="Z261" s="70" t="str">
        <f t="shared" si="116"/>
        <v/>
      </c>
      <c r="AA261" s="70" t="str">
        <f t="shared" si="117"/>
        <v/>
      </c>
      <c r="AB261" s="70" t="str">
        <f t="shared" si="118"/>
        <v/>
      </c>
      <c r="AC261" s="71" t="str">
        <f t="shared" si="119"/>
        <v/>
      </c>
      <c r="AD261" s="72" t="str">
        <f t="shared" si="120"/>
        <v/>
      </c>
      <c r="AE261" s="73" t="str">
        <f>IF(A261="","",COUNT($N$2:N261))</f>
        <v/>
      </c>
      <c r="AF261" s="74" t="str">
        <f t="shared" si="121"/>
        <v/>
      </c>
      <c r="AG261" s="74" t="str">
        <f t="shared" si="122"/>
        <v/>
      </c>
      <c r="AH261" s="74" t="str">
        <f t="shared" si="123"/>
        <v/>
      </c>
      <c r="AI261" s="74" t="str">
        <f t="shared" si="124"/>
        <v/>
      </c>
      <c r="AJ261" s="74" t="str">
        <f t="shared" si="125"/>
        <v/>
      </c>
      <c r="AK261" s="74" t="str">
        <f>IF(A261="","",1/Tabela1[[#This Row],[ODDC]])</f>
        <v/>
      </c>
      <c r="AL261" s="74" t="str">
        <f>IF(A261="","",1/Tabela1[[#This Row],[ODDE]])</f>
        <v/>
      </c>
      <c r="AM261" s="74" t="str">
        <f>IF(A261="","",1/Tabela1[[#This Row],[ODDV]])</f>
        <v/>
      </c>
      <c r="AN261" s="74" t="str">
        <f>IF(A261="","",1-(Tabela1[[#This Row],[p(H)]]+Tabela1[[#This Row],[p(D)]]+Tabela1[[#This Row],[p(A)]]))</f>
        <v/>
      </c>
      <c r="AO261" s="74" t="str">
        <f>IF(A261="","",IFERROR(Tabela1[[#This Row],[p(H)]]/Tabela1[[#This Row],[FTHG]],1))</f>
        <v/>
      </c>
      <c r="AP261" s="74" t="str">
        <f>IF(A261="","",IFERROR(Tabela1[[#This Row],[p(A)]]/Tabela1[[#This Row],[FTAG]],1))</f>
        <v/>
      </c>
      <c r="AQ261" s="107"/>
      <c r="AR261" s="107"/>
      <c r="AS261" s="107"/>
      <c r="AT261" s="107"/>
      <c r="AU261" s="107"/>
      <c r="AV261" s="107"/>
      <c r="AW261" s="107"/>
      <c r="AX261" s="107"/>
      <c r="AY261" s="107"/>
      <c r="AZ261" s="107"/>
      <c r="BA261" s="107"/>
      <c r="BB261" s="107"/>
      <c r="BC261" s="107"/>
      <c r="BD261" s="107"/>
      <c r="BE261" s="107"/>
      <c r="BF261" s="107"/>
      <c r="BG261" s="107"/>
      <c r="BH261" s="107"/>
      <c r="BI261" s="107"/>
      <c r="BJ261" s="107"/>
      <c r="BK261" s="107"/>
      <c r="BL261" s="107"/>
      <c r="BM261" s="107"/>
      <c r="BN261" s="107"/>
      <c r="BO261" s="107"/>
      <c r="BP261" s="107"/>
      <c r="BQ261" s="107"/>
      <c r="BR261" s="107"/>
      <c r="BS261" s="107"/>
      <c r="BT261" s="107"/>
      <c r="BU261" s="107"/>
      <c r="BV261" s="107"/>
      <c r="BW261" s="107"/>
      <c r="BX261" s="107"/>
      <c r="BY261" s="107"/>
      <c r="BZ261" s="107"/>
      <c r="CA261" s="107"/>
      <c r="CB261" s="107"/>
      <c r="CC261" s="107"/>
      <c r="CD261" s="107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2"/>
      <c r="CR261" s="102"/>
      <c r="CS261" s="102"/>
      <c r="CT261" s="102"/>
      <c r="CU261" s="102"/>
      <c r="CV261" s="102"/>
      <c r="CW261" s="102"/>
      <c r="CX261" s="102"/>
      <c r="CY261" s="102"/>
      <c r="CZ261" s="102"/>
      <c r="DA261" s="102"/>
      <c r="DB261" s="102"/>
      <c r="DC261" s="102"/>
      <c r="DD261" s="102"/>
      <c r="DE261" s="102"/>
      <c r="DF261" s="102"/>
      <c r="DG261" s="102"/>
      <c r="DH261" s="102"/>
      <c r="DI261" s="102"/>
      <c r="DJ261" s="102"/>
      <c r="DK261" s="102"/>
      <c r="DL261" s="102"/>
      <c r="DM261" s="102"/>
      <c r="DN261" s="102"/>
      <c r="DO261" s="102"/>
      <c r="DP261" s="102"/>
    </row>
    <row r="262" spans="1:120" x14ac:dyDescent="0.25">
      <c r="A262" s="4"/>
      <c r="D262"/>
      <c r="E262"/>
      <c r="F262"/>
      <c r="J262" s="68" t="str">
        <f t="shared" si="105"/>
        <v/>
      </c>
      <c r="K262" s="68" t="str">
        <f t="shared" si="106"/>
        <v/>
      </c>
      <c r="L262" s="69" t="str">
        <f t="shared" si="107"/>
        <v/>
      </c>
      <c r="M262" s="69" t="str">
        <f t="shared" si="108"/>
        <v/>
      </c>
      <c r="N262" s="69" t="str">
        <f>IF(A262="","",Tabela1[[#This Row],[PTC]]*Tabela1[[#This Row],[ODDC]])</f>
        <v/>
      </c>
      <c r="O262" s="69" t="str">
        <f>IF(A262="","",Tabela1[[#This Row],[PTV]]*Tabela1[[#This Row],[ODDV]])</f>
        <v/>
      </c>
      <c r="P262" s="68" t="str">
        <f t="shared" si="109"/>
        <v/>
      </c>
      <c r="Q262" s="68" t="str">
        <f t="shared" si="110"/>
        <v/>
      </c>
      <c r="R262" s="68" t="str">
        <f t="shared" si="111"/>
        <v/>
      </c>
      <c r="S262" s="68" t="str">
        <f t="shared" si="112"/>
        <v/>
      </c>
      <c r="T262" s="68" t="str">
        <f>IF(A262="","",IF(F262="D",Tabela1[[#This Row],[ODDE]]-1,-1))</f>
        <v/>
      </c>
      <c r="U262" s="70" t="str">
        <f>IF(A262="","",IF(AND(Tabela1[[#This Row],[FTHG]]&gt;3,F262="H"),1,0))</f>
        <v/>
      </c>
      <c r="V262" s="70" t="str">
        <f>IF(A262="","",IF(AND(Tabela1[[#This Row],[FTAG]]&gt;3,F262="A"),1,0))</f>
        <v/>
      </c>
      <c r="W262" s="70" t="str">
        <f t="shared" si="113"/>
        <v/>
      </c>
      <c r="X262" s="70" t="str">
        <f t="shared" si="114"/>
        <v/>
      </c>
      <c r="Y262" s="71" t="str">
        <f t="shared" si="115"/>
        <v/>
      </c>
      <c r="Z262" s="70" t="str">
        <f t="shared" si="116"/>
        <v/>
      </c>
      <c r="AA262" s="70" t="str">
        <f t="shared" si="117"/>
        <v/>
      </c>
      <c r="AB262" s="70" t="str">
        <f t="shared" si="118"/>
        <v/>
      </c>
      <c r="AC262" s="71" t="str">
        <f t="shared" si="119"/>
        <v/>
      </c>
      <c r="AD262" s="72" t="str">
        <f t="shared" si="120"/>
        <v/>
      </c>
      <c r="AE262" s="73" t="str">
        <f>IF(A262="","",COUNT($N$2:N262))</f>
        <v/>
      </c>
      <c r="AF262" s="74" t="str">
        <f t="shared" si="121"/>
        <v/>
      </c>
      <c r="AG262" s="74" t="str">
        <f t="shared" si="122"/>
        <v/>
      </c>
      <c r="AH262" s="74" t="str">
        <f t="shared" si="123"/>
        <v/>
      </c>
      <c r="AI262" s="74" t="str">
        <f t="shared" si="124"/>
        <v/>
      </c>
      <c r="AJ262" s="74" t="str">
        <f t="shared" si="125"/>
        <v/>
      </c>
      <c r="AK262" s="74" t="str">
        <f>IF(A262="","",1/Tabela1[[#This Row],[ODDC]])</f>
        <v/>
      </c>
      <c r="AL262" s="74" t="str">
        <f>IF(A262="","",1/Tabela1[[#This Row],[ODDE]])</f>
        <v/>
      </c>
      <c r="AM262" s="74" t="str">
        <f>IF(A262="","",1/Tabela1[[#This Row],[ODDV]])</f>
        <v/>
      </c>
      <c r="AN262" s="74" t="str">
        <f>IF(A262="","",1-(Tabela1[[#This Row],[p(H)]]+Tabela1[[#This Row],[p(D)]]+Tabela1[[#This Row],[p(A)]]))</f>
        <v/>
      </c>
      <c r="AO262" s="74" t="str">
        <f>IF(A262="","",IFERROR(Tabela1[[#This Row],[p(H)]]/Tabela1[[#This Row],[FTHG]],1))</f>
        <v/>
      </c>
      <c r="AP262" s="74" t="str">
        <f>IF(A262="","",IFERROR(Tabela1[[#This Row],[p(A)]]/Tabela1[[#This Row],[FTAG]],1))</f>
        <v/>
      </c>
      <c r="AQ262" s="107"/>
      <c r="AR262" s="107"/>
      <c r="AS262" s="107"/>
      <c r="AT262" s="107"/>
      <c r="AU262" s="107"/>
      <c r="AV262" s="107"/>
      <c r="AW262" s="107"/>
      <c r="AX262" s="107"/>
      <c r="AY262" s="107"/>
      <c r="AZ262" s="107"/>
      <c r="BA262" s="107"/>
      <c r="BB262" s="107"/>
      <c r="BC262" s="107"/>
      <c r="BD262" s="107"/>
      <c r="BE262" s="107"/>
      <c r="BF262" s="107"/>
      <c r="BG262" s="107"/>
      <c r="BH262" s="107"/>
      <c r="BI262" s="107"/>
      <c r="BJ262" s="107"/>
      <c r="BK262" s="107"/>
      <c r="BL262" s="107"/>
      <c r="BM262" s="107"/>
      <c r="BN262" s="107"/>
      <c r="BO262" s="107"/>
      <c r="BP262" s="107"/>
      <c r="BQ262" s="107"/>
      <c r="BR262" s="107"/>
      <c r="BS262" s="107"/>
      <c r="BT262" s="107"/>
      <c r="BU262" s="107"/>
      <c r="BV262" s="107"/>
      <c r="BW262" s="107"/>
      <c r="BX262" s="107"/>
      <c r="BY262" s="107"/>
      <c r="BZ262" s="107"/>
      <c r="CA262" s="107"/>
      <c r="CB262" s="107"/>
      <c r="CC262" s="107"/>
      <c r="CD262" s="107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2"/>
      <c r="CR262" s="102"/>
      <c r="CS262" s="102"/>
      <c r="CT262" s="102"/>
      <c r="CU262" s="102"/>
      <c r="CV262" s="102"/>
      <c r="CW262" s="102"/>
      <c r="CX262" s="102"/>
      <c r="CY262" s="102"/>
      <c r="CZ262" s="102"/>
      <c r="DA262" s="102"/>
      <c r="DB262" s="102"/>
      <c r="DC262" s="102"/>
      <c r="DD262" s="102"/>
      <c r="DE262" s="102"/>
      <c r="DF262" s="102"/>
      <c r="DG262" s="102"/>
      <c r="DH262" s="102"/>
      <c r="DI262" s="102"/>
      <c r="DJ262" s="102"/>
      <c r="DK262" s="102"/>
      <c r="DL262" s="102"/>
      <c r="DM262" s="102"/>
      <c r="DN262" s="102"/>
      <c r="DO262" s="102"/>
      <c r="DP262" s="102"/>
    </row>
    <row r="263" spans="1:120" x14ac:dyDescent="0.25">
      <c r="A263" s="4"/>
      <c r="D263"/>
      <c r="E263"/>
      <c r="F263"/>
      <c r="J263" s="68" t="str">
        <f t="shared" si="105"/>
        <v/>
      </c>
      <c r="K263" s="68" t="str">
        <f t="shared" si="106"/>
        <v/>
      </c>
      <c r="L263" s="69" t="str">
        <f t="shared" si="107"/>
        <v/>
      </c>
      <c r="M263" s="69" t="str">
        <f t="shared" si="108"/>
        <v/>
      </c>
      <c r="N263" s="69" t="str">
        <f>IF(A263="","",Tabela1[[#This Row],[PTC]]*Tabela1[[#This Row],[ODDC]])</f>
        <v/>
      </c>
      <c r="O263" s="69" t="str">
        <f>IF(A263="","",Tabela1[[#This Row],[PTV]]*Tabela1[[#This Row],[ODDV]])</f>
        <v/>
      </c>
      <c r="P263" s="68" t="str">
        <f t="shared" si="109"/>
        <v/>
      </c>
      <c r="Q263" s="68" t="str">
        <f t="shared" si="110"/>
        <v/>
      </c>
      <c r="R263" s="68" t="str">
        <f t="shared" si="111"/>
        <v/>
      </c>
      <c r="S263" s="68" t="str">
        <f t="shared" si="112"/>
        <v/>
      </c>
      <c r="T263" s="68" t="str">
        <f>IF(A263="","",IF(F263="D",Tabela1[[#This Row],[ODDE]]-1,-1))</f>
        <v/>
      </c>
      <c r="U263" s="70" t="str">
        <f>IF(A263="","",IF(AND(Tabela1[[#This Row],[FTHG]]&gt;3,F263="H"),1,0))</f>
        <v/>
      </c>
      <c r="V263" s="70" t="str">
        <f>IF(A263="","",IF(AND(Tabela1[[#This Row],[FTAG]]&gt;3,F263="A"),1,0))</f>
        <v/>
      </c>
      <c r="W263" s="70" t="str">
        <f t="shared" si="113"/>
        <v/>
      </c>
      <c r="X263" s="70" t="str">
        <f t="shared" si="114"/>
        <v/>
      </c>
      <c r="Y263" s="71" t="str">
        <f t="shared" si="115"/>
        <v/>
      </c>
      <c r="Z263" s="70" t="str">
        <f t="shared" si="116"/>
        <v/>
      </c>
      <c r="AA263" s="70" t="str">
        <f t="shared" si="117"/>
        <v/>
      </c>
      <c r="AB263" s="70" t="str">
        <f t="shared" si="118"/>
        <v/>
      </c>
      <c r="AC263" s="71" t="str">
        <f t="shared" si="119"/>
        <v/>
      </c>
      <c r="AD263" s="72" t="str">
        <f t="shared" si="120"/>
        <v/>
      </c>
      <c r="AE263" s="73" t="str">
        <f>IF(A263="","",COUNT($N$2:N263))</f>
        <v/>
      </c>
      <c r="AF263" s="74" t="str">
        <f t="shared" si="121"/>
        <v/>
      </c>
      <c r="AG263" s="74" t="str">
        <f t="shared" si="122"/>
        <v/>
      </c>
      <c r="AH263" s="74" t="str">
        <f t="shared" si="123"/>
        <v/>
      </c>
      <c r="AI263" s="74" t="str">
        <f t="shared" si="124"/>
        <v/>
      </c>
      <c r="AJ263" s="74" t="str">
        <f t="shared" si="125"/>
        <v/>
      </c>
      <c r="AK263" s="74" t="str">
        <f>IF(A263="","",1/Tabela1[[#This Row],[ODDC]])</f>
        <v/>
      </c>
      <c r="AL263" s="74" t="str">
        <f>IF(A263="","",1/Tabela1[[#This Row],[ODDE]])</f>
        <v/>
      </c>
      <c r="AM263" s="74" t="str">
        <f>IF(A263="","",1/Tabela1[[#This Row],[ODDV]])</f>
        <v/>
      </c>
      <c r="AN263" s="74" t="str">
        <f>IF(A263="","",1-(Tabela1[[#This Row],[p(H)]]+Tabela1[[#This Row],[p(D)]]+Tabela1[[#This Row],[p(A)]]))</f>
        <v/>
      </c>
      <c r="AO263" s="74" t="str">
        <f>IF(A263="","",IFERROR(Tabela1[[#This Row],[p(H)]]/Tabela1[[#This Row],[FTHG]],1))</f>
        <v/>
      </c>
      <c r="AP263" s="74" t="str">
        <f>IF(A263="","",IFERROR(Tabela1[[#This Row],[p(A)]]/Tabela1[[#This Row],[FTAG]],1))</f>
        <v/>
      </c>
      <c r="AQ263" s="107"/>
      <c r="AR263" s="107"/>
      <c r="AS263" s="107"/>
      <c r="AT263" s="107"/>
      <c r="AU263" s="107"/>
      <c r="AV263" s="107"/>
      <c r="AW263" s="107"/>
      <c r="AX263" s="107"/>
      <c r="AY263" s="107"/>
      <c r="AZ263" s="107"/>
      <c r="BA263" s="107"/>
      <c r="BB263" s="107"/>
      <c r="BC263" s="107"/>
      <c r="BD263" s="107"/>
      <c r="BE263" s="107"/>
      <c r="BF263" s="107"/>
      <c r="BG263" s="107"/>
      <c r="BH263" s="107"/>
      <c r="BI263" s="107"/>
      <c r="BJ263" s="107"/>
      <c r="BK263" s="107"/>
      <c r="BL263" s="107"/>
      <c r="BM263" s="107"/>
      <c r="BN263" s="107"/>
      <c r="BO263" s="107"/>
      <c r="BP263" s="107"/>
      <c r="BQ263" s="107"/>
      <c r="BR263" s="107"/>
      <c r="BS263" s="107"/>
      <c r="BT263" s="107"/>
      <c r="BU263" s="107"/>
      <c r="BV263" s="107"/>
      <c r="BW263" s="107"/>
      <c r="BX263" s="107"/>
      <c r="BY263" s="107"/>
      <c r="BZ263" s="107"/>
      <c r="CA263" s="107"/>
      <c r="CB263" s="107"/>
      <c r="CC263" s="107"/>
      <c r="CD263" s="107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2"/>
      <c r="CR263" s="102"/>
      <c r="CS263" s="102"/>
      <c r="CT263" s="102"/>
      <c r="CU263" s="102"/>
      <c r="CV263" s="102"/>
      <c r="CW263" s="102"/>
      <c r="CX263" s="102"/>
      <c r="CY263" s="102"/>
      <c r="CZ263" s="102"/>
      <c r="DA263" s="102"/>
      <c r="DB263" s="102"/>
      <c r="DC263" s="102"/>
      <c r="DD263" s="102"/>
      <c r="DE263" s="102"/>
      <c r="DF263" s="102"/>
      <c r="DG263" s="102"/>
      <c r="DH263" s="102"/>
      <c r="DI263" s="102"/>
      <c r="DJ263" s="102"/>
      <c r="DK263" s="102"/>
      <c r="DL263" s="102"/>
      <c r="DM263" s="102"/>
      <c r="DN263" s="102"/>
      <c r="DO263" s="102"/>
      <c r="DP263" s="102"/>
    </row>
    <row r="264" spans="1:120" x14ac:dyDescent="0.25">
      <c r="A264" s="4"/>
      <c r="D264"/>
      <c r="E264"/>
      <c r="F264"/>
      <c r="J264" s="68" t="str">
        <f t="shared" si="105"/>
        <v/>
      </c>
      <c r="K264" s="68" t="str">
        <f t="shared" si="106"/>
        <v/>
      </c>
      <c r="L264" s="69" t="str">
        <f t="shared" si="107"/>
        <v/>
      </c>
      <c r="M264" s="69" t="str">
        <f t="shared" si="108"/>
        <v/>
      </c>
      <c r="N264" s="69" t="str">
        <f>IF(A264="","",Tabela1[[#This Row],[PTC]]*Tabela1[[#This Row],[ODDC]])</f>
        <v/>
      </c>
      <c r="O264" s="69" t="str">
        <f>IF(A264="","",Tabela1[[#This Row],[PTV]]*Tabela1[[#This Row],[ODDV]])</f>
        <v/>
      </c>
      <c r="P264" s="68" t="str">
        <f t="shared" si="109"/>
        <v/>
      </c>
      <c r="Q264" s="68" t="str">
        <f t="shared" si="110"/>
        <v/>
      </c>
      <c r="R264" s="68" t="str">
        <f t="shared" si="111"/>
        <v/>
      </c>
      <c r="S264" s="68" t="str">
        <f t="shared" si="112"/>
        <v/>
      </c>
      <c r="T264" s="68" t="str">
        <f>IF(A264="","",IF(F264="D",Tabela1[[#This Row],[ODDE]]-1,-1))</f>
        <v/>
      </c>
      <c r="U264" s="70" t="str">
        <f>IF(A264="","",IF(AND(Tabela1[[#This Row],[FTHG]]&gt;3,F264="H"),1,0))</f>
        <v/>
      </c>
      <c r="V264" s="70" t="str">
        <f>IF(A264="","",IF(AND(Tabela1[[#This Row],[FTAG]]&gt;3,F264="A"),1,0))</f>
        <v/>
      </c>
      <c r="W264" s="70" t="str">
        <f t="shared" si="113"/>
        <v/>
      </c>
      <c r="X264" s="70" t="str">
        <f t="shared" si="114"/>
        <v/>
      </c>
      <c r="Y264" s="71" t="str">
        <f t="shared" si="115"/>
        <v/>
      </c>
      <c r="Z264" s="70" t="str">
        <f t="shared" si="116"/>
        <v/>
      </c>
      <c r="AA264" s="70" t="str">
        <f t="shared" si="117"/>
        <v/>
      </c>
      <c r="AB264" s="70" t="str">
        <f t="shared" si="118"/>
        <v/>
      </c>
      <c r="AC264" s="71" t="str">
        <f t="shared" si="119"/>
        <v/>
      </c>
      <c r="AD264" s="72" t="str">
        <f t="shared" si="120"/>
        <v/>
      </c>
      <c r="AE264" s="73" t="str">
        <f>IF(A264="","",COUNT($N$2:N264))</f>
        <v/>
      </c>
      <c r="AF264" s="74" t="str">
        <f t="shared" si="121"/>
        <v/>
      </c>
      <c r="AG264" s="74" t="str">
        <f t="shared" si="122"/>
        <v/>
      </c>
      <c r="AH264" s="74" t="str">
        <f t="shared" si="123"/>
        <v/>
      </c>
      <c r="AI264" s="74" t="str">
        <f t="shared" si="124"/>
        <v/>
      </c>
      <c r="AJ264" s="74" t="str">
        <f t="shared" si="125"/>
        <v/>
      </c>
      <c r="AK264" s="74" t="str">
        <f>IF(A264="","",1/Tabela1[[#This Row],[ODDC]])</f>
        <v/>
      </c>
      <c r="AL264" s="74" t="str">
        <f>IF(A264="","",1/Tabela1[[#This Row],[ODDE]])</f>
        <v/>
      </c>
      <c r="AM264" s="74" t="str">
        <f>IF(A264="","",1/Tabela1[[#This Row],[ODDV]])</f>
        <v/>
      </c>
      <c r="AN264" s="74" t="str">
        <f>IF(A264="","",1-(Tabela1[[#This Row],[p(H)]]+Tabela1[[#This Row],[p(D)]]+Tabela1[[#This Row],[p(A)]]))</f>
        <v/>
      </c>
      <c r="AO264" s="74" t="str">
        <f>IF(A264="","",IFERROR(Tabela1[[#This Row],[p(H)]]/Tabela1[[#This Row],[FTHG]],1))</f>
        <v/>
      </c>
      <c r="AP264" s="74" t="str">
        <f>IF(A264="","",IFERROR(Tabela1[[#This Row],[p(A)]]/Tabela1[[#This Row],[FTAG]],1))</f>
        <v/>
      </c>
      <c r="AQ264" s="107"/>
      <c r="AR264" s="107"/>
      <c r="AS264" s="107"/>
      <c r="AT264" s="107"/>
      <c r="AU264" s="107"/>
      <c r="AV264" s="107"/>
      <c r="AW264" s="107"/>
      <c r="AX264" s="107"/>
      <c r="AY264" s="107"/>
      <c r="AZ264" s="107"/>
      <c r="BA264" s="107"/>
      <c r="BB264" s="107"/>
      <c r="BC264" s="107"/>
      <c r="BD264" s="107"/>
      <c r="BE264" s="107"/>
      <c r="BF264" s="107"/>
      <c r="BG264" s="107"/>
      <c r="BH264" s="107"/>
      <c r="BI264" s="107"/>
      <c r="BJ264" s="107"/>
      <c r="BK264" s="107"/>
      <c r="BL264" s="107"/>
      <c r="BM264" s="107"/>
      <c r="BN264" s="107"/>
      <c r="BO264" s="107"/>
      <c r="BP264" s="107"/>
      <c r="BQ264" s="107"/>
      <c r="BR264" s="107"/>
      <c r="BS264" s="107"/>
      <c r="BT264" s="107"/>
      <c r="BU264" s="107"/>
      <c r="BV264" s="107"/>
      <c r="BW264" s="107"/>
      <c r="BX264" s="107"/>
      <c r="BY264" s="107"/>
      <c r="BZ264" s="107"/>
      <c r="CA264" s="107"/>
      <c r="CB264" s="107"/>
      <c r="CC264" s="107"/>
      <c r="CD264" s="107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  <c r="DH264" s="102"/>
      <c r="DI264" s="102"/>
      <c r="DJ264" s="102"/>
      <c r="DK264" s="102"/>
      <c r="DL264" s="102"/>
      <c r="DM264" s="102"/>
      <c r="DN264" s="102"/>
      <c r="DO264" s="102"/>
      <c r="DP264" s="102"/>
    </row>
    <row r="265" spans="1:120" x14ac:dyDescent="0.25">
      <c r="A265" s="4"/>
      <c r="D265"/>
      <c r="E265"/>
      <c r="F265"/>
      <c r="J265" s="68" t="str">
        <f t="shared" si="105"/>
        <v/>
      </c>
      <c r="K265" s="68" t="str">
        <f t="shared" si="106"/>
        <v/>
      </c>
      <c r="L265" s="69" t="str">
        <f t="shared" si="107"/>
        <v/>
      </c>
      <c r="M265" s="69" t="str">
        <f t="shared" si="108"/>
        <v/>
      </c>
      <c r="N265" s="69" t="str">
        <f>IF(A265="","",Tabela1[[#This Row],[PTC]]*Tabela1[[#This Row],[ODDC]])</f>
        <v/>
      </c>
      <c r="O265" s="69" t="str">
        <f>IF(A265="","",Tabela1[[#This Row],[PTV]]*Tabela1[[#This Row],[ODDV]])</f>
        <v/>
      </c>
      <c r="P265" s="68" t="str">
        <f t="shared" si="109"/>
        <v/>
      </c>
      <c r="Q265" s="68" t="str">
        <f t="shared" si="110"/>
        <v/>
      </c>
      <c r="R265" s="68" t="str">
        <f t="shared" si="111"/>
        <v/>
      </c>
      <c r="S265" s="68" t="str">
        <f t="shared" si="112"/>
        <v/>
      </c>
      <c r="T265" s="68" t="str">
        <f>IF(A265="","",IF(F265="D",Tabela1[[#This Row],[ODDE]]-1,-1))</f>
        <v/>
      </c>
      <c r="U265" s="70" t="str">
        <f>IF(A265="","",IF(AND(Tabela1[[#This Row],[FTHG]]&gt;3,F265="H"),1,0))</f>
        <v/>
      </c>
      <c r="V265" s="70" t="str">
        <f>IF(A265="","",IF(AND(Tabela1[[#This Row],[FTAG]]&gt;3,F265="A"),1,0))</f>
        <v/>
      </c>
      <c r="W265" s="70" t="str">
        <f t="shared" si="113"/>
        <v/>
      </c>
      <c r="X265" s="70" t="str">
        <f t="shared" si="114"/>
        <v/>
      </c>
      <c r="Y265" s="71" t="str">
        <f t="shared" si="115"/>
        <v/>
      </c>
      <c r="Z265" s="70" t="str">
        <f t="shared" si="116"/>
        <v/>
      </c>
      <c r="AA265" s="70" t="str">
        <f t="shared" si="117"/>
        <v/>
      </c>
      <c r="AB265" s="70" t="str">
        <f t="shared" si="118"/>
        <v/>
      </c>
      <c r="AC265" s="71" t="str">
        <f t="shared" si="119"/>
        <v/>
      </c>
      <c r="AD265" s="72" t="str">
        <f t="shared" si="120"/>
        <v/>
      </c>
      <c r="AE265" s="73" t="str">
        <f>IF(A265="","",COUNT($N$2:N265))</f>
        <v/>
      </c>
      <c r="AF265" s="74" t="str">
        <f t="shared" si="121"/>
        <v/>
      </c>
      <c r="AG265" s="74" t="str">
        <f t="shared" si="122"/>
        <v/>
      </c>
      <c r="AH265" s="74" t="str">
        <f t="shared" si="123"/>
        <v/>
      </c>
      <c r="AI265" s="74" t="str">
        <f t="shared" si="124"/>
        <v/>
      </c>
      <c r="AJ265" s="74" t="str">
        <f t="shared" si="125"/>
        <v/>
      </c>
      <c r="AK265" s="74" t="str">
        <f>IF(A265="","",1/Tabela1[[#This Row],[ODDC]])</f>
        <v/>
      </c>
      <c r="AL265" s="74" t="str">
        <f>IF(A265="","",1/Tabela1[[#This Row],[ODDE]])</f>
        <v/>
      </c>
      <c r="AM265" s="74" t="str">
        <f>IF(A265="","",1/Tabela1[[#This Row],[ODDV]])</f>
        <v/>
      </c>
      <c r="AN265" s="74" t="str">
        <f>IF(A265="","",1-(Tabela1[[#This Row],[p(H)]]+Tabela1[[#This Row],[p(D)]]+Tabela1[[#This Row],[p(A)]]))</f>
        <v/>
      </c>
      <c r="AO265" s="74" t="str">
        <f>IF(A265="","",IFERROR(Tabela1[[#This Row],[p(H)]]/Tabela1[[#This Row],[FTHG]],1))</f>
        <v/>
      </c>
      <c r="AP265" s="74" t="str">
        <f>IF(A265="","",IFERROR(Tabela1[[#This Row],[p(A)]]/Tabela1[[#This Row],[FTAG]],1))</f>
        <v/>
      </c>
      <c r="AQ265" s="107"/>
      <c r="AR265" s="107"/>
      <c r="AS265" s="107"/>
      <c r="AT265" s="107"/>
      <c r="AU265" s="107"/>
      <c r="AV265" s="107"/>
      <c r="AW265" s="107"/>
      <c r="AX265" s="107"/>
      <c r="AY265" s="107"/>
      <c r="AZ265" s="107"/>
      <c r="BA265" s="107"/>
      <c r="BB265" s="107"/>
      <c r="BC265" s="107"/>
      <c r="BD265" s="107"/>
      <c r="BE265" s="107"/>
      <c r="BF265" s="107"/>
      <c r="BG265" s="107"/>
      <c r="BH265" s="107"/>
      <c r="BI265" s="107"/>
      <c r="BJ265" s="107"/>
      <c r="BK265" s="107"/>
      <c r="BL265" s="107"/>
      <c r="BM265" s="107"/>
      <c r="BN265" s="107"/>
      <c r="BO265" s="107"/>
      <c r="BP265" s="107"/>
      <c r="BQ265" s="107"/>
      <c r="BR265" s="107"/>
      <c r="BS265" s="107"/>
      <c r="BT265" s="107"/>
      <c r="BU265" s="107"/>
      <c r="BV265" s="107"/>
      <c r="BW265" s="107"/>
      <c r="BX265" s="107"/>
      <c r="BY265" s="107"/>
      <c r="BZ265" s="107"/>
      <c r="CA265" s="107"/>
      <c r="CB265" s="107"/>
      <c r="CC265" s="107"/>
      <c r="CD265" s="107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2"/>
      <c r="DC265" s="102"/>
      <c r="DD265" s="102"/>
      <c r="DE265" s="102"/>
      <c r="DF265" s="102"/>
      <c r="DG265" s="102"/>
      <c r="DH265" s="102"/>
      <c r="DI265" s="102"/>
      <c r="DJ265" s="102"/>
      <c r="DK265" s="102"/>
      <c r="DL265" s="102"/>
      <c r="DM265" s="102"/>
      <c r="DN265" s="102"/>
      <c r="DO265" s="102"/>
      <c r="DP265" s="102"/>
    </row>
    <row r="266" spans="1:120" x14ac:dyDescent="0.25">
      <c r="A266" s="4"/>
      <c r="D266"/>
      <c r="E266"/>
      <c r="F266"/>
      <c r="J266" s="68" t="str">
        <f t="shared" si="105"/>
        <v/>
      </c>
      <c r="K266" s="68" t="str">
        <f t="shared" si="106"/>
        <v/>
      </c>
      <c r="L266" s="69" t="str">
        <f t="shared" si="107"/>
        <v/>
      </c>
      <c r="M266" s="69" t="str">
        <f t="shared" si="108"/>
        <v/>
      </c>
      <c r="N266" s="69" t="str">
        <f>IF(A266="","",Tabela1[[#This Row],[PTC]]*Tabela1[[#This Row],[ODDC]])</f>
        <v/>
      </c>
      <c r="O266" s="69" t="str">
        <f>IF(A266="","",Tabela1[[#This Row],[PTV]]*Tabela1[[#This Row],[ODDV]])</f>
        <v/>
      </c>
      <c r="P266" s="68" t="str">
        <f t="shared" si="109"/>
        <v/>
      </c>
      <c r="Q266" s="68" t="str">
        <f t="shared" si="110"/>
        <v/>
      </c>
      <c r="R266" s="68" t="str">
        <f t="shared" si="111"/>
        <v/>
      </c>
      <c r="S266" s="68" t="str">
        <f t="shared" si="112"/>
        <v/>
      </c>
      <c r="T266" s="68" t="str">
        <f>IF(A266="","",IF(F266="D",Tabela1[[#This Row],[ODDE]]-1,-1))</f>
        <v/>
      </c>
      <c r="U266" s="70" t="str">
        <f>IF(A266="","",IF(AND(Tabela1[[#This Row],[FTHG]]&gt;3,F266="H"),1,0))</f>
        <v/>
      </c>
      <c r="V266" s="70" t="str">
        <f>IF(A266="","",IF(AND(Tabela1[[#This Row],[FTAG]]&gt;3,F266="A"),1,0))</f>
        <v/>
      </c>
      <c r="W266" s="70" t="str">
        <f t="shared" si="113"/>
        <v/>
      </c>
      <c r="X266" s="70" t="str">
        <f t="shared" si="114"/>
        <v/>
      </c>
      <c r="Y266" s="71" t="str">
        <f t="shared" si="115"/>
        <v/>
      </c>
      <c r="Z266" s="70" t="str">
        <f t="shared" si="116"/>
        <v/>
      </c>
      <c r="AA266" s="70" t="str">
        <f t="shared" si="117"/>
        <v/>
      </c>
      <c r="AB266" s="70" t="str">
        <f t="shared" si="118"/>
        <v/>
      </c>
      <c r="AC266" s="71" t="str">
        <f t="shared" si="119"/>
        <v/>
      </c>
      <c r="AD266" s="72" t="str">
        <f t="shared" si="120"/>
        <v/>
      </c>
      <c r="AE266" s="73" t="str">
        <f>IF(A266="","",COUNT($N$2:N266))</f>
        <v/>
      </c>
      <c r="AF266" s="74" t="str">
        <f t="shared" si="121"/>
        <v/>
      </c>
      <c r="AG266" s="74" t="str">
        <f t="shared" si="122"/>
        <v/>
      </c>
      <c r="AH266" s="74" t="str">
        <f t="shared" si="123"/>
        <v/>
      </c>
      <c r="AI266" s="74" t="str">
        <f t="shared" si="124"/>
        <v/>
      </c>
      <c r="AJ266" s="74" t="str">
        <f t="shared" si="125"/>
        <v/>
      </c>
      <c r="AK266" s="74" t="str">
        <f>IF(A266="","",1/Tabela1[[#This Row],[ODDC]])</f>
        <v/>
      </c>
      <c r="AL266" s="74" t="str">
        <f>IF(A266="","",1/Tabela1[[#This Row],[ODDE]])</f>
        <v/>
      </c>
      <c r="AM266" s="74" t="str">
        <f>IF(A266="","",1/Tabela1[[#This Row],[ODDV]])</f>
        <v/>
      </c>
      <c r="AN266" s="74" t="str">
        <f>IF(A266="","",1-(Tabela1[[#This Row],[p(H)]]+Tabela1[[#This Row],[p(D)]]+Tabela1[[#This Row],[p(A)]]))</f>
        <v/>
      </c>
      <c r="AO266" s="74" t="str">
        <f>IF(A266="","",IFERROR(Tabela1[[#This Row],[p(H)]]/Tabela1[[#This Row],[FTHG]],1))</f>
        <v/>
      </c>
      <c r="AP266" s="74" t="str">
        <f>IF(A266="","",IFERROR(Tabela1[[#This Row],[p(A)]]/Tabela1[[#This Row],[FTAG]],1))</f>
        <v/>
      </c>
      <c r="AQ266" s="107"/>
      <c r="AR266" s="107"/>
      <c r="AS266" s="107"/>
      <c r="AT266" s="107"/>
      <c r="AU266" s="107"/>
      <c r="AV266" s="107"/>
      <c r="AW266" s="107"/>
      <c r="AX266" s="107"/>
      <c r="AY266" s="107"/>
      <c r="AZ266" s="107"/>
      <c r="BA266" s="107"/>
      <c r="BB266" s="107"/>
      <c r="BC266" s="107"/>
      <c r="BD266" s="107"/>
      <c r="BE266" s="107"/>
      <c r="BF266" s="107"/>
      <c r="BG266" s="107"/>
      <c r="BH266" s="107"/>
      <c r="BI266" s="107"/>
      <c r="BJ266" s="107"/>
      <c r="BK266" s="107"/>
      <c r="BL266" s="107"/>
      <c r="BM266" s="107"/>
      <c r="BN266" s="107"/>
      <c r="BO266" s="107"/>
      <c r="BP266" s="107"/>
      <c r="BQ266" s="107"/>
      <c r="BR266" s="107"/>
      <c r="BS266" s="107"/>
      <c r="BT266" s="107"/>
      <c r="BU266" s="107"/>
      <c r="BV266" s="107"/>
      <c r="BW266" s="107"/>
      <c r="BX266" s="107"/>
      <c r="BY266" s="107"/>
      <c r="BZ266" s="107"/>
      <c r="CA266" s="107"/>
      <c r="CB266" s="107"/>
      <c r="CC266" s="107"/>
      <c r="CD266" s="107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2"/>
      <c r="DC266" s="102"/>
      <c r="DD266" s="102"/>
      <c r="DE266" s="102"/>
      <c r="DF266" s="102"/>
      <c r="DG266" s="102"/>
      <c r="DH266" s="102"/>
      <c r="DI266" s="102"/>
      <c r="DJ266" s="102"/>
      <c r="DK266" s="102"/>
      <c r="DL266" s="102"/>
      <c r="DM266" s="102"/>
      <c r="DN266" s="102"/>
      <c r="DO266" s="102"/>
      <c r="DP266" s="102"/>
    </row>
    <row r="267" spans="1:120" x14ac:dyDescent="0.25">
      <c r="A267" s="4"/>
      <c r="D267"/>
      <c r="E267"/>
      <c r="F267"/>
      <c r="J267" s="68" t="str">
        <f t="shared" si="105"/>
        <v/>
      </c>
      <c r="K267" s="68" t="str">
        <f t="shared" si="106"/>
        <v/>
      </c>
      <c r="L267" s="69" t="str">
        <f t="shared" si="107"/>
        <v/>
      </c>
      <c r="M267" s="69" t="str">
        <f t="shared" si="108"/>
        <v/>
      </c>
      <c r="N267" s="69" t="str">
        <f>IF(A267="","",Tabela1[[#This Row],[PTC]]*Tabela1[[#This Row],[ODDC]])</f>
        <v/>
      </c>
      <c r="O267" s="69" t="str">
        <f>IF(A267="","",Tabela1[[#This Row],[PTV]]*Tabela1[[#This Row],[ODDV]])</f>
        <v/>
      </c>
      <c r="P267" s="68" t="str">
        <f t="shared" si="109"/>
        <v/>
      </c>
      <c r="Q267" s="68" t="str">
        <f t="shared" si="110"/>
        <v/>
      </c>
      <c r="R267" s="68" t="str">
        <f t="shared" si="111"/>
        <v/>
      </c>
      <c r="S267" s="68" t="str">
        <f t="shared" si="112"/>
        <v/>
      </c>
      <c r="T267" s="68" t="str">
        <f>IF(A267="","",IF(F267="D",Tabela1[[#This Row],[ODDE]]-1,-1))</f>
        <v/>
      </c>
      <c r="U267" s="70" t="str">
        <f>IF(A267="","",IF(AND(Tabela1[[#This Row],[FTHG]]&gt;3,F267="H"),1,0))</f>
        <v/>
      </c>
      <c r="V267" s="70" t="str">
        <f>IF(A267="","",IF(AND(Tabela1[[#This Row],[FTAG]]&gt;3,F267="A"),1,0))</f>
        <v/>
      </c>
      <c r="W267" s="70" t="str">
        <f t="shared" si="113"/>
        <v/>
      </c>
      <c r="X267" s="70" t="str">
        <f t="shared" si="114"/>
        <v/>
      </c>
      <c r="Y267" s="71" t="str">
        <f t="shared" si="115"/>
        <v/>
      </c>
      <c r="Z267" s="70" t="str">
        <f t="shared" si="116"/>
        <v/>
      </c>
      <c r="AA267" s="70" t="str">
        <f t="shared" si="117"/>
        <v/>
      </c>
      <c r="AB267" s="70" t="str">
        <f t="shared" si="118"/>
        <v/>
      </c>
      <c r="AC267" s="71" t="str">
        <f t="shared" si="119"/>
        <v/>
      </c>
      <c r="AD267" s="72" t="str">
        <f t="shared" si="120"/>
        <v/>
      </c>
      <c r="AE267" s="73" t="str">
        <f>IF(A267="","",COUNT($N$2:N267))</f>
        <v/>
      </c>
      <c r="AF267" s="74" t="str">
        <f t="shared" si="121"/>
        <v/>
      </c>
      <c r="AG267" s="74" t="str">
        <f t="shared" si="122"/>
        <v/>
      </c>
      <c r="AH267" s="74" t="str">
        <f t="shared" si="123"/>
        <v/>
      </c>
      <c r="AI267" s="74" t="str">
        <f t="shared" si="124"/>
        <v/>
      </c>
      <c r="AJ267" s="74" t="str">
        <f t="shared" si="125"/>
        <v/>
      </c>
      <c r="AK267" s="74" t="str">
        <f>IF(A267="","",1/Tabela1[[#This Row],[ODDC]])</f>
        <v/>
      </c>
      <c r="AL267" s="74" t="str">
        <f>IF(A267="","",1/Tabela1[[#This Row],[ODDE]])</f>
        <v/>
      </c>
      <c r="AM267" s="74" t="str">
        <f>IF(A267="","",1/Tabela1[[#This Row],[ODDV]])</f>
        <v/>
      </c>
      <c r="AN267" s="74" t="str">
        <f>IF(A267="","",1-(Tabela1[[#This Row],[p(H)]]+Tabela1[[#This Row],[p(D)]]+Tabela1[[#This Row],[p(A)]]))</f>
        <v/>
      </c>
      <c r="AO267" s="74" t="str">
        <f>IF(A267="","",IFERROR(Tabela1[[#This Row],[p(H)]]/Tabela1[[#This Row],[FTHG]],1))</f>
        <v/>
      </c>
      <c r="AP267" s="74" t="str">
        <f>IF(A267="","",IFERROR(Tabela1[[#This Row],[p(A)]]/Tabela1[[#This Row],[FTAG]],1))</f>
        <v/>
      </c>
      <c r="AQ267" s="107"/>
      <c r="AR267" s="107"/>
      <c r="AS267" s="107"/>
      <c r="AT267" s="107"/>
      <c r="AU267" s="107"/>
      <c r="AV267" s="107"/>
      <c r="AW267" s="107"/>
      <c r="AX267" s="107"/>
      <c r="AY267" s="107"/>
      <c r="AZ267" s="107"/>
      <c r="BA267" s="107"/>
      <c r="BB267" s="107"/>
      <c r="BC267" s="107"/>
      <c r="BD267" s="107"/>
      <c r="BE267" s="107"/>
      <c r="BF267" s="107"/>
      <c r="BG267" s="107"/>
      <c r="BH267" s="107"/>
      <c r="BI267" s="107"/>
      <c r="BJ267" s="107"/>
      <c r="BK267" s="107"/>
      <c r="BL267" s="107"/>
      <c r="BM267" s="107"/>
      <c r="BN267" s="107"/>
      <c r="BO267" s="107"/>
      <c r="BP267" s="107"/>
      <c r="BQ267" s="107"/>
      <c r="BR267" s="107"/>
      <c r="BS267" s="107"/>
      <c r="BT267" s="107"/>
      <c r="BU267" s="107"/>
      <c r="BV267" s="107"/>
      <c r="BW267" s="107"/>
      <c r="BX267" s="107"/>
      <c r="BY267" s="107"/>
      <c r="BZ267" s="107"/>
      <c r="CA267" s="107"/>
      <c r="CB267" s="107"/>
      <c r="CC267" s="107"/>
      <c r="CD267" s="107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2"/>
      <c r="CR267" s="102"/>
      <c r="CS267" s="102"/>
      <c r="CT267" s="102"/>
      <c r="CU267" s="102"/>
      <c r="CV267" s="102"/>
      <c r="CW267" s="102"/>
      <c r="CX267" s="102"/>
      <c r="CY267" s="102"/>
      <c r="CZ267" s="102"/>
      <c r="DA267" s="102"/>
      <c r="DB267" s="102"/>
      <c r="DC267" s="102"/>
      <c r="DD267" s="102"/>
      <c r="DE267" s="102"/>
      <c r="DF267" s="102"/>
      <c r="DG267" s="102"/>
      <c r="DH267" s="102"/>
      <c r="DI267" s="102"/>
      <c r="DJ267" s="102"/>
      <c r="DK267" s="102"/>
      <c r="DL267" s="102"/>
      <c r="DM267" s="102"/>
      <c r="DN267" s="102"/>
      <c r="DO267" s="102"/>
      <c r="DP267" s="102"/>
    </row>
    <row r="268" spans="1:120" x14ac:dyDescent="0.25">
      <c r="A268" s="4"/>
      <c r="D268"/>
      <c r="E268"/>
      <c r="F268"/>
      <c r="J268" s="68" t="str">
        <f t="shared" si="105"/>
        <v/>
      </c>
      <c r="K268" s="68" t="str">
        <f t="shared" si="106"/>
        <v/>
      </c>
      <c r="L268" s="69" t="str">
        <f t="shared" si="107"/>
        <v/>
      </c>
      <c r="M268" s="69" t="str">
        <f t="shared" si="108"/>
        <v/>
      </c>
      <c r="N268" s="69" t="str">
        <f>IF(A268="","",Tabela1[[#This Row],[PTC]]*Tabela1[[#This Row],[ODDC]])</f>
        <v/>
      </c>
      <c r="O268" s="69" t="str">
        <f>IF(A268="","",Tabela1[[#This Row],[PTV]]*Tabela1[[#This Row],[ODDV]])</f>
        <v/>
      </c>
      <c r="P268" s="68" t="str">
        <f t="shared" si="109"/>
        <v/>
      </c>
      <c r="Q268" s="68" t="str">
        <f t="shared" si="110"/>
        <v/>
      </c>
      <c r="R268" s="68" t="str">
        <f t="shared" si="111"/>
        <v/>
      </c>
      <c r="S268" s="68" t="str">
        <f t="shared" si="112"/>
        <v/>
      </c>
      <c r="T268" s="68" t="str">
        <f>IF(A268="","",IF(F268="D",Tabela1[[#This Row],[ODDE]]-1,-1))</f>
        <v/>
      </c>
      <c r="U268" s="70" t="str">
        <f>IF(A268="","",IF(AND(Tabela1[[#This Row],[FTHG]]&gt;3,F268="H"),1,0))</f>
        <v/>
      </c>
      <c r="V268" s="70" t="str">
        <f>IF(A268="","",IF(AND(Tabela1[[#This Row],[FTAG]]&gt;3,F268="A"),1,0))</f>
        <v/>
      </c>
      <c r="W268" s="70" t="str">
        <f t="shared" si="113"/>
        <v/>
      </c>
      <c r="X268" s="70" t="str">
        <f t="shared" si="114"/>
        <v/>
      </c>
      <c r="Y268" s="71" t="str">
        <f t="shared" si="115"/>
        <v/>
      </c>
      <c r="Z268" s="70" t="str">
        <f t="shared" si="116"/>
        <v/>
      </c>
      <c r="AA268" s="70" t="str">
        <f t="shared" si="117"/>
        <v/>
      </c>
      <c r="AB268" s="70" t="str">
        <f t="shared" si="118"/>
        <v/>
      </c>
      <c r="AC268" s="71" t="str">
        <f t="shared" si="119"/>
        <v/>
      </c>
      <c r="AD268" s="72" t="str">
        <f t="shared" si="120"/>
        <v/>
      </c>
      <c r="AE268" s="73" t="str">
        <f>IF(A268="","",COUNT($N$2:N268))</f>
        <v/>
      </c>
      <c r="AF268" s="74" t="str">
        <f t="shared" si="121"/>
        <v/>
      </c>
      <c r="AG268" s="74" t="str">
        <f t="shared" si="122"/>
        <v/>
      </c>
      <c r="AH268" s="74" t="str">
        <f t="shared" si="123"/>
        <v/>
      </c>
      <c r="AI268" s="74" t="str">
        <f t="shared" si="124"/>
        <v/>
      </c>
      <c r="AJ268" s="74" t="str">
        <f t="shared" si="125"/>
        <v/>
      </c>
      <c r="AK268" s="74" t="str">
        <f>IF(A268="","",1/Tabela1[[#This Row],[ODDC]])</f>
        <v/>
      </c>
      <c r="AL268" s="74" t="str">
        <f>IF(A268="","",1/Tabela1[[#This Row],[ODDE]])</f>
        <v/>
      </c>
      <c r="AM268" s="74" t="str">
        <f>IF(A268="","",1/Tabela1[[#This Row],[ODDV]])</f>
        <v/>
      </c>
      <c r="AN268" s="74" t="str">
        <f>IF(A268="","",1-(Tabela1[[#This Row],[p(H)]]+Tabela1[[#This Row],[p(D)]]+Tabela1[[#This Row],[p(A)]]))</f>
        <v/>
      </c>
      <c r="AO268" s="74" t="str">
        <f>IF(A268="","",IFERROR(Tabela1[[#This Row],[p(H)]]/Tabela1[[#This Row],[FTHG]],1))</f>
        <v/>
      </c>
      <c r="AP268" s="74" t="str">
        <f>IF(A268="","",IFERROR(Tabela1[[#This Row],[p(A)]]/Tabela1[[#This Row],[FTAG]],1))</f>
        <v/>
      </c>
      <c r="AQ268" s="107"/>
      <c r="AR268" s="107"/>
      <c r="AS268" s="107"/>
      <c r="AT268" s="107"/>
      <c r="AU268" s="107"/>
      <c r="AV268" s="107"/>
      <c r="AW268" s="107"/>
      <c r="AX268" s="107"/>
      <c r="AY268" s="107"/>
      <c r="AZ268" s="107"/>
      <c r="BA268" s="107"/>
      <c r="BB268" s="107"/>
      <c r="BC268" s="107"/>
      <c r="BD268" s="107"/>
      <c r="BE268" s="107"/>
      <c r="BF268" s="107"/>
      <c r="BG268" s="107"/>
      <c r="BH268" s="107"/>
      <c r="BI268" s="107"/>
      <c r="BJ268" s="107"/>
      <c r="BK268" s="107"/>
      <c r="BL268" s="107"/>
      <c r="BM268" s="107"/>
      <c r="BN268" s="107"/>
      <c r="BO268" s="107"/>
      <c r="BP268" s="107"/>
      <c r="BQ268" s="107"/>
      <c r="BR268" s="107"/>
      <c r="BS268" s="107"/>
      <c r="BT268" s="107"/>
      <c r="BU268" s="107"/>
      <c r="BV268" s="107"/>
      <c r="BW268" s="107"/>
      <c r="BX268" s="107"/>
      <c r="BY268" s="107"/>
      <c r="BZ268" s="107"/>
      <c r="CA268" s="107"/>
      <c r="CB268" s="107"/>
      <c r="CC268" s="107"/>
      <c r="CD268" s="107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2"/>
      <c r="DC268" s="102"/>
      <c r="DD268" s="102"/>
      <c r="DE268" s="102"/>
      <c r="DF268" s="102"/>
      <c r="DG268" s="102"/>
      <c r="DH268" s="102"/>
      <c r="DI268" s="102"/>
      <c r="DJ268" s="102"/>
      <c r="DK268" s="102"/>
      <c r="DL268" s="102"/>
      <c r="DM268" s="102"/>
      <c r="DN268" s="102"/>
      <c r="DO268" s="102"/>
      <c r="DP268" s="102"/>
    </row>
    <row r="269" spans="1:120" x14ac:dyDescent="0.25">
      <c r="A269" s="4"/>
      <c r="D269"/>
      <c r="E269"/>
      <c r="F269"/>
      <c r="J269" s="68" t="str">
        <f t="shared" si="105"/>
        <v/>
      </c>
      <c r="K269" s="68" t="str">
        <f t="shared" si="106"/>
        <v/>
      </c>
      <c r="L269" s="69" t="str">
        <f t="shared" si="107"/>
        <v/>
      </c>
      <c r="M269" s="69" t="str">
        <f t="shared" si="108"/>
        <v/>
      </c>
      <c r="N269" s="69" t="str">
        <f>IF(A269="","",Tabela1[[#This Row],[PTC]]*Tabela1[[#This Row],[ODDC]])</f>
        <v/>
      </c>
      <c r="O269" s="69" t="str">
        <f>IF(A269="","",Tabela1[[#This Row],[PTV]]*Tabela1[[#This Row],[ODDV]])</f>
        <v/>
      </c>
      <c r="P269" s="68" t="str">
        <f t="shared" si="109"/>
        <v/>
      </c>
      <c r="Q269" s="68" t="str">
        <f t="shared" si="110"/>
        <v/>
      </c>
      <c r="R269" s="68" t="str">
        <f t="shared" si="111"/>
        <v/>
      </c>
      <c r="S269" s="68" t="str">
        <f t="shared" si="112"/>
        <v/>
      </c>
      <c r="T269" s="68" t="str">
        <f>IF(A269="","",IF(F269="D",Tabela1[[#This Row],[ODDE]]-1,-1))</f>
        <v/>
      </c>
      <c r="U269" s="70" t="str">
        <f>IF(A269="","",IF(AND(Tabela1[[#This Row],[FTHG]]&gt;3,F269="H"),1,0))</f>
        <v/>
      </c>
      <c r="V269" s="70" t="str">
        <f>IF(A269="","",IF(AND(Tabela1[[#This Row],[FTAG]]&gt;3,F269="A"),1,0))</f>
        <v/>
      </c>
      <c r="W269" s="70" t="str">
        <f t="shared" si="113"/>
        <v/>
      </c>
      <c r="X269" s="70" t="str">
        <f t="shared" si="114"/>
        <v/>
      </c>
      <c r="Y269" s="71" t="str">
        <f t="shared" si="115"/>
        <v/>
      </c>
      <c r="Z269" s="70" t="str">
        <f t="shared" si="116"/>
        <v/>
      </c>
      <c r="AA269" s="70" t="str">
        <f t="shared" si="117"/>
        <v/>
      </c>
      <c r="AB269" s="70" t="str">
        <f t="shared" si="118"/>
        <v/>
      </c>
      <c r="AC269" s="71" t="str">
        <f t="shared" si="119"/>
        <v/>
      </c>
      <c r="AD269" s="72" t="str">
        <f t="shared" si="120"/>
        <v/>
      </c>
      <c r="AE269" s="73" t="str">
        <f>IF(A269="","",COUNT($N$2:N269))</f>
        <v/>
      </c>
      <c r="AF269" s="74" t="str">
        <f t="shared" si="121"/>
        <v/>
      </c>
      <c r="AG269" s="74" t="str">
        <f t="shared" si="122"/>
        <v/>
      </c>
      <c r="AH269" s="74" t="str">
        <f t="shared" si="123"/>
        <v/>
      </c>
      <c r="AI269" s="74" t="str">
        <f t="shared" si="124"/>
        <v/>
      </c>
      <c r="AJ269" s="74" t="str">
        <f t="shared" si="125"/>
        <v/>
      </c>
      <c r="AK269" s="74" t="str">
        <f>IF(A269="","",1/Tabela1[[#This Row],[ODDC]])</f>
        <v/>
      </c>
      <c r="AL269" s="74" t="str">
        <f>IF(A269="","",1/Tabela1[[#This Row],[ODDE]])</f>
        <v/>
      </c>
      <c r="AM269" s="74" t="str">
        <f>IF(A269="","",1/Tabela1[[#This Row],[ODDV]])</f>
        <v/>
      </c>
      <c r="AN269" s="74" t="str">
        <f>IF(A269="","",1-(Tabela1[[#This Row],[p(H)]]+Tabela1[[#This Row],[p(D)]]+Tabela1[[#This Row],[p(A)]]))</f>
        <v/>
      </c>
      <c r="AO269" s="74" t="str">
        <f>IF(A269="","",IFERROR(Tabela1[[#This Row],[p(H)]]/Tabela1[[#This Row],[FTHG]],1))</f>
        <v/>
      </c>
      <c r="AP269" s="74" t="str">
        <f>IF(A269="","",IFERROR(Tabela1[[#This Row],[p(A)]]/Tabela1[[#This Row],[FTAG]],1))</f>
        <v/>
      </c>
      <c r="AQ269" s="107"/>
      <c r="AR269" s="107"/>
      <c r="AS269" s="107"/>
      <c r="AT269" s="107"/>
      <c r="AU269" s="107"/>
      <c r="AV269" s="107"/>
      <c r="AW269" s="107"/>
      <c r="AX269" s="107"/>
      <c r="AY269" s="107"/>
      <c r="AZ269" s="107"/>
      <c r="BA269" s="107"/>
      <c r="BB269" s="107"/>
      <c r="BC269" s="107"/>
      <c r="BD269" s="107"/>
      <c r="BE269" s="107"/>
      <c r="BF269" s="107"/>
      <c r="BG269" s="107"/>
      <c r="BH269" s="107"/>
      <c r="BI269" s="107"/>
      <c r="BJ269" s="107"/>
      <c r="BK269" s="107"/>
      <c r="BL269" s="107"/>
      <c r="BM269" s="107"/>
      <c r="BN269" s="107"/>
      <c r="BO269" s="107"/>
      <c r="BP269" s="107"/>
      <c r="BQ269" s="107"/>
      <c r="BR269" s="107"/>
      <c r="BS269" s="107"/>
      <c r="BT269" s="107"/>
      <c r="BU269" s="107"/>
      <c r="BV269" s="107"/>
      <c r="BW269" s="107"/>
      <c r="BX269" s="107"/>
      <c r="BY269" s="107"/>
      <c r="BZ269" s="107"/>
      <c r="CA269" s="107"/>
      <c r="CB269" s="107"/>
      <c r="CC269" s="107"/>
      <c r="CD269" s="107"/>
      <c r="CE269" s="102"/>
      <c r="CF269" s="102"/>
      <c r="CG269" s="102"/>
      <c r="CH269" s="102"/>
      <c r="CI269" s="102"/>
      <c r="CJ269" s="102"/>
      <c r="CK269" s="102"/>
      <c r="CL269" s="102"/>
      <c r="CM269" s="102"/>
      <c r="CN269" s="102"/>
      <c r="CO269" s="102"/>
      <c r="CP269" s="102"/>
      <c r="CQ269" s="102"/>
      <c r="CR269" s="102"/>
      <c r="CS269" s="102"/>
      <c r="CT269" s="102"/>
      <c r="CU269" s="102"/>
      <c r="CV269" s="102"/>
      <c r="CW269" s="102"/>
      <c r="CX269" s="102"/>
      <c r="CY269" s="102"/>
      <c r="CZ269" s="102"/>
      <c r="DA269" s="102"/>
      <c r="DB269" s="102"/>
      <c r="DC269" s="102"/>
      <c r="DD269" s="102"/>
      <c r="DE269" s="102"/>
      <c r="DF269" s="102"/>
      <c r="DG269" s="102"/>
      <c r="DH269" s="102"/>
      <c r="DI269" s="102"/>
      <c r="DJ269" s="102"/>
      <c r="DK269" s="102"/>
      <c r="DL269" s="102"/>
      <c r="DM269" s="102"/>
      <c r="DN269" s="102"/>
      <c r="DO269" s="102"/>
      <c r="DP269" s="102"/>
    </row>
    <row r="270" spans="1:120" x14ac:dyDescent="0.25">
      <c r="A270" s="4"/>
      <c r="D270"/>
      <c r="E270"/>
      <c r="F270"/>
      <c r="J270" s="68" t="str">
        <f t="shared" si="105"/>
        <v/>
      </c>
      <c r="K270" s="68" t="str">
        <f t="shared" si="106"/>
        <v/>
      </c>
      <c r="L270" s="69" t="str">
        <f t="shared" si="107"/>
        <v/>
      </c>
      <c r="M270" s="69" t="str">
        <f t="shared" si="108"/>
        <v/>
      </c>
      <c r="N270" s="69" t="str">
        <f>IF(A270="","",Tabela1[[#This Row],[PTC]]*Tabela1[[#This Row],[ODDC]])</f>
        <v/>
      </c>
      <c r="O270" s="69" t="str">
        <f>IF(A270="","",Tabela1[[#This Row],[PTV]]*Tabela1[[#This Row],[ODDV]])</f>
        <v/>
      </c>
      <c r="P270" s="68" t="str">
        <f t="shared" si="109"/>
        <v/>
      </c>
      <c r="Q270" s="68" t="str">
        <f t="shared" si="110"/>
        <v/>
      </c>
      <c r="R270" s="68" t="str">
        <f t="shared" si="111"/>
        <v/>
      </c>
      <c r="S270" s="68" t="str">
        <f t="shared" si="112"/>
        <v/>
      </c>
      <c r="T270" s="68" t="str">
        <f>IF(A270="","",IF(F270="D",Tabela1[[#This Row],[ODDE]]-1,-1))</f>
        <v/>
      </c>
      <c r="U270" s="70" t="str">
        <f>IF(A270="","",IF(AND(Tabela1[[#This Row],[FTHG]]&gt;3,F270="H"),1,0))</f>
        <v/>
      </c>
      <c r="V270" s="70" t="str">
        <f>IF(A270="","",IF(AND(Tabela1[[#This Row],[FTAG]]&gt;3,F270="A"),1,0))</f>
        <v/>
      </c>
      <c r="W270" s="70" t="str">
        <f t="shared" si="113"/>
        <v/>
      </c>
      <c r="X270" s="70" t="str">
        <f t="shared" si="114"/>
        <v/>
      </c>
      <c r="Y270" s="71" t="str">
        <f t="shared" si="115"/>
        <v/>
      </c>
      <c r="Z270" s="70" t="str">
        <f t="shared" si="116"/>
        <v/>
      </c>
      <c r="AA270" s="70" t="str">
        <f t="shared" si="117"/>
        <v/>
      </c>
      <c r="AB270" s="70" t="str">
        <f t="shared" si="118"/>
        <v/>
      </c>
      <c r="AC270" s="71" t="str">
        <f t="shared" si="119"/>
        <v/>
      </c>
      <c r="AD270" s="72" t="str">
        <f t="shared" si="120"/>
        <v/>
      </c>
      <c r="AE270" s="73" t="str">
        <f>IF(A270="","",COUNT($N$2:N270))</f>
        <v/>
      </c>
      <c r="AF270" s="74" t="str">
        <f t="shared" si="121"/>
        <v/>
      </c>
      <c r="AG270" s="74" t="str">
        <f t="shared" si="122"/>
        <v/>
      </c>
      <c r="AH270" s="74" t="str">
        <f t="shared" si="123"/>
        <v/>
      </c>
      <c r="AI270" s="74" t="str">
        <f t="shared" si="124"/>
        <v/>
      </c>
      <c r="AJ270" s="74" t="str">
        <f t="shared" si="125"/>
        <v/>
      </c>
      <c r="AK270" s="74" t="str">
        <f>IF(A270="","",1/Tabela1[[#This Row],[ODDC]])</f>
        <v/>
      </c>
      <c r="AL270" s="74" t="str">
        <f>IF(A270="","",1/Tabela1[[#This Row],[ODDE]])</f>
        <v/>
      </c>
      <c r="AM270" s="74" t="str">
        <f>IF(A270="","",1/Tabela1[[#This Row],[ODDV]])</f>
        <v/>
      </c>
      <c r="AN270" s="74" t="str">
        <f>IF(A270="","",1-(Tabela1[[#This Row],[p(H)]]+Tabela1[[#This Row],[p(D)]]+Tabela1[[#This Row],[p(A)]]))</f>
        <v/>
      </c>
      <c r="AO270" s="74" t="str">
        <f>IF(A270="","",IFERROR(Tabela1[[#This Row],[p(H)]]/Tabela1[[#This Row],[FTHG]],1))</f>
        <v/>
      </c>
      <c r="AP270" s="74" t="str">
        <f>IF(A270="","",IFERROR(Tabela1[[#This Row],[p(A)]]/Tabela1[[#This Row],[FTAG]],1))</f>
        <v/>
      </c>
      <c r="AQ270" s="107"/>
      <c r="AR270" s="107"/>
      <c r="AS270" s="107"/>
      <c r="AT270" s="107"/>
      <c r="AU270" s="107"/>
      <c r="AV270" s="107"/>
      <c r="AW270" s="107"/>
      <c r="AX270" s="107"/>
      <c r="AY270" s="107"/>
      <c r="AZ270" s="107"/>
      <c r="BA270" s="107"/>
      <c r="BB270" s="107"/>
      <c r="BC270" s="107"/>
      <c r="BD270" s="107"/>
      <c r="BE270" s="107"/>
      <c r="BF270" s="107"/>
      <c r="BG270" s="107"/>
      <c r="BH270" s="107"/>
      <c r="BI270" s="107"/>
      <c r="BJ270" s="107"/>
      <c r="BK270" s="107"/>
      <c r="BL270" s="107"/>
      <c r="BM270" s="107"/>
      <c r="BN270" s="107"/>
      <c r="BO270" s="107"/>
      <c r="BP270" s="107"/>
      <c r="BQ270" s="107"/>
      <c r="BR270" s="107"/>
      <c r="BS270" s="107"/>
      <c r="BT270" s="107"/>
      <c r="BU270" s="107"/>
      <c r="BV270" s="107"/>
      <c r="BW270" s="107"/>
      <c r="BX270" s="107"/>
      <c r="BY270" s="107"/>
      <c r="BZ270" s="107"/>
      <c r="CA270" s="107"/>
      <c r="CB270" s="107"/>
      <c r="CC270" s="107"/>
      <c r="CD270" s="107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2"/>
      <c r="DC270" s="102"/>
      <c r="DD270" s="102"/>
      <c r="DE270" s="102"/>
      <c r="DF270" s="102"/>
      <c r="DG270" s="102"/>
      <c r="DH270" s="102"/>
      <c r="DI270" s="102"/>
      <c r="DJ270" s="102"/>
      <c r="DK270" s="102"/>
      <c r="DL270" s="102"/>
      <c r="DM270" s="102"/>
      <c r="DN270" s="102"/>
      <c r="DO270" s="102"/>
      <c r="DP270" s="102"/>
    </row>
    <row r="271" spans="1:120" x14ac:dyDescent="0.25">
      <c r="A271" s="4"/>
      <c r="D271"/>
      <c r="E271"/>
      <c r="F271"/>
      <c r="J271" s="68" t="str">
        <f t="shared" si="105"/>
        <v/>
      </c>
      <c r="K271" s="68" t="str">
        <f t="shared" si="106"/>
        <v/>
      </c>
      <c r="L271" s="69" t="str">
        <f t="shared" si="107"/>
        <v/>
      </c>
      <c r="M271" s="69" t="str">
        <f t="shared" si="108"/>
        <v/>
      </c>
      <c r="N271" s="69" t="str">
        <f>IF(A271="","",Tabela1[[#This Row],[PTC]]*Tabela1[[#This Row],[ODDC]])</f>
        <v/>
      </c>
      <c r="O271" s="69" t="str">
        <f>IF(A271="","",Tabela1[[#This Row],[PTV]]*Tabela1[[#This Row],[ODDV]])</f>
        <v/>
      </c>
      <c r="P271" s="68" t="str">
        <f t="shared" si="109"/>
        <v/>
      </c>
      <c r="Q271" s="68" t="str">
        <f t="shared" si="110"/>
        <v/>
      </c>
      <c r="R271" s="68" t="str">
        <f t="shared" si="111"/>
        <v/>
      </c>
      <c r="S271" s="68" t="str">
        <f t="shared" si="112"/>
        <v/>
      </c>
      <c r="T271" s="68" t="str">
        <f>IF(A271="","",IF(F271="D",Tabela1[[#This Row],[ODDE]]-1,-1))</f>
        <v/>
      </c>
      <c r="U271" s="70" t="str">
        <f>IF(A271="","",IF(AND(Tabela1[[#This Row],[FTHG]]&gt;3,F271="H"),1,0))</f>
        <v/>
      </c>
      <c r="V271" s="70" t="str">
        <f>IF(A271="","",IF(AND(Tabela1[[#This Row],[FTAG]]&gt;3,F271="A"),1,0))</f>
        <v/>
      </c>
      <c r="W271" s="70" t="str">
        <f t="shared" si="113"/>
        <v/>
      </c>
      <c r="X271" s="70" t="str">
        <f t="shared" si="114"/>
        <v/>
      </c>
      <c r="Y271" s="71" t="str">
        <f t="shared" si="115"/>
        <v/>
      </c>
      <c r="Z271" s="70" t="str">
        <f t="shared" si="116"/>
        <v/>
      </c>
      <c r="AA271" s="70" t="str">
        <f t="shared" si="117"/>
        <v/>
      </c>
      <c r="AB271" s="70" t="str">
        <f t="shared" si="118"/>
        <v/>
      </c>
      <c r="AC271" s="71" t="str">
        <f t="shared" si="119"/>
        <v/>
      </c>
      <c r="AD271" s="72" t="str">
        <f t="shared" si="120"/>
        <v/>
      </c>
      <c r="AE271" s="73" t="str">
        <f>IF(A271="","",COUNT($N$2:N271))</f>
        <v/>
      </c>
      <c r="AF271" s="74" t="str">
        <f t="shared" si="121"/>
        <v/>
      </c>
      <c r="AG271" s="74" t="str">
        <f t="shared" si="122"/>
        <v/>
      </c>
      <c r="AH271" s="74" t="str">
        <f t="shared" si="123"/>
        <v/>
      </c>
      <c r="AI271" s="74" t="str">
        <f t="shared" si="124"/>
        <v/>
      </c>
      <c r="AJ271" s="74" t="str">
        <f t="shared" si="125"/>
        <v/>
      </c>
      <c r="AK271" s="74" t="str">
        <f>IF(A271="","",1/Tabela1[[#This Row],[ODDC]])</f>
        <v/>
      </c>
      <c r="AL271" s="74" t="str">
        <f>IF(A271="","",1/Tabela1[[#This Row],[ODDE]])</f>
        <v/>
      </c>
      <c r="AM271" s="74" t="str">
        <f>IF(A271="","",1/Tabela1[[#This Row],[ODDV]])</f>
        <v/>
      </c>
      <c r="AN271" s="74" t="str">
        <f>IF(A271="","",1-(Tabela1[[#This Row],[p(H)]]+Tabela1[[#This Row],[p(D)]]+Tabela1[[#This Row],[p(A)]]))</f>
        <v/>
      </c>
      <c r="AO271" s="74" t="str">
        <f>IF(A271="","",IFERROR(Tabela1[[#This Row],[p(H)]]/Tabela1[[#This Row],[FTHG]],1))</f>
        <v/>
      </c>
      <c r="AP271" s="74" t="str">
        <f>IF(A271="","",IFERROR(Tabela1[[#This Row],[p(A)]]/Tabela1[[#This Row],[FTAG]],1))</f>
        <v/>
      </c>
      <c r="AQ271" s="107"/>
      <c r="AR271" s="107"/>
      <c r="AS271" s="107"/>
      <c r="AT271" s="107"/>
      <c r="AU271" s="107"/>
      <c r="AV271" s="107"/>
      <c r="AW271" s="107"/>
      <c r="AX271" s="107"/>
      <c r="AY271" s="107"/>
      <c r="AZ271" s="107"/>
      <c r="BA271" s="107"/>
      <c r="BB271" s="107"/>
      <c r="BC271" s="107"/>
      <c r="BD271" s="107"/>
      <c r="BE271" s="107"/>
      <c r="BF271" s="107"/>
      <c r="BG271" s="107"/>
      <c r="BH271" s="107"/>
      <c r="BI271" s="107"/>
      <c r="BJ271" s="107"/>
      <c r="BK271" s="107"/>
      <c r="BL271" s="107"/>
      <c r="BM271" s="107"/>
      <c r="BN271" s="107"/>
      <c r="BO271" s="107"/>
      <c r="BP271" s="107"/>
      <c r="BQ271" s="107"/>
      <c r="BR271" s="107"/>
      <c r="BS271" s="107"/>
      <c r="BT271" s="107"/>
      <c r="BU271" s="107"/>
      <c r="BV271" s="107"/>
      <c r="BW271" s="107"/>
      <c r="BX271" s="107"/>
      <c r="BY271" s="107"/>
      <c r="BZ271" s="107"/>
      <c r="CA271" s="107"/>
      <c r="CB271" s="107"/>
      <c r="CC271" s="107"/>
      <c r="CD271" s="107"/>
      <c r="CE271" s="102"/>
      <c r="CF271" s="102"/>
      <c r="CG271" s="102"/>
      <c r="CH271" s="102"/>
      <c r="CI271" s="102"/>
      <c r="CJ271" s="102"/>
      <c r="CK271" s="102"/>
      <c r="CL271" s="102"/>
      <c r="CM271" s="102"/>
      <c r="CN271" s="102"/>
      <c r="CO271" s="102"/>
      <c r="CP271" s="102"/>
      <c r="CQ271" s="102"/>
      <c r="CR271" s="102"/>
      <c r="CS271" s="102"/>
      <c r="CT271" s="102"/>
      <c r="CU271" s="102"/>
      <c r="CV271" s="102"/>
      <c r="CW271" s="102"/>
      <c r="CX271" s="102"/>
      <c r="CY271" s="102"/>
      <c r="CZ271" s="102"/>
      <c r="DA271" s="102"/>
      <c r="DB271" s="102"/>
      <c r="DC271" s="102"/>
      <c r="DD271" s="102"/>
      <c r="DE271" s="102"/>
      <c r="DF271" s="102"/>
      <c r="DG271" s="102"/>
      <c r="DH271" s="102"/>
      <c r="DI271" s="102"/>
      <c r="DJ271" s="102"/>
      <c r="DK271" s="102"/>
      <c r="DL271" s="102"/>
      <c r="DM271" s="102"/>
      <c r="DN271" s="102"/>
      <c r="DO271" s="102"/>
      <c r="DP271" s="102"/>
    </row>
    <row r="272" spans="1:120" x14ac:dyDescent="0.25">
      <c r="A272" s="4"/>
      <c r="D272"/>
      <c r="E272"/>
      <c r="F272"/>
      <c r="J272" s="68" t="str">
        <f t="shared" si="105"/>
        <v/>
      </c>
      <c r="K272" s="68" t="str">
        <f t="shared" si="106"/>
        <v/>
      </c>
      <c r="L272" s="69" t="str">
        <f t="shared" si="107"/>
        <v/>
      </c>
      <c r="M272" s="69" t="str">
        <f t="shared" si="108"/>
        <v/>
      </c>
      <c r="N272" s="69" t="str">
        <f>IF(A272="","",Tabela1[[#This Row],[PTC]]*Tabela1[[#This Row],[ODDC]])</f>
        <v/>
      </c>
      <c r="O272" s="69" t="str">
        <f>IF(A272="","",Tabela1[[#This Row],[PTV]]*Tabela1[[#This Row],[ODDV]])</f>
        <v/>
      </c>
      <c r="P272" s="68" t="str">
        <f t="shared" si="109"/>
        <v/>
      </c>
      <c r="Q272" s="68" t="str">
        <f t="shared" si="110"/>
        <v/>
      </c>
      <c r="R272" s="68" t="str">
        <f t="shared" si="111"/>
        <v/>
      </c>
      <c r="S272" s="68" t="str">
        <f t="shared" si="112"/>
        <v/>
      </c>
      <c r="T272" s="68" t="str">
        <f>IF(A272="","",IF(F272="D",Tabela1[[#This Row],[ODDE]]-1,-1))</f>
        <v/>
      </c>
      <c r="U272" s="70" t="str">
        <f>IF(A272="","",IF(AND(Tabela1[[#This Row],[FTHG]]&gt;3,F272="H"),1,0))</f>
        <v/>
      </c>
      <c r="V272" s="70" t="str">
        <f>IF(A272="","",IF(AND(Tabela1[[#This Row],[FTAG]]&gt;3,F272="A"),1,0))</f>
        <v/>
      </c>
      <c r="W272" s="70" t="str">
        <f t="shared" si="113"/>
        <v/>
      </c>
      <c r="X272" s="70" t="str">
        <f t="shared" si="114"/>
        <v/>
      </c>
      <c r="Y272" s="71" t="str">
        <f t="shared" si="115"/>
        <v/>
      </c>
      <c r="Z272" s="70" t="str">
        <f t="shared" si="116"/>
        <v/>
      </c>
      <c r="AA272" s="70" t="str">
        <f t="shared" si="117"/>
        <v/>
      </c>
      <c r="AB272" s="70" t="str">
        <f t="shared" si="118"/>
        <v/>
      </c>
      <c r="AC272" s="71" t="str">
        <f t="shared" si="119"/>
        <v/>
      </c>
      <c r="AD272" s="72" t="str">
        <f t="shared" si="120"/>
        <v/>
      </c>
      <c r="AE272" s="73" t="str">
        <f>IF(A272="","",COUNT($N$2:N272))</f>
        <v/>
      </c>
      <c r="AF272" s="74" t="str">
        <f t="shared" si="121"/>
        <v/>
      </c>
      <c r="AG272" s="74" t="str">
        <f t="shared" si="122"/>
        <v/>
      </c>
      <c r="AH272" s="74" t="str">
        <f t="shared" si="123"/>
        <v/>
      </c>
      <c r="AI272" s="74" t="str">
        <f t="shared" si="124"/>
        <v/>
      </c>
      <c r="AJ272" s="74" t="str">
        <f t="shared" si="125"/>
        <v/>
      </c>
      <c r="AK272" s="74" t="str">
        <f>IF(A272="","",1/Tabela1[[#This Row],[ODDC]])</f>
        <v/>
      </c>
      <c r="AL272" s="74" t="str">
        <f>IF(A272="","",1/Tabela1[[#This Row],[ODDE]])</f>
        <v/>
      </c>
      <c r="AM272" s="74" t="str">
        <f>IF(A272="","",1/Tabela1[[#This Row],[ODDV]])</f>
        <v/>
      </c>
      <c r="AN272" s="74" t="str">
        <f>IF(A272="","",1-(Tabela1[[#This Row],[p(H)]]+Tabela1[[#This Row],[p(D)]]+Tabela1[[#This Row],[p(A)]]))</f>
        <v/>
      </c>
      <c r="AO272" s="74" t="str">
        <f>IF(A272="","",IFERROR(Tabela1[[#This Row],[p(H)]]/Tabela1[[#This Row],[FTHG]],1))</f>
        <v/>
      </c>
      <c r="AP272" s="74" t="str">
        <f>IF(A272="","",IFERROR(Tabela1[[#This Row],[p(A)]]/Tabela1[[#This Row],[FTAG]],1))</f>
        <v/>
      </c>
      <c r="AQ272" s="107"/>
      <c r="AR272" s="107"/>
      <c r="AS272" s="107"/>
      <c r="AT272" s="107"/>
      <c r="AU272" s="107"/>
      <c r="AV272" s="107"/>
      <c r="AW272" s="107"/>
      <c r="AX272" s="107"/>
      <c r="AY272" s="107"/>
      <c r="AZ272" s="107"/>
      <c r="BA272" s="107"/>
      <c r="BB272" s="107"/>
      <c r="BC272" s="107"/>
      <c r="BD272" s="107"/>
      <c r="BE272" s="107"/>
      <c r="BF272" s="107"/>
      <c r="BG272" s="107"/>
      <c r="BH272" s="107"/>
      <c r="BI272" s="107"/>
      <c r="BJ272" s="107"/>
      <c r="BK272" s="107"/>
      <c r="BL272" s="107"/>
      <c r="BM272" s="107"/>
      <c r="BN272" s="107"/>
      <c r="BO272" s="107"/>
      <c r="BP272" s="107"/>
      <c r="BQ272" s="107"/>
      <c r="BR272" s="107"/>
      <c r="BS272" s="107"/>
      <c r="BT272" s="107"/>
      <c r="BU272" s="107"/>
      <c r="BV272" s="107"/>
      <c r="BW272" s="107"/>
      <c r="BX272" s="107"/>
      <c r="BY272" s="107"/>
      <c r="BZ272" s="107"/>
      <c r="CA272" s="107"/>
      <c r="CB272" s="107"/>
      <c r="CC272" s="107"/>
      <c r="CD272" s="107"/>
      <c r="CE272" s="102"/>
      <c r="CF272" s="102"/>
      <c r="CG272" s="102"/>
      <c r="CH272" s="102"/>
      <c r="CI272" s="102"/>
      <c r="CJ272" s="102"/>
      <c r="CK272" s="102"/>
      <c r="CL272" s="102"/>
      <c r="CM272" s="102"/>
      <c r="CN272" s="102"/>
      <c r="CO272" s="102"/>
      <c r="CP272" s="102"/>
      <c r="CQ272" s="102"/>
      <c r="CR272" s="102"/>
      <c r="CS272" s="102"/>
      <c r="CT272" s="102"/>
      <c r="CU272" s="102"/>
      <c r="CV272" s="102"/>
      <c r="CW272" s="102"/>
      <c r="CX272" s="102"/>
      <c r="CY272" s="102"/>
      <c r="CZ272" s="102"/>
      <c r="DA272" s="102"/>
      <c r="DB272" s="102"/>
      <c r="DC272" s="102"/>
      <c r="DD272" s="102"/>
      <c r="DE272" s="102"/>
      <c r="DF272" s="102"/>
      <c r="DG272" s="102"/>
      <c r="DH272" s="102"/>
      <c r="DI272" s="102"/>
      <c r="DJ272" s="102"/>
      <c r="DK272" s="102"/>
      <c r="DL272" s="102"/>
      <c r="DM272" s="102"/>
      <c r="DN272" s="102"/>
      <c r="DO272" s="102"/>
      <c r="DP272" s="102"/>
    </row>
    <row r="273" spans="1:120" x14ac:dyDescent="0.25">
      <c r="A273" s="4"/>
      <c r="D273"/>
      <c r="E273"/>
      <c r="F273"/>
      <c r="J273" s="68" t="str">
        <f t="shared" si="105"/>
        <v/>
      </c>
      <c r="K273" s="68" t="str">
        <f t="shared" si="106"/>
        <v/>
      </c>
      <c r="L273" s="69" t="str">
        <f t="shared" si="107"/>
        <v/>
      </c>
      <c r="M273" s="69" t="str">
        <f t="shared" si="108"/>
        <v/>
      </c>
      <c r="N273" s="69" t="str">
        <f>IF(A273="","",Tabela1[[#This Row],[PTC]]*Tabela1[[#This Row],[ODDC]])</f>
        <v/>
      </c>
      <c r="O273" s="69" t="str">
        <f>IF(A273="","",Tabela1[[#This Row],[PTV]]*Tabela1[[#This Row],[ODDV]])</f>
        <v/>
      </c>
      <c r="P273" s="68" t="str">
        <f t="shared" si="109"/>
        <v/>
      </c>
      <c r="Q273" s="68" t="str">
        <f t="shared" si="110"/>
        <v/>
      </c>
      <c r="R273" s="68" t="str">
        <f t="shared" si="111"/>
        <v/>
      </c>
      <c r="S273" s="68" t="str">
        <f t="shared" si="112"/>
        <v/>
      </c>
      <c r="T273" s="68" t="str">
        <f>IF(A273="","",IF(F273="D",Tabela1[[#This Row],[ODDE]]-1,-1))</f>
        <v/>
      </c>
      <c r="U273" s="70" t="str">
        <f>IF(A273="","",IF(AND(Tabela1[[#This Row],[FTHG]]&gt;3,F273="H"),1,0))</f>
        <v/>
      </c>
      <c r="V273" s="70" t="str">
        <f>IF(A273="","",IF(AND(Tabela1[[#This Row],[FTAG]]&gt;3,F273="A"),1,0))</f>
        <v/>
      </c>
      <c r="W273" s="70" t="str">
        <f t="shared" si="113"/>
        <v/>
      </c>
      <c r="X273" s="70" t="str">
        <f t="shared" si="114"/>
        <v/>
      </c>
      <c r="Y273" s="71" t="str">
        <f t="shared" si="115"/>
        <v/>
      </c>
      <c r="Z273" s="70" t="str">
        <f t="shared" si="116"/>
        <v/>
      </c>
      <c r="AA273" s="70" t="str">
        <f t="shared" si="117"/>
        <v/>
      </c>
      <c r="AB273" s="70" t="str">
        <f t="shared" si="118"/>
        <v/>
      </c>
      <c r="AC273" s="71" t="str">
        <f t="shared" si="119"/>
        <v/>
      </c>
      <c r="AD273" s="72" t="str">
        <f t="shared" si="120"/>
        <v/>
      </c>
      <c r="AE273" s="73" t="str">
        <f>IF(A273="","",COUNT($N$2:N273))</f>
        <v/>
      </c>
      <c r="AF273" s="74" t="str">
        <f t="shared" si="121"/>
        <v/>
      </c>
      <c r="AG273" s="74" t="str">
        <f t="shared" si="122"/>
        <v/>
      </c>
      <c r="AH273" s="74" t="str">
        <f t="shared" si="123"/>
        <v/>
      </c>
      <c r="AI273" s="74" t="str">
        <f t="shared" si="124"/>
        <v/>
      </c>
      <c r="AJ273" s="74" t="str">
        <f t="shared" si="125"/>
        <v/>
      </c>
      <c r="AK273" s="74" t="str">
        <f>IF(A273="","",1/Tabela1[[#This Row],[ODDC]])</f>
        <v/>
      </c>
      <c r="AL273" s="74" t="str">
        <f>IF(A273="","",1/Tabela1[[#This Row],[ODDE]])</f>
        <v/>
      </c>
      <c r="AM273" s="74" t="str">
        <f>IF(A273="","",1/Tabela1[[#This Row],[ODDV]])</f>
        <v/>
      </c>
      <c r="AN273" s="74" t="str">
        <f>IF(A273="","",1-(Tabela1[[#This Row],[p(H)]]+Tabela1[[#This Row],[p(D)]]+Tabela1[[#This Row],[p(A)]]))</f>
        <v/>
      </c>
      <c r="AO273" s="74" t="str">
        <f>IF(A273="","",IFERROR(Tabela1[[#This Row],[p(H)]]/Tabela1[[#This Row],[FTHG]],1))</f>
        <v/>
      </c>
      <c r="AP273" s="74" t="str">
        <f>IF(A273="","",IFERROR(Tabela1[[#This Row],[p(A)]]/Tabela1[[#This Row],[FTAG]],1))</f>
        <v/>
      </c>
      <c r="AQ273" s="107"/>
      <c r="AR273" s="107"/>
      <c r="AS273" s="107"/>
      <c r="AT273" s="107"/>
      <c r="AU273" s="107"/>
      <c r="AV273" s="107"/>
      <c r="AW273" s="107"/>
      <c r="AX273" s="107"/>
      <c r="AY273" s="107"/>
      <c r="AZ273" s="107"/>
      <c r="BA273" s="107"/>
      <c r="BB273" s="107"/>
      <c r="BC273" s="107"/>
      <c r="BD273" s="107"/>
      <c r="BE273" s="107"/>
      <c r="BF273" s="107"/>
      <c r="BG273" s="107"/>
      <c r="BH273" s="107"/>
      <c r="BI273" s="107"/>
      <c r="BJ273" s="107"/>
      <c r="BK273" s="107"/>
      <c r="BL273" s="107"/>
      <c r="BM273" s="107"/>
      <c r="BN273" s="107"/>
      <c r="BO273" s="107"/>
      <c r="BP273" s="107"/>
      <c r="BQ273" s="107"/>
      <c r="BR273" s="107"/>
      <c r="BS273" s="107"/>
      <c r="BT273" s="107"/>
      <c r="BU273" s="107"/>
      <c r="BV273" s="107"/>
      <c r="BW273" s="107"/>
      <c r="BX273" s="107"/>
      <c r="BY273" s="107"/>
      <c r="BZ273" s="107"/>
      <c r="CA273" s="107"/>
      <c r="CB273" s="107"/>
      <c r="CC273" s="107"/>
      <c r="CD273" s="107"/>
      <c r="CE273" s="102"/>
      <c r="CF273" s="102"/>
      <c r="CG273" s="102"/>
      <c r="CH273" s="102"/>
      <c r="CI273" s="102"/>
      <c r="CJ273" s="102"/>
      <c r="CK273" s="102"/>
      <c r="CL273" s="102"/>
      <c r="CM273" s="102"/>
      <c r="CN273" s="102"/>
      <c r="CO273" s="102"/>
      <c r="CP273" s="102"/>
      <c r="CQ273" s="102"/>
      <c r="CR273" s="102"/>
      <c r="CS273" s="102"/>
      <c r="CT273" s="102"/>
      <c r="CU273" s="102"/>
      <c r="CV273" s="102"/>
      <c r="CW273" s="102"/>
      <c r="CX273" s="102"/>
      <c r="CY273" s="102"/>
      <c r="CZ273" s="102"/>
      <c r="DA273" s="102"/>
      <c r="DB273" s="102"/>
      <c r="DC273" s="102"/>
      <c r="DD273" s="102"/>
      <c r="DE273" s="102"/>
      <c r="DF273" s="102"/>
      <c r="DG273" s="102"/>
      <c r="DH273" s="102"/>
      <c r="DI273" s="102"/>
      <c r="DJ273" s="102"/>
      <c r="DK273" s="102"/>
      <c r="DL273" s="102"/>
      <c r="DM273" s="102"/>
      <c r="DN273" s="102"/>
      <c r="DO273" s="102"/>
      <c r="DP273" s="102"/>
    </row>
    <row r="274" spans="1:120" x14ac:dyDescent="0.25">
      <c r="A274" s="4"/>
      <c r="D274"/>
      <c r="E274"/>
      <c r="F274"/>
      <c r="J274" s="68" t="str">
        <f t="shared" si="105"/>
        <v/>
      </c>
      <c r="K274" s="68" t="str">
        <f t="shared" si="106"/>
        <v/>
      </c>
      <c r="L274" s="69" t="str">
        <f t="shared" si="107"/>
        <v/>
      </c>
      <c r="M274" s="69" t="str">
        <f t="shared" si="108"/>
        <v/>
      </c>
      <c r="N274" s="69" t="str">
        <f>IF(A274="","",Tabela1[[#This Row],[PTC]]*Tabela1[[#This Row],[ODDC]])</f>
        <v/>
      </c>
      <c r="O274" s="69" t="str">
        <f>IF(A274="","",Tabela1[[#This Row],[PTV]]*Tabela1[[#This Row],[ODDV]])</f>
        <v/>
      </c>
      <c r="P274" s="68" t="str">
        <f t="shared" si="109"/>
        <v/>
      </c>
      <c r="Q274" s="68" t="str">
        <f t="shared" si="110"/>
        <v/>
      </c>
      <c r="R274" s="68" t="str">
        <f t="shared" si="111"/>
        <v/>
      </c>
      <c r="S274" s="68" t="str">
        <f t="shared" si="112"/>
        <v/>
      </c>
      <c r="T274" s="68" t="str">
        <f>IF(A274="","",IF(F274="D",Tabela1[[#This Row],[ODDE]]-1,-1))</f>
        <v/>
      </c>
      <c r="U274" s="70" t="str">
        <f>IF(A274="","",IF(AND(Tabela1[[#This Row],[FTHG]]&gt;3,F274="H"),1,0))</f>
        <v/>
      </c>
      <c r="V274" s="70" t="str">
        <f>IF(A274="","",IF(AND(Tabela1[[#This Row],[FTAG]]&gt;3,F274="A"),1,0))</f>
        <v/>
      </c>
      <c r="W274" s="70" t="str">
        <f t="shared" si="113"/>
        <v/>
      </c>
      <c r="X274" s="70" t="str">
        <f t="shared" si="114"/>
        <v/>
      </c>
      <c r="Y274" s="71" t="str">
        <f t="shared" si="115"/>
        <v/>
      </c>
      <c r="Z274" s="70" t="str">
        <f t="shared" si="116"/>
        <v/>
      </c>
      <c r="AA274" s="70" t="str">
        <f t="shared" si="117"/>
        <v/>
      </c>
      <c r="AB274" s="70" t="str">
        <f t="shared" si="118"/>
        <v/>
      </c>
      <c r="AC274" s="71" t="str">
        <f t="shared" si="119"/>
        <v/>
      </c>
      <c r="AD274" s="72" t="str">
        <f t="shared" si="120"/>
        <v/>
      </c>
      <c r="AE274" s="73" t="str">
        <f>IF(A274="","",COUNT($N$2:N274))</f>
        <v/>
      </c>
      <c r="AF274" s="74" t="str">
        <f t="shared" si="121"/>
        <v/>
      </c>
      <c r="AG274" s="74" t="str">
        <f t="shared" si="122"/>
        <v/>
      </c>
      <c r="AH274" s="74" t="str">
        <f t="shared" si="123"/>
        <v/>
      </c>
      <c r="AI274" s="74" t="str">
        <f t="shared" si="124"/>
        <v/>
      </c>
      <c r="AJ274" s="74" t="str">
        <f t="shared" si="125"/>
        <v/>
      </c>
      <c r="AK274" s="74" t="str">
        <f>IF(A274="","",1/Tabela1[[#This Row],[ODDC]])</f>
        <v/>
      </c>
      <c r="AL274" s="74" t="str">
        <f>IF(A274="","",1/Tabela1[[#This Row],[ODDE]])</f>
        <v/>
      </c>
      <c r="AM274" s="74" t="str">
        <f>IF(A274="","",1/Tabela1[[#This Row],[ODDV]])</f>
        <v/>
      </c>
      <c r="AN274" s="74" t="str">
        <f>IF(A274="","",1-(Tabela1[[#This Row],[p(H)]]+Tabela1[[#This Row],[p(D)]]+Tabela1[[#This Row],[p(A)]]))</f>
        <v/>
      </c>
      <c r="AO274" s="74" t="str">
        <f>IF(A274="","",IFERROR(Tabela1[[#This Row],[p(H)]]/Tabela1[[#This Row],[FTHG]],1))</f>
        <v/>
      </c>
      <c r="AP274" s="74" t="str">
        <f>IF(A274="","",IFERROR(Tabela1[[#This Row],[p(A)]]/Tabela1[[#This Row],[FTAG]],1))</f>
        <v/>
      </c>
      <c r="AQ274" s="107"/>
      <c r="AR274" s="107"/>
      <c r="AS274" s="107"/>
      <c r="AT274" s="107"/>
      <c r="AU274" s="107"/>
      <c r="AV274" s="107"/>
      <c r="AW274" s="107"/>
      <c r="AX274" s="107"/>
      <c r="AY274" s="107"/>
      <c r="AZ274" s="107"/>
      <c r="BA274" s="107"/>
      <c r="BB274" s="107"/>
      <c r="BC274" s="107"/>
      <c r="BD274" s="107"/>
      <c r="BE274" s="107"/>
      <c r="BF274" s="107"/>
      <c r="BG274" s="107"/>
      <c r="BH274" s="107"/>
      <c r="BI274" s="107"/>
      <c r="BJ274" s="107"/>
      <c r="BK274" s="107"/>
      <c r="BL274" s="107"/>
      <c r="BM274" s="107"/>
      <c r="BN274" s="107"/>
      <c r="BO274" s="107"/>
      <c r="BP274" s="107"/>
      <c r="BQ274" s="107"/>
      <c r="BR274" s="107"/>
      <c r="BS274" s="107"/>
      <c r="BT274" s="107"/>
      <c r="BU274" s="107"/>
      <c r="BV274" s="107"/>
      <c r="BW274" s="107"/>
      <c r="BX274" s="107"/>
      <c r="BY274" s="107"/>
      <c r="BZ274" s="107"/>
      <c r="CA274" s="107"/>
      <c r="CB274" s="107"/>
      <c r="CC274" s="107"/>
      <c r="CD274" s="107"/>
      <c r="CE274" s="102"/>
      <c r="CF274" s="102"/>
      <c r="CG274" s="102"/>
      <c r="CH274" s="102"/>
      <c r="CI274" s="102"/>
      <c r="CJ274" s="102"/>
      <c r="CK274" s="102"/>
      <c r="CL274" s="102"/>
      <c r="CM274" s="102"/>
      <c r="CN274" s="102"/>
      <c r="CO274" s="102"/>
      <c r="CP274" s="102"/>
      <c r="CQ274" s="102"/>
      <c r="CR274" s="102"/>
      <c r="CS274" s="102"/>
      <c r="CT274" s="102"/>
      <c r="CU274" s="102"/>
      <c r="CV274" s="102"/>
      <c r="CW274" s="102"/>
      <c r="CX274" s="102"/>
      <c r="CY274" s="102"/>
      <c r="CZ274" s="102"/>
      <c r="DA274" s="102"/>
      <c r="DB274" s="102"/>
      <c r="DC274" s="102"/>
      <c r="DD274" s="102"/>
      <c r="DE274" s="102"/>
      <c r="DF274" s="102"/>
      <c r="DG274" s="102"/>
      <c r="DH274" s="102"/>
      <c r="DI274" s="102"/>
      <c r="DJ274" s="102"/>
      <c r="DK274" s="102"/>
      <c r="DL274" s="102"/>
      <c r="DM274" s="102"/>
      <c r="DN274" s="102"/>
      <c r="DO274" s="102"/>
      <c r="DP274" s="102"/>
    </row>
    <row r="275" spans="1:120" x14ac:dyDescent="0.25">
      <c r="A275" s="4"/>
      <c r="D275"/>
      <c r="E275"/>
      <c r="F275"/>
      <c r="J275" s="68" t="str">
        <f t="shared" si="105"/>
        <v/>
      </c>
      <c r="K275" s="68" t="str">
        <f t="shared" si="106"/>
        <v/>
      </c>
      <c r="L275" s="69" t="str">
        <f t="shared" si="107"/>
        <v/>
      </c>
      <c r="M275" s="69" t="str">
        <f t="shared" si="108"/>
        <v/>
      </c>
      <c r="N275" s="69" t="str">
        <f>IF(A275="","",Tabela1[[#This Row],[PTC]]*Tabela1[[#This Row],[ODDC]])</f>
        <v/>
      </c>
      <c r="O275" s="69" t="str">
        <f>IF(A275="","",Tabela1[[#This Row],[PTV]]*Tabela1[[#This Row],[ODDV]])</f>
        <v/>
      </c>
      <c r="P275" s="68" t="str">
        <f t="shared" si="109"/>
        <v/>
      </c>
      <c r="Q275" s="68" t="str">
        <f t="shared" si="110"/>
        <v/>
      </c>
      <c r="R275" s="68" t="str">
        <f t="shared" si="111"/>
        <v/>
      </c>
      <c r="S275" s="68" t="str">
        <f t="shared" si="112"/>
        <v/>
      </c>
      <c r="T275" s="68" t="str">
        <f>IF(A275="","",IF(F275="D",Tabela1[[#This Row],[ODDE]]-1,-1))</f>
        <v/>
      </c>
      <c r="U275" s="70" t="str">
        <f>IF(A275="","",IF(AND(Tabela1[[#This Row],[FTHG]]&gt;3,F275="H"),1,0))</f>
        <v/>
      </c>
      <c r="V275" s="70" t="str">
        <f>IF(A275="","",IF(AND(Tabela1[[#This Row],[FTAG]]&gt;3,F275="A"),1,0))</f>
        <v/>
      </c>
      <c r="W275" s="70" t="str">
        <f t="shared" si="113"/>
        <v/>
      </c>
      <c r="X275" s="70" t="str">
        <f t="shared" si="114"/>
        <v/>
      </c>
      <c r="Y275" s="71" t="str">
        <f t="shared" si="115"/>
        <v/>
      </c>
      <c r="Z275" s="70" t="str">
        <f t="shared" si="116"/>
        <v/>
      </c>
      <c r="AA275" s="70" t="str">
        <f t="shared" si="117"/>
        <v/>
      </c>
      <c r="AB275" s="70" t="str">
        <f t="shared" si="118"/>
        <v/>
      </c>
      <c r="AC275" s="71" t="str">
        <f t="shared" si="119"/>
        <v/>
      </c>
      <c r="AD275" s="72" t="str">
        <f t="shared" si="120"/>
        <v/>
      </c>
      <c r="AE275" s="73" t="str">
        <f>IF(A275="","",COUNT($N$2:N275))</f>
        <v/>
      </c>
      <c r="AF275" s="74" t="str">
        <f t="shared" si="121"/>
        <v/>
      </c>
      <c r="AG275" s="74" t="str">
        <f t="shared" si="122"/>
        <v/>
      </c>
      <c r="AH275" s="74" t="str">
        <f t="shared" si="123"/>
        <v/>
      </c>
      <c r="AI275" s="74" t="str">
        <f t="shared" si="124"/>
        <v/>
      </c>
      <c r="AJ275" s="74" t="str">
        <f t="shared" si="125"/>
        <v/>
      </c>
      <c r="AK275" s="74" t="str">
        <f>IF(A275="","",1/Tabela1[[#This Row],[ODDC]])</f>
        <v/>
      </c>
      <c r="AL275" s="74" t="str">
        <f>IF(A275="","",1/Tabela1[[#This Row],[ODDE]])</f>
        <v/>
      </c>
      <c r="AM275" s="74" t="str">
        <f>IF(A275="","",1/Tabela1[[#This Row],[ODDV]])</f>
        <v/>
      </c>
      <c r="AN275" s="74" t="str">
        <f>IF(A275="","",1-(Tabela1[[#This Row],[p(H)]]+Tabela1[[#This Row],[p(D)]]+Tabela1[[#This Row],[p(A)]]))</f>
        <v/>
      </c>
      <c r="AO275" s="74" t="str">
        <f>IF(A275="","",IFERROR(Tabela1[[#This Row],[p(H)]]/Tabela1[[#This Row],[FTHG]],1))</f>
        <v/>
      </c>
      <c r="AP275" s="74" t="str">
        <f>IF(A275="","",IFERROR(Tabela1[[#This Row],[p(A)]]/Tabela1[[#This Row],[FTAG]],1))</f>
        <v/>
      </c>
      <c r="AQ275" s="107"/>
      <c r="AR275" s="107"/>
      <c r="AS275" s="107"/>
      <c r="AT275" s="107"/>
      <c r="AU275" s="107"/>
      <c r="AV275" s="107"/>
      <c r="AW275" s="107"/>
      <c r="AX275" s="107"/>
      <c r="AY275" s="107"/>
      <c r="AZ275" s="75"/>
      <c r="BA275" s="75"/>
      <c r="BB275" s="75"/>
      <c r="BC275" s="107"/>
      <c r="BD275" s="107"/>
      <c r="BE275" s="107"/>
      <c r="BF275" s="107"/>
      <c r="BG275" s="107"/>
      <c r="BH275" s="107"/>
      <c r="BI275" s="107"/>
      <c r="BJ275" s="107"/>
      <c r="BK275" s="107"/>
      <c r="BL275" s="107"/>
      <c r="BM275" s="107"/>
      <c r="BN275" s="107"/>
      <c r="BO275" s="107"/>
      <c r="BP275" s="107"/>
      <c r="BQ275" s="107"/>
      <c r="BR275" s="107"/>
      <c r="BS275" s="107"/>
      <c r="BT275" s="107"/>
      <c r="BU275" s="107"/>
      <c r="BV275" s="107"/>
      <c r="BW275" s="107"/>
      <c r="BX275" s="75"/>
      <c r="BY275" s="75"/>
      <c r="BZ275" s="75"/>
      <c r="CA275" s="75"/>
      <c r="CB275" s="75"/>
      <c r="CC275" s="75"/>
      <c r="CD275" s="75"/>
      <c r="CE275" s="102"/>
      <c r="CF275" s="102"/>
      <c r="CG275" s="102"/>
      <c r="CH275" s="102"/>
      <c r="CI275" s="102"/>
      <c r="CJ275" s="102"/>
      <c r="CK275" s="102"/>
      <c r="CL275" s="102"/>
      <c r="CM275" s="102"/>
      <c r="CN275" s="102"/>
      <c r="CO275" s="102"/>
      <c r="CP275" s="102"/>
      <c r="CQ275" s="102"/>
      <c r="CR275" s="102"/>
      <c r="CS275" s="102"/>
      <c r="CT275" s="102"/>
      <c r="CU275" s="102"/>
      <c r="CV275" s="102"/>
      <c r="CW275" s="102"/>
      <c r="CX275" s="102"/>
      <c r="CY275" s="102"/>
      <c r="CZ275" s="102"/>
      <c r="DA275" s="102"/>
      <c r="DB275" s="102"/>
      <c r="DC275" s="102"/>
      <c r="DD275" s="102"/>
      <c r="DE275" s="102"/>
      <c r="DF275" s="102"/>
      <c r="DG275" s="102"/>
      <c r="DH275" s="102"/>
      <c r="DI275" s="102"/>
      <c r="DJ275" s="102"/>
      <c r="DK275" s="102"/>
      <c r="DL275" s="102"/>
      <c r="DM275" s="102"/>
      <c r="DN275" s="102"/>
      <c r="DO275" s="102"/>
      <c r="DP275" s="102"/>
    </row>
    <row r="276" spans="1:120" x14ac:dyDescent="0.25">
      <c r="A276" s="4"/>
      <c r="D276"/>
      <c r="E276"/>
      <c r="F276"/>
      <c r="J276" s="68" t="str">
        <f t="shared" si="105"/>
        <v/>
      </c>
      <c r="K276" s="68" t="str">
        <f t="shared" si="106"/>
        <v/>
      </c>
      <c r="L276" s="69" t="str">
        <f t="shared" si="107"/>
        <v/>
      </c>
      <c r="M276" s="69" t="str">
        <f t="shared" si="108"/>
        <v/>
      </c>
      <c r="N276" s="69" t="str">
        <f>IF(A276="","",Tabela1[[#This Row],[PTC]]*Tabela1[[#This Row],[ODDC]])</f>
        <v/>
      </c>
      <c r="O276" s="69" t="str">
        <f>IF(A276="","",Tabela1[[#This Row],[PTV]]*Tabela1[[#This Row],[ODDV]])</f>
        <v/>
      </c>
      <c r="P276" s="68" t="str">
        <f t="shared" si="109"/>
        <v/>
      </c>
      <c r="Q276" s="68" t="str">
        <f t="shared" si="110"/>
        <v/>
      </c>
      <c r="R276" s="68" t="str">
        <f t="shared" si="111"/>
        <v/>
      </c>
      <c r="S276" s="68" t="str">
        <f t="shared" si="112"/>
        <v/>
      </c>
      <c r="T276" s="68" t="str">
        <f>IF(A276="","",IF(F276="D",Tabela1[[#This Row],[ODDE]]-1,-1))</f>
        <v/>
      </c>
      <c r="U276" s="70" t="str">
        <f>IF(A276="","",IF(AND(Tabela1[[#This Row],[FTHG]]&gt;3,F276="H"),1,0))</f>
        <v/>
      </c>
      <c r="V276" s="70" t="str">
        <f>IF(A276="","",IF(AND(Tabela1[[#This Row],[FTAG]]&gt;3,F276="A"),1,0))</f>
        <v/>
      </c>
      <c r="W276" s="70" t="str">
        <f t="shared" si="113"/>
        <v/>
      </c>
      <c r="X276" s="70" t="str">
        <f t="shared" si="114"/>
        <v/>
      </c>
      <c r="Y276" s="71" t="str">
        <f t="shared" si="115"/>
        <v/>
      </c>
      <c r="Z276" s="70" t="str">
        <f t="shared" si="116"/>
        <v/>
      </c>
      <c r="AA276" s="70" t="str">
        <f t="shared" si="117"/>
        <v/>
      </c>
      <c r="AB276" s="70" t="str">
        <f t="shared" si="118"/>
        <v/>
      </c>
      <c r="AC276" s="71" t="str">
        <f t="shared" si="119"/>
        <v/>
      </c>
      <c r="AD276" s="72" t="str">
        <f t="shared" si="120"/>
        <v/>
      </c>
      <c r="AE276" s="73" t="str">
        <f>IF(A276="","",COUNT($N$2:N276))</f>
        <v/>
      </c>
      <c r="AF276" s="74" t="str">
        <f t="shared" si="121"/>
        <v/>
      </c>
      <c r="AG276" s="74" t="str">
        <f t="shared" si="122"/>
        <v/>
      </c>
      <c r="AH276" s="74" t="str">
        <f t="shared" si="123"/>
        <v/>
      </c>
      <c r="AI276" s="74" t="str">
        <f t="shared" si="124"/>
        <v/>
      </c>
      <c r="AJ276" s="74" t="str">
        <f t="shared" si="125"/>
        <v/>
      </c>
      <c r="AK276" s="74" t="str">
        <f>IF(A276="","",1/Tabela1[[#This Row],[ODDC]])</f>
        <v/>
      </c>
      <c r="AL276" s="74" t="str">
        <f>IF(A276="","",1/Tabela1[[#This Row],[ODDE]])</f>
        <v/>
      </c>
      <c r="AM276" s="74" t="str">
        <f>IF(A276="","",1/Tabela1[[#This Row],[ODDV]])</f>
        <v/>
      </c>
      <c r="AN276" s="74" t="str">
        <f>IF(A276="","",1-(Tabela1[[#This Row],[p(H)]]+Tabela1[[#This Row],[p(D)]]+Tabela1[[#This Row],[p(A)]]))</f>
        <v/>
      </c>
      <c r="AO276" s="74" t="str">
        <f>IF(A276="","",IFERROR(Tabela1[[#This Row],[p(H)]]/Tabela1[[#This Row],[FTHG]],1))</f>
        <v/>
      </c>
      <c r="AP276" s="74" t="str">
        <f>IF(A276="","",IFERROR(Tabela1[[#This Row],[p(A)]]/Tabela1[[#This Row],[FTAG]],1))</f>
        <v/>
      </c>
      <c r="AQ276" s="107"/>
      <c r="AR276" s="107"/>
      <c r="AS276" s="107"/>
      <c r="AT276" s="107"/>
      <c r="AU276" s="107"/>
      <c r="AV276" s="107"/>
      <c r="AW276" s="107"/>
      <c r="AX276" s="107"/>
      <c r="AY276" s="107"/>
      <c r="AZ276" s="75"/>
      <c r="BA276" s="75"/>
      <c r="BB276" s="75"/>
      <c r="BC276" s="107"/>
      <c r="BD276" s="107"/>
      <c r="BE276" s="107"/>
      <c r="BF276" s="107"/>
      <c r="BG276" s="107"/>
      <c r="BH276" s="107"/>
      <c r="BI276" s="107"/>
      <c r="BJ276" s="107"/>
      <c r="BK276" s="107"/>
      <c r="BL276" s="107"/>
      <c r="BM276" s="107"/>
      <c r="BN276" s="107"/>
      <c r="BO276" s="107"/>
      <c r="BP276" s="107"/>
      <c r="BQ276" s="107"/>
      <c r="BR276" s="107"/>
      <c r="BS276" s="107"/>
      <c r="BT276" s="107"/>
      <c r="BU276" s="107"/>
      <c r="BV276" s="107"/>
      <c r="BW276" s="107"/>
      <c r="BX276" s="75"/>
      <c r="BY276" s="75"/>
      <c r="BZ276" s="75"/>
      <c r="CA276" s="75"/>
      <c r="CB276" s="75"/>
      <c r="CC276" s="75"/>
      <c r="CD276" s="75"/>
      <c r="CE276" s="102"/>
      <c r="CF276" s="102"/>
      <c r="CG276" s="102"/>
      <c r="CH276" s="102"/>
      <c r="CI276" s="102"/>
      <c r="CJ276" s="102"/>
      <c r="CK276" s="102"/>
      <c r="CL276" s="102"/>
      <c r="CM276" s="102"/>
      <c r="CN276" s="102"/>
      <c r="CO276" s="102"/>
      <c r="CP276" s="102"/>
      <c r="CQ276" s="102"/>
      <c r="CR276" s="102"/>
      <c r="CS276" s="102"/>
      <c r="CT276" s="102"/>
      <c r="CU276" s="102"/>
      <c r="CV276" s="102"/>
      <c r="CW276" s="102"/>
      <c r="CX276" s="102"/>
      <c r="CY276" s="102"/>
      <c r="CZ276" s="102"/>
      <c r="DA276" s="102"/>
      <c r="DB276" s="102"/>
      <c r="DC276" s="102"/>
      <c r="DD276" s="102"/>
      <c r="DE276" s="102"/>
      <c r="DF276" s="102"/>
      <c r="DG276" s="102"/>
      <c r="DH276" s="102"/>
      <c r="DI276" s="102"/>
      <c r="DJ276" s="102"/>
      <c r="DK276" s="102"/>
      <c r="DL276" s="102"/>
      <c r="DM276" s="102"/>
      <c r="DN276" s="102"/>
      <c r="DO276" s="102"/>
      <c r="DP276" s="102"/>
    </row>
    <row r="277" spans="1:120" x14ac:dyDescent="0.25">
      <c r="A277" s="4"/>
      <c r="D277"/>
      <c r="E277"/>
      <c r="F277"/>
      <c r="J277" s="68" t="str">
        <f t="shared" si="105"/>
        <v/>
      </c>
      <c r="K277" s="68" t="str">
        <f t="shared" si="106"/>
        <v/>
      </c>
      <c r="L277" s="69" t="str">
        <f t="shared" si="107"/>
        <v/>
      </c>
      <c r="M277" s="69" t="str">
        <f t="shared" si="108"/>
        <v/>
      </c>
      <c r="N277" s="69" t="str">
        <f>IF(A277="","",Tabela1[[#This Row],[PTC]]*Tabela1[[#This Row],[ODDC]])</f>
        <v/>
      </c>
      <c r="O277" s="69" t="str">
        <f>IF(A277="","",Tabela1[[#This Row],[PTV]]*Tabela1[[#This Row],[ODDV]])</f>
        <v/>
      </c>
      <c r="P277" s="68" t="str">
        <f t="shared" si="109"/>
        <v/>
      </c>
      <c r="Q277" s="68" t="str">
        <f t="shared" si="110"/>
        <v/>
      </c>
      <c r="R277" s="68" t="str">
        <f t="shared" si="111"/>
        <v/>
      </c>
      <c r="S277" s="68" t="str">
        <f t="shared" si="112"/>
        <v/>
      </c>
      <c r="T277" s="68" t="str">
        <f>IF(A277="","",IF(F277="D",Tabela1[[#This Row],[ODDE]]-1,-1))</f>
        <v/>
      </c>
      <c r="U277" s="70" t="str">
        <f>IF(A277="","",IF(AND(Tabela1[[#This Row],[FTHG]]&gt;3,F277="H"),1,0))</f>
        <v/>
      </c>
      <c r="V277" s="70" t="str">
        <f>IF(A277="","",IF(AND(Tabela1[[#This Row],[FTAG]]&gt;3,F277="A"),1,0))</f>
        <v/>
      </c>
      <c r="W277" s="70" t="str">
        <f t="shared" si="113"/>
        <v/>
      </c>
      <c r="X277" s="70" t="str">
        <f t="shared" si="114"/>
        <v/>
      </c>
      <c r="Y277" s="71" t="str">
        <f t="shared" si="115"/>
        <v/>
      </c>
      <c r="Z277" s="70" t="str">
        <f t="shared" si="116"/>
        <v/>
      </c>
      <c r="AA277" s="70" t="str">
        <f t="shared" si="117"/>
        <v/>
      </c>
      <c r="AB277" s="70" t="str">
        <f t="shared" si="118"/>
        <v/>
      </c>
      <c r="AC277" s="71" t="str">
        <f t="shared" si="119"/>
        <v/>
      </c>
      <c r="AD277" s="72" t="str">
        <f t="shared" si="120"/>
        <v/>
      </c>
      <c r="AE277" s="73" t="str">
        <f>IF(A277="","",COUNT($N$2:N277))</f>
        <v/>
      </c>
      <c r="AF277" s="74" t="str">
        <f t="shared" si="121"/>
        <v/>
      </c>
      <c r="AG277" s="74" t="str">
        <f t="shared" si="122"/>
        <v/>
      </c>
      <c r="AH277" s="74" t="str">
        <f t="shared" si="123"/>
        <v/>
      </c>
      <c r="AI277" s="74" t="str">
        <f t="shared" si="124"/>
        <v/>
      </c>
      <c r="AJ277" s="74" t="str">
        <f t="shared" si="125"/>
        <v/>
      </c>
      <c r="AK277" s="74" t="str">
        <f>IF(A277="","",1/Tabela1[[#This Row],[ODDC]])</f>
        <v/>
      </c>
      <c r="AL277" s="74" t="str">
        <f>IF(A277="","",1/Tabela1[[#This Row],[ODDE]])</f>
        <v/>
      </c>
      <c r="AM277" s="74" t="str">
        <f>IF(A277="","",1/Tabela1[[#This Row],[ODDV]])</f>
        <v/>
      </c>
      <c r="AN277" s="74" t="str">
        <f>IF(A277="","",1-(Tabela1[[#This Row],[p(H)]]+Tabela1[[#This Row],[p(D)]]+Tabela1[[#This Row],[p(A)]]))</f>
        <v/>
      </c>
      <c r="AO277" s="74" t="str">
        <f>IF(A277="","",IFERROR(Tabela1[[#This Row],[p(H)]]/Tabela1[[#This Row],[FTHG]],1))</f>
        <v/>
      </c>
      <c r="AP277" s="74" t="str">
        <f>IF(A277="","",IFERROR(Tabela1[[#This Row],[p(A)]]/Tabela1[[#This Row],[FTAG]],1))</f>
        <v/>
      </c>
      <c r="AQ277" s="107"/>
      <c r="AR277" s="107"/>
      <c r="AS277" s="107"/>
      <c r="AT277" s="107"/>
      <c r="AU277" s="107"/>
      <c r="AV277" s="107"/>
      <c r="AW277" s="107"/>
      <c r="AX277" s="107"/>
      <c r="AY277" s="107"/>
      <c r="AZ277" s="75"/>
      <c r="BA277" s="75"/>
      <c r="BB277" s="75"/>
      <c r="BC277" s="107"/>
      <c r="BD277" s="107"/>
      <c r="BE277" s="107"/>
      <c r="BF277" s="107"/>
      <c r="BG277" s="107"/>
      <c r="BH277" s="107"/>
      <c r="BI277" s="107"/>
      <c r="BJ277" s="107"/>
      <c r="BK277" s="107"/>
      <c r="BL277" s="107"/>
      <c r="BM277" s="107"/>
      <c r="BN277" s="107"/>
      <c r="BO277" s="107"/>
      <c r="BP277" s="107"/>
      <c r="BQ277" s="107"/>
      <c r="BR277" s="107"/>
      <c r="BS277" s="107"/>
      <c r="BT277" s="107"/>
      <c r="BU277" s="107"/>
      <c r="BV277" s="107"/>
      <c r="BW277" s="107"/>
      <c r="BX277" s="75"/>
      <c r="BY277" s="75"/>
      <c r="BZ277" s="75"/>
      <c r="CA277" s="75"/>
      <c r="CB277" s="75"/>
      <c r="CC277" s="75"/>
      <c r="CD277" s="75"/>
      <c r="CE277" s="102"/>
      <c r="CF277" s="102"/>
      <c r="CG277" s="102"/>
      <c r="CH277" s="102"/>
      <c r="CI277" s="102"/>
      <c r="CJ277" s="102"/>
      <c r="CK277" s="102"/>
      <c r="CL277" s="102"/>
      <c r="CM277" s="102"/>
      <c r="CN277" s="102"/>
      <c r="CO277" s="102"/>
      <c r="CP277" s="102"/>
      <c r="CQ277" s="102"/>
      <c r="CR277" s="102"/>
      <c r="CS277" s="102"/>
      <c r="CT277" s="102"/>
      <c r="CU277" s="102"/>
      <c r="CV277" s="102"/>
      <c r="CW277" s="102"/>
      <c r="CX277" s="102"/>
      <c r="CY277" s="102"/>
      <c r="CZ277" s="102"/>
      <c r="DA277" s="102"/>
      <c r="DB277" s="102"/>
      <c r="DC277" s="102"/>
      <c r="DD277" s="102"/>
      <c r="DE277" s="102"/>
      <c r="DF277" s="102"/>
      <c r="DG277" s="102"/>
      <c r="DH277" s="102"/>
      <c r="DI277" s="102"/>
      <c r="DJ277" s="102"/>
      <c r="DK277" s="102"/>
      <c r="DL277" s="102"/>
      <c r="DM277" s="102"/>
      <c r="DN277" s="102"/>
      <c r="DO277" s="102"/>
      <c r="DP277" s="102"/>
    </row>
    <row r="278" spans="1:120" x14ac:dyDescent="0.25">
      <c r="A278" s="4"/>
      <c r="D278"/>
      <c r="E278"/>
      <c r="F278"/>
      <c r="J278" s="68" t="str">
        <f t="shared" si="105"/>
        <v/>
      </c>
      <c r="K278" s="68" t="str">
        <f t="shared" si="106"/>
        <v/>
      </c>
      <c r="L278" s="69" t="str">
        <f t="shared" si="107"/>
        <v/>
      </c>
      <c r="M278" s="69" t="str">
        <f t="shared" si="108"/>
        <v/>
      </c>
      <c r="N278" s="69" t="str">
        <f>IF(A278="","",Tabela1[[#This Row],[PTC]]*Tabela1[[#This Row],[ODDC]])</f>
        <v/>
      </c>
      <c r="O278" s="69" t="str">
        <f>IF(A278="","",Tabela1[[#This Row],[PTV]]*Tabela1[[#This Row],[ODDV]])</f>
        <v/>
      </c>
      <c r="P278" s="68" t="str">
        <f t="shared" si="109"/>
        <v/>
      </c>
      <c r="Q278" s="68" t="str">
        <f t="shared" si="110"/>
        <v/>
      </c>
      <c r="R278" s="68" t="str">
        <f t="shared" si="111"/>
        <v/>
      </c>
      <c r="S278" s="68" t="str">
        <f t="shared" si="112"/>
        <v/>
      </c>
      <c r="T278" s="68" t="str">
        <f>IF(A278="","",IF(F278="D",Tabela1[[#This Row],[ODDE]]-1,-1))</f>
        <v/>
      </c>
      <c r="U278" s="70" t="str">
        <f>IF(A278="","",IF(AND(Tabela1[[#This Row],[FTHG]]&gt;3,F278="H"),1,0))</f>
        <v/>
      </c>
      <c r="V278" s="70" t="str">
        <f>IF(A278="","",IF(AND(Tabela1[[#This Row],[FTAG]]&gt;3,F278="A"),1,0))</f>
        <v/>
      </c>
      <c r="W278" s="70" t="str">
        <f t="shared" si="113"/>
        <v/>
      </c>
      <c r="X278" s="70" t="str">
        <f t="shared" si="114"/>
        <v/>
      </c>
      <c r="Y278" s="71" t="str">
        <f t="shared" si="115"/>
        <v/>
      </c>
      <c r="Z278" s="70" t="str">
        <f t="shared" si="116"/>
        <v/>
      </c>
      <c r="AA278" s="70" t="str">
        <f t="shared" si="117"/>
        <v/>
      </c>
      <c r="AB278" s="70" t="str">
        <f t="shared" si="118"/>
        <v/>
      </c>
      <c r="AC278" s="71" t="str">
        <f t="shared" si="119"/>
        <v/>
      </c>
      <c r="AD278" s="72" t="str">
        <f t="shared" si="120"/>
        <v/>
      </c>
      <c r="AE278" s="73" t="str">
        <f>IF(A278="","",COUNT($N$2:N278))</f>
        <v/>
      </c>
      <c r="AF278" s="74" t="str">
        <f t="shared" si="121"/>
        <v/>
      </c>
      <c r="AG278" s="74" t="str">
        <f t="shared" si="122"/>
        <v/>
      </c>
      <c r="AH278" s="74" t="str">
        <f t="shared" si="123"/>
        <v/>
      </c>
      <c r="AI278" s="74" t="str">
        <f t="shared" si="124"/>
        <v/>
      </c>
      <c r="AJ278" s="74" t="str">
        <f t="shared" si="125"/>
        <v/>
      </c>
      <c r="AK278" s="74" t="str">
        <f>IF(A278="","",1/Tabela1[[#This Row],[ODDC]])</f>
        <v/>
      </c>
      <c r="AL278" s="74" t="str">
        <f>IF(A278="","",1/Tabela1[[#This Row],[ODDE]])</f>
        <v/>
      </c>
      <c r="AM278" s="74" t="str">
        <f>IF(A278="","",1/Tabela1[[#This Row],[ODDV]])</f>
        <v/>
      </c>
      <c r="AN278" s="74" t="str">
        <f>IF(A278="","",1-(Tabela1[[#This Row],[p(H)]]+Tabela1[[#This Row],[p(D)]]+Tabela1[[#This Row],[p(A)]]))</f>
        <v/>
      </c>
      <c r="AO278" s="74" t="str">
        <f>IF(A278="","",IFERROR(Tabela1[[#This Row],[p(H)]]/Tabela1[[#This Row],[FTHG]],1))</f>
        <v/>
      </c>
      <c r="AP278" s="74" t="str">
        <f>IF(A278="","",IFERROR(Tabela1[[#This Row],[p(A)]]/Tabela1[[#This Row],[FTAG]],1))</f>
        <v/>
      </c>
      <c r="AQ278" s="107"/>
      <c r="AR278" s="107"/>
      <c r="AS278" s="107"/>
      <c r="AT278" s="107"/>
      <c r="AU278" s="107"/>
      <c r="AV278" s="107"/>
      <c r="AW278" s="107"/>
      <c r="AX278" s="107"/>
      <c r="AY278" s="107"/>
      <c r="AZ278" s="75"/>
      <c r="BA278" s="75"/>
      <c r="BB278" s="75"/>
      <c r="BC278" s="107"/>
      <c r="BD278" s="107"/>
      <c r="BE278" s="107"/>
      <c r="BF278" s="107"/>
      <c r="BG278" s="107"/>
      <c r="BH278" s="107"/>
      <c r="BI278" s="107"/>
      <c r="BJ278" s="107"/>
      <c r="BK278" s="107"/>
      <c r="BL278" s="107"/>
      <c r="BM278" s="107"/>
      <c r="BN278" s="107"/>
      <c r="BO278" s="107"/>
      <c r="BP278" s="107"/>
      <c r="BQ278" s="107"/>
      <c r="BR278" s="107"/>
      <c r="BS278" s="107"/>
      <c r="BT278" s="107"/>
      <c r="BU278" s="107"/>
      <c r="BV278" s="107"/>
      <c r="BW278" s="107"/>
      <c r="BX278" s="75"/>
      <c r="BY278" s="75"/>
      <c r="BZ278" s="75"/>
      <c r="CA278" s="75"/>
      <c r="CB278" s="75"/>
      <c r="CC278" s="75"/>
      <c r="CD278" s="75"/>
      <c r="CE278" s="102"/>
      <c r="CF278" s="102"/>
      <c r="CG278" s="102"/>
      <c r="CH278" s="102"/>
      <c r="CI278" s="102"/>
      <c r="CJ278" s="102"/>
      <c r="CK278" s="102"/>
      <c r="CL278" s="102"/>
      <c r="CM278" s="102"/>
      <c r="CN278" s="102"/>
      <c r="CO278" s="102"/>
      <c r="CP278" s="102"/>
      <c r="CQ278" s="102"/>
      <c r="CR278" s="102"/>
      <c r="CS278" s="102"/>
      <c r="CT278" s="102"/>
      <c r="CU278" s="102"/>
      <c r="CV278" s="102"/>
      <c r="CW278" s="102"/>
      <c r="CX278" s="102"/>
      <c r="CY278" s="102"/>
      <c r="CZ278" s="102"/>
      <c r="DA278" s="102"/>
      <c r="DB278" s="102"/>
      <c r="DC278" s="102"/>
      <c r="DD278" s="102"/>
      <c r="DE278" s="102"/>
      <c r="DF278" s="102"/>
      <c r="DG278" s="102"/>
      <c r="DH278" s="102"/>
      <c r="DI278" s="102"/>
      <c r="DJ278" s="102"/>
      <c r="DK278" s="102"/>
      <c r="DL278" s="102"/>
      <c r="DM278" s="102"/>
      <c r="DN278" s="102"/>
      <c r="DO278" s="102"/>
      <c r="DP278" s="102"/>
    </row>
    <row r="279" spans="1:120" x14ac:dyDescent="0.25">
      <c r="A279" s="4"/>
      <c r="D279"/>
      <c r="E279"/>
      <c r="F279"/>
      <c r="J279" s="68" t="str">
        <f t="shared" si="105"/>
        <v/>
      </c>
      <c r="K279" s="68" t="str">
        <f t="shared" si="106"/>
        <v/>
      </c>
      <c r="L279" s="69" t="str">
        <f t="shared" si="107"/>
        <v/>
      </c>
      <c r="M279" s="69" t="str">
        <f t="shared" si="108"/>
        <v/>
      </c>
      <c r="N279" s="69" t="str">
        <f>IF(A279="","",Tabela1[[#This Row],[PTC]]*Tabela1[[#This Row],[ODDC]])</f>
        <v/>
      </c>
      <c r="O279" s="69" t="str">
        <f>IF(A279="","",Tabela1[[#This Row],[PTV]]*Tabela1[[#This Row],[ODDV]])</f>
        <v/>
      </c>
      <c r="P279" s="68" t="str">
        <f t="shared" si="109"/>
        <v/>
      </c>
      <c r="Q279" s="68" t="str">
        <f t="shared" si="110"/>
        <v/>
      </c>
      <c r="R279" s="68" t="str">
        <f t="shared" si="111"/>
        <v/>
      </c>
      <c r="S279" s="68" t="str">
        <f t="shared" si="112"/>
        <v/>
      </c>
      <c r="T279" s="68" t="str">
        <f>IF(A279="","",IF(F279="D",Tabela1[[#This Row],[ODDE]]-1,-1))</f>
        <v/>
      </c>
      <c r="U279" s="70" t="str">
        <f>IF(A279="","",IF(AND(Tabela1[[#This Row],[FTHG]]&gt;3,F279="H"),1,0))</f>
        <v/>
      </c>
      <c r="V279" s="70" t="str">
        <f>IF(A279="","",IF(AND(Tabela1[[#This Row],[FTAG]]&gt;3,F279="A"),1,0))</f>
        <v/>
      </c>
      <c r="W279" s="70" t="str">
        <f t="shared" si="113"/>
        <v/>
      </c>
      <c r="X279" s="70" t="str">
        <f t="shared" si="114"/>
        <v/>
      </c>
      <c r="Y279" s="71" t="str">
        <f t="shared" si="115"/>
        <v/>
      </c>
      <c r="Z279" s="70" t="str">
        <f t="shared" si="116"/>
        <v/>
      </c>
      <c r="AA279" s="70" t="str">
        <f t="shared" si="117"/>
        <v/>
      </c>
      <c r="AB279" s="70" t="str">
        <f t="shared" si="118"/>
        <v/>
      </c>
      <c r="AC279" s="71" t="str">
        <f t="shared" si="119"/>
        <v/>
      </c>
      <c r="AD279" s="72" t="str">
        <f t="shared" si="120"/>
        <v/>
      </c>
      <c r="AE279" s="73" t="str">
        <f>IF(A279="","",COUNT($N$2:N279))</f>
        <v/>
      </c>
      <c r="AF279" s="74" t="str">
        <f t="shared" si="121"/>
        <v/>
      </c>
      <c r="AG279" s="74" t="str">
        <f t="shared" si="122"/>
        <v/>
      </c>
      <c r="AH279" s="74" t="str">
        <f t="shared" si="123"/>
        <v/>
      </c>
      <c r="AI279" s="74" t="str">
        <f t="shared" si="124"/>
        <v/>
      </c>
      <c r="AJ279" s="74" t="str">
        <f t="shared" si="125"/>
        <v/>
      </c>
      <c r="AK279" s="74" t="str">
        <f>IF(A279="","",1/Tabela1[[#This Row],[ODDC]])</f>
        <v/>
      </c>
      <c r="AL279" s="74" t="str">
        <f>IF(A279="","",1/Tabela1[[#This Row],[ODDE]])</f>
        <v/>
      </c>
      <c r="AM279" s="74" t="str">
        <f>IF(A279="","",1/Tabela1[[#This Row],[ODDV]])</f>
        <v/>
      </c>
      <c r="AN279" s="74" t="str">
        <f>IF(A279="","",1-(Tabela1[[#This Row],[p(H)]]+Tabela1[[#This Row],[p(D)]]+Tabela1[[#This Row],[p(A)]]))</f>
        <v/>
      </c>
      <c r="AO279" s="74" t="str">
        <f>IF(A279="","",IFERROR(Tabela1[[#This Row],[p(H)]]/Tabela1[[#This Row],[FTHG]],1))</f>
        <v/>
      </c>
      <c r="AP279" s="74" t="str">
        <f>IF(A279="","",IFERROR(Tabela1[[#This Row],[p(A)]]/Tabela1[[#This Row],[FTAG]],1))</f>
        <v/>
      </c>
      <c r="AQ279" s="107"/>
      <c r="AR279" s="107"/>
      <c r="AS279" s="107"/>
      <c r="AT279" s="107"/>
      <c r="AU279" s="107"/>
      <c r="AV279" s="107"/>
      <c r="AW279" s="107"/>
      <c r="AX279" s="107"/>
      <c r="AY279" s="107"/>
      <c r="AZ279" s="75"/>
      <c r="BA279" s="75"/>
      <c r="BB279" s="75"/>
      <c r="BC279" s="107"/>
      <c r="BD279" s="107"/>
      <c r="BE279" s="107"/>
      <c r="BF279" s="107"/>
      <c r="BG279" s="107"/>
      <c r="BH279" s="107"/>
      <c r="BI279" s="107"/>
      <c r="BJ279" s="107"/>
      <c r="BK279" s="107"/>
      <c r="BL279" s="107"/>
      <c r="BM279" s="107"/>
      <c r="BN279" s="107"/>
      <c r="BO279" s="107"/>
      <c r="BP279" s="107"/>
      <c r="BQ279" s="107"/>
      <c r="BR279" s="107"/>
      <c r="BS279" s="107"/>
      <c r="BT279" s="107"/>
      <c r="BU279" s="107"/>
      <c r="BV279" s="107"/>
      <c r="BW279" s="107"/>
      <c r="BX279" s="75"/>
      <c r="BY279" s="75"/>
      <c r="BZ279" s="75"/>
      <c r="CA279" s="75"/>
      <c r="CB279" s="75"/>
      <c r="CC279" s="75"/>
      <c r="CD279" s="75"/>
      <c r="CE279" s="102"/>
      <c r="CF279" s="102"/>
      <c r="CG279" s="102"/>
      <c r="CH279" s="102"/>
      <c r="CI279" s="102"/>
      <c r="CJ279" s="102"/>
      <c r="CK279" s="102"/>
      <c r="CL279" s="102"/>
      <c r="CM279" s="102"/>
      <c r="CN279" s="102"/>
      <c r="CO279" s="102"/>
      <c r="CP279" s="102"/>
      <c r="CQ279" s="102"/>
      <c r="CR279" s="102"/>
      <c r="CS279" s="102"/>
      <c r="CT279" s="102"/>
      <c r="CU279" s="102"/>
      <c r="CV279" s="102"/>
      <c r="CW279" s="102"/>
      <c r="CX279" s="102"/>
      <c r="CY279" s="102"/>
      <c r="CZ279" s="102"/>
      <c r="DA279" s="102"/>
      <c r="DB279" s="102"/>
      <c r="DC279" s="102"/>
      <c r="DD279" s="102"/>
      <c r="DE279" s="102"/>
      <c r="DF279" s="102"/>
      <c r="DG279" s="102"/>
      <c r="DH279" s="102"/>
      <c r="DI279" s="102"/>
      <c r="DJ279" s="102"/>
      <c r="DK279" s="102"/>
      <c r="DL279" s="102"/>
      <c r="DM279" s="102"/>
      <c r="DN279" s="102"/>
      <c r="DO279" s="102"/>
      <c r="DP279" s="102"/>
    </row>
    <row r="280" spans="1:120" x14ac:dyDescent="0.25">
      <c r="A280" s="4"/>
      <c r="D280"/>
      <c r="E280"/>
      <c r="F280"/>
      <c r="J280" s="68" t="str">
        <f t="shared" si="105"/>
        <v/>
      </c>
      <c r="K280" s="68" t="str">
        <f t="shared" si="106"/>
        <v/>
      </c>
      <c r="L280" s="69" t="str">
        <f t="shared" si="107"/>
        <v/>
      </c>
      <c r="M280" s="69" t="str">
        <f t="shared" si="108"/>
        <v/>
      </c>
      <c r="N280" s="69" t="str">
        <f>IF(A280="","",Tabela1[[#This Row],[PTC]]*Tabela1[[#This Row],[ODDC]])</f>
        <v/>
      </c>
      <c r="O280" s="69" t="str">
        <f>IF(A280="","",Tabela1[[#This Row],[PTV]]*Tabela1[[#This Row],[ODDV]])</f>
        <v/>
      </c>
      <c r="P280" s="68" t="str">
        <f t="shared" si="109"/>
        <v/>
      </c>
      <c r="Q280" s="68" t="str">
        <f t="shared" si="110"/>
        <v/>
      </c>
      <c r="R280" s="68" t="str">
        <f t="shared" si="111"/>
        <v/>
      </c>
      <c r="S280" s="68" t="str">
        <f t="shared" si="112"/>
        <v/>
      </c>
      <c r="T280" s="68" t="str">
        <f>IF(A280="","",IF(F280="D",Tabela1[[#This Row],[ODDE]]-1,-1))</f>
        <v/>
      </c>
      <c r="U280" s="70" t="str">
        <f>IF(A280="","",IF(AND(Tabela1[[#This Row],[FTHG]]&gt;3,F280="H"),1,0))</f>
        <v/>
      </c>
      <c r="V280" s="70" t="str">
        <f>IF(A280="","",IF(AND(Tabela1[[#This Row],[FTAG]]&gt;3,F280="A"),1,0))</f>
        <v/>
      </c>
      <c r="W280" s="70" t="str">
        <f t="shared" si="113"/>
        <v/>
      </c>
      <c r="X280" s="70" t="str">
        <f t="shared" si="114"/>
        <v/>
      </c>
      <c r="Y280" s="71" t="str">
        <f t="shared" si="115"/>
        <v/>
      </c>
      <c r="Z280" s="70" t="str">
        <f t="shared" si="116"/>
        <v/>
      </c>
      <c r="AA280" s="70" t="str">
        <f t="shared" si="117"/>
        <v/>
      </c>
      <c r="AB280" s="70" t="str">
        <f t="shared" si="118"/>
        <v/>
      </c>
      <c r="AC280" s="71" t="str">
        <f t="shared" si="119"/>
        <v/>
      </c>
      <c r="AD280" s="72" t="str">
        <f t="shared" si="120"/>
        <v/>
      </c>
      <c r="AE280" s="73" t="str">
        <f>IF(A280="","",COUNT($N$2:N280))</f>
        <v/>
      </c>
      <c r="AF280" s="74" t="str">
        <f t="shared" si="121"/>
        <v/>
      </c>
      <c r="AG280" s="74" t="str">
        <f t="shared" si="122"/>
        <v/>
      </c>
      <c r="AH280" s="74" t="str">
        <f t="shared" si="123"/>
        <v/>
      </c>
      <c r="AI280" s="74" t="str">
        <f t="shared" si="124"/>
        <v/>
      </c>
      <c r="AJ280" s="74" t="str">
        <f t="shared" si="125"/>
        <v/>
      </c>
      <c r="AK280" s="74" t="str">
        <f>IF(A280="","",1/Tabela1[[#This Row],[ODDC]])</f>
        <v/>
      </c>
      <c r="AL280" s="74" t="str">
        <f>IF(A280="","",1/Tabela1[[#This Row],[ODDE]])</f>
        <v/>
      </c>
      <c r="AM280" s="74" t="str">
        <f>IF(A280="","",1/Tabela1[[#This Row],[ODDV]])</f>
        <v/>
      </c>
      <c r="AN280" s="74" t="str">
        <f>IF(A280="","",1-(Tabela1[[#This Row],[p(H)]]+Tabela1[[#This Row],[p(D)]]+Tabela1[[#This Row],[p(A)]]))</f>
        <v/>
      </c>
      <c r="AO280" s="74" t="str">
        <f>IF(A280="","",IFERROR(Tabela1[[#This Row],[p(H)]]/Tabela1[[#This Row],[FTHG]],1))</f>
        <v/>
      </c>
      <c r="AP280" s="74" t="str">
        <f>IF(A280="","",IFERROR(Tabela1[[#This Row],[p(A)]]/Tabela1[[#This Row],[FTAG]],1))</f>
        <v/>
      </c>
      <c r="AQ280" s="107"/>
      <c r="AR280" s="107"/>
      <c r="AS280" s="107"/>
      <c r="AT280" s="107"/>
      <c r="AU280" s="107"/>
      <c r="AV280" s="107"/>
      <c r="AW280" s="107"/>
      <c r="AX280" s="107"/>
      <c r="AY280" s="107"/>
      <c r="AZ280" s="75"/>
      <c r="BA280" s="75"/>
      <c r="BB280" s="75"/>
      <c r="BC280" s="107"/>
      <c r="BD280" s="107"/>
      <c r="BE280" s="107"/>
      <c r="BF280" s="107"/>
      <c r="BG280" s="107"/>
      <c r="BH280" s="107"/>
      <c r="BI280" s="107"/>
      <c r="BJ280" s="107"/>
      <c r="BK280" s="107"/>
      <c r="BL280" s="107"/>
      <c r="BM280" s="107"/>
      <c r="BN280" s="107"/>
      <c r="BO280" s="107"/>
      <c r="BP280" s="107"/>
      <c r="BQ280" s="107"/>
      <c r="BR280" s="107"/>
      <c r="BS280" s="107"/>
      <c r="BT280" s="107"/>
      <c r="BU280" s="107"/>
      <c r="BV280" s="107"/>
      <c r="BW280" s="107"/>
      <c r="BX280" s="75"/>
      <c r="BY280" s="75"/>
      <c r="BZ280" s="75"/>
      <c r="CA280" s="75"/>
      <c r="CB280" s="75"/>
      <c r="CC280" s="75"/>
      <c r="CD280" s="75"/>
      <c r="CE280" s="102"/>
      <c r="CF280" s="102"/>
      <c r="CG280" s="102"/>
      <c r="CH280" s="102"/>
      <c r="CI280" s="102"/>
      <c r="CJ280" s="102"/>
      <c r="CK280" s="102"/>
      <c r="CL280" s="102"/>
      <c r="CM280" s="102"/>
      <c r="CN280" s="102"/>
      <c r="CO280" s="102"/>
      <c r="CP280" s="102"/>
      <c r="CQ280" s="102"/>
      <c r="CR280" s="102"/>
      <c r="CS280" s="102"/>
      <c r="CT280" s="102"/>
      <c r="CU280" s="102"/>
      <c r="CV280" s="102"/>
      <c r="CW280" s="102"/>
      <c r="CX280" s="102"/>
      <c r="CY280" s="102"/>
      <c r="CZ280" s="102"/>
      <c r="DA280" s="102"/>
      <c r="DB280" s="102"/>
      <c r="DC280" s="102"/>
      <c r="DD280" s="102"/>
      <c r="DE280" s="102"/>
      <c r="DF280" s="102"/>
      <c r="DG280" s="102"/>
      <c r="DH280" s="102"/>
      <c r="DI280" s="102"/>
      <c r="DJ280" s="102"/>
      <c r="DK280" s="102"/>
      <c r="DL280" s="102"/>
      <c r="DM280" s="102"/>
      <c r="DN280" s="102"/>
      <c r="DO280" s="102"/>
      <c r="DP280" s="102"/>
    </row>
    <row r="281" spans="1:120" x14ac:dyDescent="0.25">
      <c r="A281" s="4"/>
      <c r="D281"/>
      <c r="E281"/>
      <c r="F281"/>
      <c r="J281" s="68" t="str">
        <f t="shared" si="105"/>
        <v/>
      </c>
      <c r="K281" s="68" t="str">
        <f t="shared" si="106"/>
        <v/>
      </c>
      <c r="L281" s="69" t="str">
        <f t="shared" si="107"/>
        <v/>
      </c>
      <c r="M281" s="69" t="str">
        <f t="shared" si="108"/>
        <v/>
      </c>
      <c r="N281" s="69" t="str">
        <f>IF(A281="","",Tabela1[[#This Row],[PTC]]*Tabela1[[#This Row],[ODDC]])</f>
        <v/>
      </c>
      <c r="O281" s="69" t="str">
        <f>IF(A281="","",Tabela1[[#This Row],[PTV]]*Tabela1[[#This Row],[ODDV]])</f>
        <v/>
      </c>
      <c r="P281" s="68" t="str">
        <f t="shared" si="109"/>
        <v/>
      </c>
      <c r="Q281" s="68" t="str">
        <f t="shared" si="110"/>
        <v/>
      </c>
      <c r="R281" s="68" t="str">
        <f t="shared" si="111"/>
        <v/>
      </c>
      <c r="S281" s="68" t="str">
        <f t="shared" si="112"/>
        <v/>
      </c>
      <c r="T281" s="68" t="str">
        <f>IF(A281="","",IF(F281="D",Tabela1[[#This Row],[ODDE]]-1,-1))</f>
        <v/>
      </c>
      <c r="U281" s="70" t="str">
        <f>IF(A281="","",IF(AND(Tabela1[[#This Row],[FTHG]]&gt;3,F281="H"),1,0))</f>
        <v/>
      </c>
      <c r="V281" s="70" t="str">
        <f>IF(A281="","",IF(AND(Tabela1[[#This Row],[FTAG]]&gt;3,F281="A"),1,0))</f>
        <v/>
      </c>
      <c r="W281" s="70" t="str">
        <f t="shared" si="113"/>
        <v/>
      </c>
      <c r="X281" s="70" t="str">
        <f t="shared" si="114"/>
        <v/>
      </c>
      <c r="Y281" s="71" t="str">
        <f t="shared" si="115"/>
        <v/>
      </c>
      <c r="Z281" s="70" t="str">
        <f t="shared" si="116"/>
        <v/>
      </c>
      <c r="AA281" s="70" t="str">
        <f t="shared" si="117"/>
        <v/>
      </c>
      <c r="AB281" s="70" t="str">
        <f t="shared" si="118"/>
        <v/>
      </c>
      <c r="AC281" s="71" t="str">
        <f t="shared" si="119"/>
        <v/>
      </c>
      <c r="AD281" s="72" t="str">
        <f t="shared" si="120"/>
        <v/>
      </c>
      <c r="AE281" s="73" t="str">
        <f>IF(A281="","",COUNT($N$2:N281))</f>
        <v/>
      </c>
      <c r="AF281" s="74" t="str">
        <f t="shared" si="121"/>
        <v/>
      </c>
      <c r="AG281" s="74" t="str">
        <f t="shared" si="122"/>
        <v/>
      </c>
      <c r="AH281" s="74" t="str">
        <f t="shared" si="123"/>
        <v/>
      </c>
      <c r="AI281" s="74" t="str">
        <f t="shared" si="124"/>
        <v/>
      </c>
      <c r="AJ281" s="74" t="str">
        <f t="shared" si="125"/>
        <v/>
      </c>
      <c r="AK281" s="74" t="str">
        <f>IF(A281="","",1/Tabela1[[#This Row],[ODDC]])</f>
        <v/>
      </c>
      <c r="AL281" s="74" t="str">
        <f>IF(A281="","",1/Tabela1[[#This Row],[ODDE]])</f>
        <v/>
      </c>
      <c r="AM281" s="74" t="str">
        <f>IF(A281="","",1/Tabela1[[#This Row],[ODDV]])</f>
        <v/>
      </c>
      <c r="AN281" s="74" t="str">
        <f>IF(A281="","",1-(Tabela1[[#This Row],[p(H)]]+Tabela1[[#This Row],[p(D)]]+Tabela1[[#This Row],[p(A)]]))</f>
        <v/>
      </c>
      <c r="AO281" s="74" t="str">
        <f>IF(A281="","",IFERROR(Tabela1[[#This Row],[p(H)]]/Tabela1[[#This Row],[FTHG]],1))</f>
        <v/>
      </c>
      <c r="AP281" s="74" t="str">
        <f>IF(A281="","",IFERROR(Tabela1[[#This Row],[p(A)]]/Tabela1[[#This Row],[FTAG]],1))</f>
        <v/>
      </c>
      <c r="AQ281" s="107"/>
      <c r="AR281" s="107"/>
      <c r="AS281" s="107"/>
      <c r="AT281" s="107"/>
      <c r="AU281" s="107"/>
      <c r="AV281" s="107"/>
      <c r="AW281" s="107"/>
      <c r="AX281" s="107"/>
      <c r="AY281" s="107"/>
      <c r="AZ281" s="75"/>
      <c r="BA281" s="75"/>
      <c r="BB281" s="75"/>
      <c r="BC281" s="107"/>
      <c r="BD281" s="107"/>
      <c r="BE281" s="107"/>
      <c r="BF281" s="107"/>
      <c r="BG281" s="107"/>
      <c r="BH281" s="107"/>
      <c r="BI281" s="107"/>
      <c r="BJ281" s="107"/>
      <c r="BK281" s="107"/>
      <c r="BL281" s="107"/>
      <c r="BM281" s="107"/>
      <c r="BN281" s="107"/>
      <c r="BO281" s="107"/>
      <c r="BP281" s="107"/>
      <c r="BQ281" s="107"/>
      <c r="BR281" s="107"/>
      <c r="BS281" s="107"/>
      <c r="BT281" s="107"/>
      <c r="BU281" s="107"/>
      <c r="BV281" s="107"/>
      <c r="BW281" s="107"/>
      <c r="BX281" s="75"/>
      <c r="BY281" s="75"/>
      <c r="BZ281" s="75"/>
      <c r="CA281" s="75"/>
      <c r="CB281" s="75"/>
      <c r="CC281" s="75"/>
      <c r="CD281" s="75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2"/>
      <c r="CR281" s="102"/>
      <c r="CS281" s="102"/>
      <c r="CT281" s="102"/>
      <c r="CU281" s="102"/>
      <c r="CV281" s="102"/>
      <c r="CW281" s="102"/>
      <c r="CX281" s="102"/>
      <c r="CY281" s="102"/>
      <c r="CZ281" s="102"/>
      <c r="DA281" s="102"/>
      <c r="DB281" s="102"/>
      <c r="DC281" s="102"/>
      <c r="DD281" s="102"/>
      <c r="DE281" s="102"/>
      <c r="DF281" s="102"/>
      <c r="DG281" s="102"/>
      <c r="DH281" s="102"/>
      <c r="DI281" s="102"/>
      <c r="DJ281" s="102"/>
      <c r="DK281" s="102"/>
      <c r="DL281" s="102"/>
      <c r="DM281" s="102"/>
      <c r="DN281" s="102"/>
      <c r="DO281" s="102"/>
      <c r="DP281" s="102"/>
    </row>
    <row r="282" spans="1:120" x14ac:dyDescent="0.25">
      <c r="A282" s="4"/>
      <c r="D282"/>
      <c r="E282"/>
      <c r="F282"/>
      <c r="J282" s="68" t="str">
        <f t="shared" si="105"/>
        <v/>
      </c>
      <c r="K282" s="68" t="str">
        <f t="shared" si="106"/>
        <v/>
      </c>
      <c r="L282" s="69" t="str">
        <f t="shared" si="107"/>
        <v/>
      </c>
      <c r="M282" s="69" t="str">
        <f t="shared" si="108"/>
        <v/>
      </c>
      <c r="N282" s="69" t="str">
        <f>IF(A282="","",Tabela1[[#This Row],[PTC]]*Tabela1[[#This Row],[ODDC]])</f>
        <v/>
      </c>
      <c r="O282" s="69" t="str">
        <f>IF(A282="","",Tabela1[[#This Row],[PTV]]*Tabela1[[#This Row],[ODDV]])</f>
        <v/>
      </c>
      <c r="P282" s="68" t="str">
        <f t="shared" si="109"/>
        <v/>
      </c>
      <c r="Q282" s="68" t="str">
        <f t="shared" si="110"/>
        <v/>
      </c>
      <c r="R282" s="68" t="str">
        <f t="shared" si="111"/>
        <v/>
      </c>
      <c r="S282" s="68" t="str">
        <f t="shared" si="112"/>
        <v/>
      </c>
      <c r="T282" s="68" t="str">
        <f>IF(A282="","",IF(F282="D",Tabela1[[#This Row],[ODDE]]-1,-1))</f>
        <v/>
      </c>
      <c r="U282" s="70" t="str">
        <f>IF(A282="","",IF(AND(Tabela1[[#This Row],[FTHG]]&gt;3,F282="H"),1,0))</f>
        <v/>
      </c>
      <c r="V282" s="70" t="str">
        <f>IF(A282="","",IF(AND(Tabela1[[#This Row],[FTAG]]&gt;3,F282="A"),1,0))</f>
        <v/>
      </c>
      <c r="W282" s="70" t="str">
        <f t="shared" si="113"/>
        <v/>
      </c>
      <c r="X282" s="70" t="str">
        <f t="shared" si="114"/>
        <v/>
      </c>
      <c r="Y282" s="71" t="str">
        <f t="shared" si="115"/>
        <v/>
      </c>
      <c r="Z282" s="70" t="str">
        <f t="shared" si="116"/>
        <v/>
      </c>
      <c r="AA282" s="70" t="str">
        <f t="shared" si="117"/>
        <v/>
      </c>
      <c r="AB282" s="70" t="str">
        <f t="shared" si="118"/>
        <v/>
      </c>
      <c r="AC282" s="71" t="str">
        <f t="shared" si="119"/>
        <v/>
      </c>
      <c r="AD282" s="72" t="str">
        <f t="shared" si="120"/>
        <v/>
      </c>
      <c r="AE282" s="73" t="str">
        <f>IF(A282="","",COUNT($N$2:N282))</f>
        <v/>
      </c>
      <c r="AF282" s="74" t="str">
        <f t="shared" si="121"/>
        <v/>
      </c>
      <c r="AG282" s="74" t="str">
        <f t="shared" si="122"/>
        <v/>
      </c>
      <c r="AH282" s="74" t="str">
        <f t="shared" si="123"/>
        <v/>
      </c>
      <c r="AI282" s="74" t="str">
        <f t="shared" si="124"/>
        <v/>
      </c>
      <c r="AJ282" s="74" t="str">
        <f t="shared" si="125"/>
        <v/>
      </c>
      <c r="AK282" s="74" t="str">
        <f>IF(A282="","",1/Tabela1[[#This Row],[ODDC]])</f>
        <v/>
      </c>
      <c r="AL282" s="74" t="str">
        <f>IF(A282="","",1/Tabela1[[#This Row],[ODDE]])</f>
        <v/>
      </c>
      <c r="AM282" s="74" t="str">
        <f>IF(A282="","",1/Tabela1[[#This Row],[ODDV]])</f>
        <v/>
      </c>
      <c r="AN282" s="74" t="str">
        <f>IF(A282="","",1-(Tabela1[[#This Row],[p(H)]]+Tabela1[[#This Row],[p(D)]]+Tabela1[[#This Row],[p(A)]]))</f>
        <v/>
      </c>
      <c r="AO282" s="74" t="str">
        <f>IF(A282="","",IFERROR(Tabela1[[#This Row],[p(H)]]/Tabela1[[#This Row],[FTHG]],1))</f>
        <v/>
      </c>
      <c r="AP282" s="74" t="str">
        <f>IF(A282="","",IFERROR(Tabela1[[#This Row],[p(A)]]/Tabela1[[#This Row],[FTAG]],1))</f>
        <v/>
      </c>
      <c r="AQ282" s="107"/>
      <c r="AR282" s="107"/>
      <c r="AS282" s="107"/>
      <c r="AT282" s="107"/>
      <c r="AU282" s="107"/>
      <c r="AV282" s="107"/>
      <c r="AW282" s="107"/>
      <c r="AX282" s="107"/>
      <c r="AY282" s="107"/>
      <c r="AZ282" s="75"/>
      <c r="BA282" s="75"/>
      <c r="BB282" s="75"/>
      <c r="BC282" s="107"/>
      <c r="BD282" s="107"/>
      <c r="BE282" s="107"/>
      <c r="BF282" s="107"/>
      <c r="BG282" s="107"/>
      <c r="BH282" s="107"/>
      <c r="BI282" s="107"/>
      <c r="BJ282" s="107"/>
      <c r="BK282" s="107"/>
      <c r="BL282" s="107"/>
      <c r="BM282" s="107"/>
      <c r="BN282" s="107"/>
      <c r="BO282" s="107"/>
      <c r="BP282" s="107"/>
      <c r="BQ282" s="107"/>
      <c r="BR282" s="107"/>
      <c r="BS282" s="107"/>
      <c r="BT282" s="107"/>
      <c r="BU282" s="107"/>
      <c r="BV282" s="107"/>
      <c r="BW282" s="107"/>
      <c r="BX282" s="75"/>
      <c r="BY282" s="75"/>
      <c r="BZ282" s="75"/>
      <c r="CA282" s="75"/>
      <c r="CB282" s="75"/>
      <c r="CC282" s="75"/>
      <c r="CD282" s="75"/>
      <c r="CE282" s="102"/>
      <c r="CF282" s="102"/>
      <c r="CG282" s="102"/>
      <c r="CH282" s="102"/>
      <c r="CI282" s="102"/>
      <c r="CJ282" s="102"/>
      <c r="CK282" s="102"/>
      <c r="CL282" s="102"/>
      <c r="CM282" s="102"/>
      <c r="CN282" s="102"/>
      <c r="CO282" s="102"/>
      <c r="CP282" s="102"/>
      <c r="CQ282" s="102"/>
      <c r="CR282" s="102"/>
      <c r="CS282" s="102"/>
      <c r="CT282" s="102"/>
      <c r="CU282" s="102"/>
      <c r="CV282" s="102"/>
      <c r="CW282" s="102"/>
      <c r="CX282" s="102"/>
      <c r="CY282" s="102"/>
      <c r="CZ282" s="102"/>
      <c r="DA282" s="102"/>
      <c r="DB282" s="102"/>
      <c r="DC282" s="102"/>
      <c r="DD282" s="102"/>
      <c r="DE282" s="102"/>
      <c r="DF282" s="102"/>
      <c r="DG282" s="102"/>
      <c r="DH282" s="102"/>
      <c r="DI282" s="102"/>
      <c r="DJ282" s="102"/>
      <c r="DK282" s="102"/>
      <c r="DL282" s="102"/>
      <c r="DM282" s="102"/>
      <c r="DN282" s="102"/>
      <c r="DO282" s="102"/>
      <c r="DP282" s="102"/>
    </row>
    <row r="283" spans="1:120" x14ac:dyDescent="0.25">
      <c r="A283" s="4"/>
      <c r="D283"/>
      <c r="E283"/>
      <c r="F283"/>
      <c r="J283" s="68" t="str">
        <f t="shared" si="105"/>
        <v/>
      </c>
      <c r="K283" s="68" t="str">
        <f t="shared" si="106"/>
        <v/>
      </c>
      <c r="L283" s="69" t="str">
        <f t="shared" si="107"/>
        <v/>
      </c>
      <c r="M283" s="69" t="str">
        <f t="shared" si="108"/>
        <v/>
      </c>
      <c r="N283" s="69" t="str">
        <f>IF(A283="","",Tabela1[[#This Row],[PTC]]*Tabela1[[#This Row],[ODDC]])</f>
        <v/>
      </c>
      <c r="O283" s="69" t="str">
        <f>IF(A283="","",Tabela1[[#This Row],[PTV]]*Tabela1[[#This Row],[ODDV]])</f>
        <v/>
      </c>
      <c r="P283" s="68" t="str">
        <f t="shared" si="109"/>
        <v/>
      </c>
      <c r="Q283" s="68" t="str">
        <f t="shared" si="110"/>
        <v/>
      </c>
      <c r="R283" s="68" t="str">
        <f t="shared" si="111"/>
        <v/>
      </c>
      <c r="S283" s="68" t="str">
        <f t="shared" si="112"/>
        <v/>
      </c>
      <c r="T283" s="68" t="str">
        <f>IF(A283="","",IF(F283="D",Tabela1[[#This Row],[ODDE]]-1,-1))</f>
        <v/>
      </c>
      <c r="U283" s="70" t="str">
        <f>IF(A283="","",IF(AND(Tabela1[[#This Row],[FTHG]]&gt;3,F283="H"),1,0))</f>
        <v/>
      </c>
      <c r="V283" s="70" t="str">
        <f>IF(A283="","",IF(AND(Tabela1[[#This Row],[FTAG]]&gt;3,F283="A"),1,0))</f>
        <v/>
      </c>
      <c r="W283" s="70" t="str">
        <f t="shared" si="113"/>
        <v/>
      </c>
      <c r="X283" s="70" t="str">
        <f t="shared" si="114"/>
        <v/>
      </c>
      <c r="Y283" s="71" t="str">
        <f t="shared" si="115"/>
        <v/>
      </c>
      <c r="Z283" s="70" t="str">
        <f t="shared" si="116"/>
        <v/>
      </c>
      <c r="AA283" s="70" t="str">
        <f t="shared" si="117"/>
        <v/>
      </c>
      <c r="AB283" s="70" t="str">
        <f t="shared" si="118"/>
        <v/>
      </c>
      <c r="AC283" s="71" t="str">
        <f t="shared" si="119"/>
        <v/>
      </c>
      <c r="AD283" s="72" t="str">
        <f t="shared" si="120"/>
        <v/>
      </c>
      <c r="AE283" s="73" t="str">
        <f>IF(A283="","",COUNT($N$2:N283))</f>
        <v/>
      </c>
      <c r="AF283" s="74" t="str">
        <f t="shared" si="121"/>
        <v/>
      </c>
      <c r="AG283" s="74" t="str">
        <f t="shared" si="122"/>
        <v/>
      </c>
      <c r="AH283" s="74" t="str">
        <f t="shared" si="123"/>
        <v/>
      </c>
      <c r="AI283" s="74" t="str">
        <f t="shared" si="124"/>
        <v/>
      </c>
      <c r="AJ283" s="74" t="str">
        <f t="shared" si="125"/>
        <v/>
      </c>
      <c r="AK283" s="74" t="str">
        <f>IF(A283="","",1/Tabela1[[#This Row],[ODDC]])</f>
        <v/>
      </c>
      <c r="AL283" s="74" t="str">
        <f>IF(A283="","",1/Tabela1[[#This Row],[ODDE]])</f>
        <v/>
      </c>
      <c r="AM283" s="74" t="str">
        <f>IF(A283="","",1/Tabela1[[#This Row],[ODDV]])</f>
        <v/>
      </c>
      <c r="AN283" s="74" t="str">
        <f>IF(A283="","",1-(Tabela1[[#This Row],[p(H)]]+Tabela1[[#This Row],[p(D)]]+Tabela1[[#This Row],[p(A)]]))</f>
        <v/>
      </c>
      <c r="AO283" s="74" t="str">
        <f>IF(A283="","",IFERROR(Tabela1[[#This Row],[p(H)]]/Tabela1[[#This Row],[FTHG]],1))</f>
        <v/>
      </c>
      <c r="AP283" s="74" t="str">
        <f>IF(A283="","",IFERROR(Tabela1[[#This Row],[p(A)]]/Tabela1[[#This Row],[FTAG]],1))</f>
        <v/>
      </c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75"/>
      <c r="BA283" s="75"/>
      <c r="BB283" s="75"/>
      <c r="BC283" s="107"/>
      <c r="BD283" s="107"/>
      <c r="BE283" s="107"/>
      <c r="BF283" s="107"/>
      <c r="BG283" s="107"/>
      <c r="BH283" s="107"/>
      <c r="BI283" s="107"/>
      <c r="BJ283" s="107"/>
      <c r="BK283" s="107"/>
      <c r="BL283" s="107"/>
      <c r="BM283" s="107"/>
      <c r="BN283" s="107"/>
      <c r="BO283" s="107"/>
      <c r="BP283" s="107"/>
      <c r="BQ283" s="107"/>
      <c r="BR283" s="107"/>
      <c r="BS283" s="107"/>
      <c r="BT283" s="107"/>
      <c r="BU283" s="107"/>
      <c r="BV283" s="107"/>
      <c r="BW283" s="107"/>
      <c r="BX283" s="75"/>
      <c r="BY283" s="75"/>
      <c r="BZ283" s="75"/>
      <c r="CA283" s="75"/>
      <c r="CB283" s="75"/>
      <c r="CC283" s="75"/>
      <c r="CD283" s="75"/>
      <c r="CE283" s="102"/>
      <c r="CF283" s="102"/>
      <c r="CG283" s="102"/>
      <c r="CH283" s="102"/>
      <c r="CI283" s="102"/>
      <c r="CJ283" s="102"/>
      <c r="CK283" s="102"/>
      <c r="CL283" s="102"/>
      <c r="CM283" s="102"/>
      <c r="CN283" s="102"/>
      <c r="CO283" s="102"/>
      <c r="CP283" s="102"/>
      <c r="CQ283" s="102"/>
      <c r="CR283" s="102"/>
      <c r="CS283" s="102"/>
      <c r="CT283" s="102"/>
      <c r="CU283" s="102"/>
      <c r="CV283" s="102"/>
      <c r="CW283" s="102"/>
      <c r="CX283" s="102"/>
      <c r="CY283" s="102"/>
      <c r="CZ283" s="102"/>
      <c r="DA283" s="102"/>
      <c r="DB283" s="102"/>
      <c r="DC283" s="102"/>
      <c r="DD283" s="102"/>
      <c r="DE283" s="102"/>
      <c r="DF283" s="102"/>
      <c r="DG283" s="102"/>
      <c r="DH283" s="102"/>
      <c r="DI283" s="102"/>
      <c r="DJ283" s="102"/>
      <c r="DK283" s="102"/>
      <c r="DL283" s="102"/>
      <c r="DM283" s="102"/>
      <c r="DN283" s="102"/>
      <c r="DO283" s="102"/>
      <c r="DP283" s="102"/>
    </row>
    <row r="284" spans="1:120" x14ac:dyDescent="0.25">
      <c r="A284" s="4"/>
      <c r="D284"/>
      <c r="E284"/>
      <c r="F284"/>
      <c r="J284" s="68" t="str">
        <f t="shared" si="105"/>
        <v/>
      </c>
      <c r="K284" s="68" t="str">
        <f t="shared" si="106"/>
        <v/>
      </c>
      <c r="L284" s="69" t="str">
        <f t="shared" si="107"/>
        <v/>
      </c>
      <c r="M284" s="69" t="str">
        <f t="shared" si="108"/>
        <v/>
      </c>
      <c r="N284" s="69" t="str">
        <f>IF(A284="","",Tabela1[[#This Row],[PTC]]*Tabela1[[#This Row],[ODDC]])</f>
        <v/>
      </c>
      <c r="O284" s="69" t="str">
        <f>IF(A284="","",Tabela1[[#This Row],[PTV]]*Tabela1[[#This Row],[ODDV]])</f>
        <v/>
      </c>
      <c r="P284" s="68" t="str">
        <f t="shared" si="109"/>
        <v/>
      </c>
      <c r="Q284" s="68" t="str">
        <f t="shared" si="110"/>
        <v/>
      </c>
      <c r="R284" s="68" t="str">
        <f t="shared" si="111"/>
        <v/>
      </c>
      <c r="S284" s="68" t="str">
        <f t="shared" si="112"/>
        <v/>
      </c>
      <c r="T284" s="68" t="str">
        <f>IF(A284="","",IF(F284="D",Tabela1[[#This Row],[ODDE]]-1,-1))</f>
        <v/>
      </c>
      <c r="U284" s="70" t="str">
        <f>IF(A284="","",IF(AND(Tabela1[[#This Row],[FTHG]]&gt;3,F284="H"),1,0))</f>
        <v/>
      </c>
      <c r="V284" s="70" t="str">
        <f>IF(A284="","",IF(AND(Tabela1[[#This Row],[FTAG]]&gt;3,F284="A"),1,0))</f>
        <v/>
      </c>
      <c r="W284" s="70" t="str">
        <f t="shared" si="113"/>
        <v/>
      </c>
      <c r="X284" s="70" t="str">
        <f t="shared" si="114"/>
        <v/>
      </c>
      <c r="Y284" s="71" t="str">
        <f t="shared" si="115"/>
        <v/>
      </c>
      <c r="Z284" s="70" t="str">
        <f t="shared" si="116"/>
        <v/>
      </c>
      <c r="AA284" s="70" t="str">
        <f t="shared" si="117"/>
        <v/>
      </c>
      <c r="AB284" s="70" t="str">
        <f t="shared" si="118"/>
        <v/>
      </c>
      <c r="AC284" s="71" t="str">
        <f t="shared" si="119"/>
        <v/>
      </c>
      <c r="AD284" s="72" t="str">
        <f t="shared" si="120"/>
        <v/>
      </c>
      <c r="AE284" s="73" t="str">
        <f>IF(A284="","",COUNT($N$2:N284))</f>
        <v/>
      </c>
      <c r="AF284" s="74" t="str">
        <f t="shared" si="121"/>
        <v/>
      </c>
      <c r="AG284" s="74" t="str">
        <f t="shared" si="122"/>
        <v/>
      </c>
      <c r="AH284" s="74" t="str">
        <f t="shared" si="123"/>
        <v/>
      </c>
      <c r="AI284" s="74" t="str">
        <f t="shared" si="124"/>
        <v/>
      </c>
      <c r="AJ284" s="74" t="str">
        <f t="shared" si="125"/>
        <v/>
      </c>
      <c r="AK284" s="74" t="str">
        <f>IF(A284="","",1/Tabela1[[#This Row],[ODDC]])</f>
        <v/>
      </c>
      <c r="AL284" s="74" t="str">
        <f>IF(A284="","",1/Tabela1[[#This Row],[ODDE]])</f>
        <v/>
      </c>
      <c r="AM284" s="74" t="str">
        <f>IF(A284="","",1/Tabela1[[#This Row],[ODDV]])</f>
        <v/>
      </c>
      <c r="AN284" s="74" t="str">
        <f>IF(A284="","",1-(Tabela1[[#This Row],[p(H)]]+Tabela1[[#This Row],[p(D)]]+Tabela1[[#This Row],[p(A)]]))</f>
        <v/>
      </c>
      <c r="AO284" s="74" t="str">
        <f>IF(A284="","",IFERROR(Tabela1[[#This Row],[p(H)]]/Tabela1[[#This Row],[FTHG]],1))</f>
        <v/>
      </c>
      <c r="AP284" s="74" t="str">
        <f>IF(A284="","",IFERROR(Tabela1[[#This Row],[p(A)]]/Tabela1[[#This Row],[FTAG]],1))</f>
        <v/>
      </c>
      <c r="AQ284" s="107"/>
      <c r="AR284" s="107"/>
      <c r="AS284" s="107"/>
      <c r="AT284" s="107"/>
      <c r="AU284" s="107"/>
      <c r="AV284" s="107"/>
      <c r="AW284" s="107"/>
      <c r="AX284" s="107"/>
      <c r="AY284" s="107"/>
      <c r="AZ284" s="75"/>
      <c r="BA284" s="75"/>
      <c r="BB284" s="75"/>
      <c r="BC284" s="107"/>
      <c r="BD284" s="107"/>
      <c r="BE284" s="107"/>
      <c r="BF284" s="107"/>
      <c r="BG284" s="107"/>
      <c r="BH284" s="107"/>
      <c r="BI284" s="107"/>
      <c r="BJ284" s="107"/>
      <c r="BK284" s="107"/>
      <c r="BL284" s="107"/>
      <c r="BM284" s="107"/>
      <c r="BN284" s="107"/>
      <c r="BO284" s="107"/>
      <c r="BP284" s="107"/>
      <c r="BQ284" s="107"/>
      <c r="BR284" s="107"/>
      <c r="BS284" s="107"/>
      <c r="BT284" s="107"/>
      <c r="BU284" s="107"/>
      <c r="BV284" s="107"/>
      <c r="BW284" s="107"/>
      <c r="BX284" s="75"/>
      <c r="BY284" s="75"/>
      <c r="BZ284" s="75"/>
      <c r="CA284" s="75"/>
      <c r="CB284" s="75"/>
      <c r="CC284" s="75"/>
      <c r="CD284" s="75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2"/>
      <c r="CR284" s="102"/>
      <c r="CS284" s="102"/>
      <c r="CT284" s="102"/>
      <c r="CU284" s="102"/>
      <c r="CV284" s="102"/>
      <c r="CW284" s="102"/>
      <c r="CX284" s="102"/>
      <c r="CY284" s="102"/>
      <c r="CZ284" s="102"/>
      <c r="DA284" s="102"/>
      <c r="DB284" s="102"/>
      <c r="DC284" s="102"/>
      <c r="DD284" s="102"/>
      <c r="DE284" s="102"/>
      <c r="DF284" s="102"/>
      <c r="DG284" s="102"/>
      <c r="DH284" s="102"/>
      <c r="DI284" s="102"/>
      <c r="DJ284" s="102"/>
      <c r="DK284" s="102"/>
      <c r="DL284" s="102"/>
      <c r="DM284" s="102"/>
      <c r="DN284" s="102"/>
      <c r="DO284" s="102"/>
      <c r="DP284" s="102"/>
    </row>
    <row r="285" spans="1:120" x14ac:dyDescent="0.25">
      <c r="A285" s="4"/>
      <c r="D285"/>
      <c r="E285"/>
      <c r="F285"/>
      <c r="J285" s="68" t="str">
        <f t="shared" si="105"/>
        <v/>
      </c>
      <c r="K285" s="68" t="str">
        <f t="shared" si="106"/>
        <v/>
      </c>
      <c r="L285" s="69" t="str">
        <f t="shared" si="107"/>
        <v/>
      </c>
      <c r="M285" s="69" t="str">
        <f t="shared" si="108"/>
        <v/>
      </c>
      <c r="N285" s="69" t="str">
        <f>IF(A285="","",Tabela1[[#This Row],[PTC]]*Tabela1[[#This Row],[ODDC]])</f>
        <v/>
      </c>
      <c r="O285" s="69" t="str">
        <f>IF(A285="","",Tabela1[[#This Row],[PTV]]*Tabela1[[#This Row],[ODDV]])</f>
        <v/>
      </c>
      <c r="P285" s="68" t="str">
        <f t="shared" si="109"/>
        <v/>
      </c>
      <c r="Q285" s="68" t="str">
        <f t="shared" si="110"/>
        <v/>
      </c>
      <c r="R285" s="68" t="str">
        <f t="shared" si="111"/>
        <v/>
      </c>
      <c r="S285" s="68" t="str">
        <f t="shared" si="112"/>
        <v/>
      </c>
      <c r="T285" s="68" t="str">
        <f>IF(A285="","",IF(F285="D",Tabela1[[#This Row],[ODDE]]-1,-1))</f>
        <v/>
      </c>
      <c r="U285" s="70" t="str">
        <f>IF(A285="","",IF(AND(Tabela1[[#This Row],[FTHG]]&gt;3,F285="H"),1,0))</f>
        <v/>
      </c>
      <c r="V285" s="70" t="str">
        <f>IF(A285="","",IF(AND(Tabela1[[#This Row],[FTAG]]&gt;3,F285="A"),1,0))</f>
        <v/>
      </c>
      <c r="W285" s="70" t="str">
        <f t="shared" si="113"/>
        <v/>
      </c>
      <c r="X285" s="70" t="str">
        <f t="shared" si="114"/>
        <v/>
      </c>
      <c r="Y285" s="71" t="str">
        <f t="shared" si="115"/>
        <v/>
      </c>
      <c r="Z285" s="70" t="str">
        <f t="shared" si="116"/>
        <v/>
      </c>
      <c r="AA285" s="70" t="str">
        <f t="shared" si="117"/>
        <v/>
      </c>
      <c r="AB285" s="70" t="str">
        <f t="shared" si="118"/>
        <v/>
      </c>
      <c r="AC285" s="71" t="str">
        <f t="shared" si="119"/>
        <v/>
      </c>
      <c r="AD285" s="72" t="str">
        <f t="shared" si="120"/>
        <v/>
      </c>
      <c r="AE285" s="73" t="str">
        <f>IF(A285="","",COUNT($N$2:N285))</f>
        <v/>
      </c>
      <c r="AF285" s="74" t="str">
        <f t="shared" si="121"/>
        <v/>
      </c>
      <c r="AG285" s="74" t="str">
        <f t="shared" si="122"/>
        <v/>
      </c>
      <c r="AH285" s="74" t="str">
        <f t="shared" si="123"/>
        <v/>
      </c>
      <c r="AI285" s="74" t="str">
        <f t="shared" si="124"/>
        <v/>
      </c>
      <c r="AJ285" s="74" t="str">
        <f t="shared" si="125"/>
        <v/>
      </c>
      <c r="AK285" s="74" t="str">
        <f>IF(A285="","",1/Tabela1[[#This Row],[ODDC]])</f>
        <v/>
      </c>
      <c r="AL285" s="74" t="str">
        <f>IF(A285="","",1/Tabela1[[#This Row],[ODDE]])</f>
        <v/>
      </c>
      <c r="AM285" s="74" t="str">
        <f>IF(A285="","",1/Tabela1[[#This Row],[ODDV]])</f>
        <v/>
      </c>
      <c r="AN285" s="74" t="str">
        <f>IF(A285="","",1-(Tabela1[[#This Row],[p(H)]]+Tabela1[[#This Row],[p(D)]]+Tabela1[[#This Row],[p(A)]]))</f>
        <v/>
      </c>
      <c r="AO285" s="74" t="str">
        <f>IF(A285="","",IFERROR(Tabela1[[#This Row],[p(H)]]/Tabela1[[#This Row],[FTHG]],1))</f>
        <v/>
      </c>
      <c r="AP285" s="74" t="str">
        <f>IF(A285="","",IFERROR(Tabela1[[#This Row],[p(A)]]/Tabela1[[#This Row],[FTAG]],1))</f>
        <v/>
      </c>
      <c r="AQ285" s="107"/>
      <c r="AR285" s="107"/>
      <c r="AS285" s="107"/>
      <c r="AT285" s="107"/>
      <c r="AU285" s="107"/>
      <c r="AV285" s="107"/>
      <c r="AW285" s="107"/>
      <c r="AX285" s="107"/>
      <c r="AY285" s="107"/>
      <c r="AZ285" s="75"/>
      <c r="BA285" s="75"/>
      <c r="BB285" s="75"/>
      <c r="BC285" s="107"/>
      <c r="BD285" s="107"/>
      <c r="BE285" s="107"/>
      <c r="BF285" s="107"/>
      <c r="BG285" s="107"/>
      <c r="BH285" s="107"/>
      <c r="BI285" s="107"/>
      <c r="BJ285" s="107"/>
      <c r="BK285" s="107"/>
      <c r="BL285" s="107"/>
      <c r="BM285" s="107"/>
      <c r="BN285" s="107"/>
      <c r="BO285" s="107"/>
      <c r="BP285" s="107"/>
      <c r="BQ285" s="107"/>
      <c r="BR285" s="107"/>
      <c r="BS285" s="107"/>
      <c r="BT285" s="107"/>
      <c r="BU285" s="107"/>
      <c r="BV285" s="107"/>
      <c r="BW285" s="107"/>
      <c r="BX285" s="75"/>
      <c r="BY285" s="75"/>
      <c r="BZ285" s="75"/>
      <c r="CA285" s="75"/>
      <c r="CB285" s="75"/>
      <c r="CC285" s="75"/>
      <c r="CD285" s="75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2"/>
      <c r="CR285" s="102"/>
      <c r="CS285" s="102"/>
      <c r="CT285" s="102"/>
      <c r="CU285" s="102"/>
      <c r="CV285" s="102"/>
      <c r="CW285" s="102"/>
      <c r="CX285" s="102"/>
      <c r="CY285" s="102"/>
      <c r="CZ285" s="102"/>
      <c r="DA285" s="102"/>
      <c r="DB285" s="102"/>
      <c r="DC285" s="102"/>
      <c r="DD285" s="102"/>
      <c r="DE285" s="102"/>
      <c r="DF285" s="102"/>
      <c r="DG285" s="102"/>
      <c r="DH285" s="102"/>
      <c r="DI285" s="102"/>
      <c r="DJ285" s="102"/>
      <c r="DK285" s="102"/>
      <c r="DL285" s="102"/>
      <c r="DM285" s="102"/>
      <c r="DN285" s="102"/>
      <c r="DO285" s="102"/>
      <c r="DP285" s="102"/>
    </row>
    <row r="286" spans="1:120" x14ac:dyDescent="0.25">
      <c r="A286" s="4"/>
      <c r="D286"/>
      <c r="E286"/>
      <c r="F286"/>
      <c r="J286" s="68" t="str">
        <f t="shared" si="105"/>
        <v/>
      </c>
      <c r="K286" s="68" t="str">
        <f t="shared" si="106"/>
        <v/>
      </c>
      <c r="L286" s="69" t="str">
        <f t="shared" si="107"/>
        <v/>
      </c>
      <c r="M286" s="69" t="str">
        <f t="shared" si="108"/>
        <v/>
      </c>
      <c r="N286" s="69" t="str">
        <f>IF(A286="","",Tabela1[[#This Row],[PTC]]*Tabela1[[#This Row],[ODDC]])</f>
        <v/>
      </c>
      <c r="O286" s="69" t="str">
        <f>IF(A286="","",Tabela1[[#This Row],[PTV]]*Tabela1[[#This Row],[ODDV]])</f>
        <v/>
      </c>
      <c r="P286" s="68" t="str">
        <f t="shared" si="109"/>
        <v/>
      </c>
      <c r="Q286" s="68" t="str">
        <f t="shared" si="110"/>
        <v/>
      </c>
      <c r="R286" s="68" t="str">
        <f t="shared" si="111"/>
        <v/>
      </c>
      <c r="S286" s="68" t="str">
        <f t="shared" si="112"/>
        <v/>
      </c>
      <c r="T286" s="68" t="str">
        <f>IF(A286="","",IF(F286="D",Tabela1[[#This Row],[ODDE]]-1,-1))</f>
        <v/>
      </c>
      <c r="U286" s="70" t="str">
        <f>IF(A286="","",IF(AND(Tabela1[[#This Row],[FTHG]]&gt;3,F286="H"),1,0))</f>
        <v/>
      </c>
      <c r="V286" s="70" t="str">
        <f>IF(A286="","",IF(AND(Tabela1[[#This Row],[FTAG]]&gt;3,F286="A"),1,0))</f>
        <v/>
      </c>
      <c r="W286" s="70" t="str">
        <f t="shared" si="113"/>
        <v/>
      </c>
      <c r="X286" s="70" t="str">
        <f t="shared" si="114"/>
        <v/>
      </c>
      <c r="Y286" s="71" t="str">
        <f t="shared" si="115"/>
        <v/>
      </c>
      <c r="Z286" s="70" t="str">
        <f t="shared" si="116"/>
        <v/>
      </c>
      <c r="AA286" s="70" t="str">
        <f t="shared" si="117"/>
        <v/>
      </c>
      <c r="AB286" s="70" t="str">
        <f t="shared" si="118"/>
        <v/>
      </c>
      <c r="AC286" s="71" t="str">
        <f t="shared" si="119"/>
        <v/>
      </c>
      <c r="AD286" s="72" t="str">
        <f t="shared" si="120"/>
        <v/>
      </c>
      <c r="AE286" s="73" t="str">
        <f>IF(A286="","",COUNT($N$2:N286))</f>
        <v/>
      </c>
      <c r="AF286" s="74" t="str">
        <f t="shared" si="121"/>
        <v/>
      </c>
      <c r="AG286" s="74" t="str">
        <f t="shared" si="122"/>
        <v/>
      </c>
      <c r="AH286" s="74" t="str">
        <f t="shared" si="123"/>
        <v/>
      </c>
      <c r="AI286" s="74" t="str">
        <f t="shared" si="124"/>
        <v/>
      </c>
      <c r="AJ286" s="74" t="str">
        <f t="shared" si="125"/>
        <v/>
      </c>
      <c r="AK286" s="74" t="str">
        <f>IF(A286="","",1/Tabela1[[#This Row],[ODDC]])</f>
        <v/>
      </c>
      <c r="AL286" s="74" t="str">
        <f>IF(A286="","",1/Tabela1[[#This Row],[ODDE]])</f>
        <v/>
      </c>
      <c r="AM286" s="74" t="str">
        <f>IF(A286="","",1/Tabela1[[#This Row],[ODDV]])</f>
        <v/>
      </c>
      <c r="AN286" s="74" t="str">
        <f>IF(A286="","",1-(Tabela1[[#This Row],[p(H)]]+Tabela1[[#This Row],[p(D)]]+Tabela1[[#This Row],[p(A)]]))</f>
        <v/>
      </c>
      <c r="AO286" s="74" t="str">
        <f>IF(A286="","",IFERROR(Tabela1[[#This Row],[p(H)]]/Tabela1[[#This Row],[FTHG]],1))</f>
        <v/>
      </c>
      <c r="AP286" s="74" t="str">
        <f>IF(A286="","",IFERROR(Tabela1[[#This Row],[p(A)]]/Tabela1[[#This Row],[FTAG]],1))</f>
        <v/>
      </c>
      <c r="AQ286" s="107"/>
      <c r="AR286" s="107"/>
      <c r="AS286" s="107"/>
      <c r="AT286" s="107"/>
      <c r="AU286" s="107"/>
      <c r="AV286" s="107"/>
      <c r="AW286" s="107"/>
      <c r="AX286" s="107"/>
      <c r="AY286" s="107"/>
      <c r="AZ286" s="75"/>
      <c r="BA286" s="75"/>
      <c r="BB286" s="75"/>
      <c r="BC286" s="107"/>
      <c r="BD286" s="107"/>
      <c r="BE286" s="107"/>
      <c r="BF286" s="107"/>
      <c r="BG286" s="107"/>
      <c r="BH286" s="107"/>
      <c r="BI286" s="107"/>
      <c r="BJ286" s="107"/>
      <c r="BK286" s="107"/>
      <c r="BL286" s="107"/>
      <c r="BM286" s="107"/>
      <c r="BN286" s="107"/>
      <c r="BO286" s="107"/>
      <c r="BP286" s="107"/>
      <c r="BQ286" s="107"/>
      <c r="BR286" s="107"/>
      <c r="BS286" s="107"/>
      <c r="BT286" s="107"/>
      <c r="BU286" s="107"/>
      <c r="BV286" s="107"/>
      <c r="BW286" s="107"/>
      <c r="BX286" s="75"/>
      <c r="BY286" s="75"/>
      <c r="BZ286" s="75"/>
      <c r="CA286" s="75"/>
      <c r="CB286" s="75"/>
      <c r="CC286" s="75"/>
      <c r="CD286" s="75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2"/>
      <c r="CR286" s="102"/>
      <c r="CS286" s="102"/>
      <c r="CT286" s="102"/>
      <c r="CU286" s="102"/>
      <c r="CV286" s="102"/>
      <c r="CW286" s="102"/>
      <c r="CX286" s="102"/>
      <c r="CY286" s="102"/>
      <c r="CZ286" s="102"/>
      <c r="DA286" s="102"/>
      <c r="DB286" s="102"/>
      <c r="DC286" s="102"/>
      <c r="DD286" s="102"/>
      <c r="DE286" s="102"/>
      <c r="DF286" s="102"/>
      <c r="DG286" s="102"/>
      <c r="DH286" s="102"/>
      <c r="DI286" s="102"/>
      <c r="DJ286" s="102"/>
      <c r="DK286" s="102"/>
      <c r="DL286" s="102"/>
      <c r="DM286" s="102"/>
      <c r="DN286" s="102"/>
      <c r="DO286" s="102"/>
      <c r="DP286" s="102"/>
    </row>
    <row r="287" spans="1:120" x14ac:dyDescent="0.25">
      <c r="A287" s="4"/>
      <c r="D287"/>
      <c r="E287"/>
      <c r="F287"/>
      <c r="J287" s="68" t="str">
        <f t="shared" si="105"/>
        <v/>
      </c>
      <c r="K287" s="68" t="str">
        <f t="shared" si="106"/>
        <v/>
      </c>
      <c r="L287" s="69" t="str">
        <f t="shared" si="107"/>
        <v/>
      </c>
      <c r="M287" s="69" t="str">
        <f t="shared" si="108"/>
        <v/>
      </c>
      <c r="N287" s="69" t="str">
        <f>IF(A287="","",Tabela1[[#This Row],[PTC]]*Tabela1[[#This Row],[ODDC]])</f>
        <v/>
      </c>
      <c r="O287" s="69" t="str">
        <f>IF(A287="","",Tabela1[[#This Row],[PTV]]*Tabela1[[#This Row],[ODDV]])</f>
        <v/>
      </c>
      <c r="P287" s="68" t="str">
        <f t="shared" si="109"/>
        <v/>
      </c>
      <c r="Q287" s="68" t="str">
        <f t="shared" si="110"/>
        <v/>
      </c>
      <c r="R287" s="68" t="str">
        <f t="shared" si="111"/>
        <v/>
      </c>
      <c r="S287" s="68" t="str">
        <f t="shared" si="112"/>
        <v/>
      </c>
      <c r="T287" s="68" t="str">
        <f>IF(A287="","",IF(F287="D",Tabela1[[#This Row],[ODDE]]-1,-1))</f>
        <v/>
      </c>
      <c r="U287" s="70" t="str">
        <f>IF(A287="","",IF(AND(Tabela1[[#This Row],[FTHG]]&gt;3,F287="H"),1,0))</f>
        <v/>
      </c>
      <c r="V287" s="70" t="str">
        <f>IF(A287="","",IF(AND(Tabela1[[#This Row],[FTAG]]&gt;3,F287="A"),1,0))</f>
        <v/>
      </c>
      <c r="W287" s="70" t="str">
        <f t="shared" si="113"/>
        <v/>
      </c>
      <c r="X287" s="70" t="str">
        <f t="shared" si="114"/>
        <v/>
      </c>
      <c r="Y287" s="71" t="str">
        <f t="shared" si="115"/>
        <v/>
      </c>
      <c r="Z287" s="70" t="str">
        <f t="shared" si="116"/>
        <v/>
      </c>
      <c r="AA287" s="70" t="str">
        <f t="shared" si="117"/>
        <v/>
      </c>
      <c r="AB287" s="70" t="str">
        <f t="shared" si="118"/>
        <v/>
      </c>
      <c r="AC287" s="71" t="str">
        <f t="shared" si="119"/>
        <v/>
      </c>
      <c r="AD287" s="72" t="str">
        <f t="shared" si="120"/>
        <v/>
      </c>
      <c r="AE287" s="73" t="str">
        <f>IF(A287="","",COUNT($N$2:N287))</f>
        <v/>
      </c>
      <c r="AF287" s="74" t="str">
        <f t="shared" si="121"/>
        <v/>
      </c>
      <c r="AG287" s="74" t="str">
        <f t="shared" si="122"/>
        <v/>
      </c>
      <c r="AH287" s="74" t="str">
        <f t="shared" si="123"/>
        <v/>
      </c>
      <c r="AI287" s="74" t="str">
        <f t="shared" si="124"/>
        <v/>
      </c>
      <c r="AJ287" s="74" t="str">
        <f t="shared" si="125"/>
        <v/>
      </c>
      <c r="AK287" s="74" t="str">
        <f>IF(A287="","",1/Tabela1[[#This Row],[ODDC]])</f>
        <v/>
      </c>
      <c r="AL287" s="74" t="str">
        <f>IF(A287="","",1/Tabela1[[#This Row],[ODDE]])</f>
        <v/>
      </c>
      <c r="AM287" s="74" t="str">
        <f>IF(A287="","",1/Tabela1[[#This Row],[ODDV]])</f>
        <v/>
      </c>
      <c r="AN287" s="74" t="str">
        <f>IF(A287="","",1-(Tabela1[[#This Row],[p(H)]]+Tabela1[[#This Row],[p(D)]]+Tabela1[[#This Row],[p(A)]]))</f>
        <v/>
      </c>
      <c r="AO287" s="74" t="str">
        <f>IF(A287="","",IFERROR(Tabela1[[#This Row],[p(H)]]/Tabela1[[#This Row],[FTHG]],1))</f>
        <v/>
      </c>
      <c r="AP287" s="74" t="str">
        <f>IF(A287="","",IFERROR(Tabela1[[#This Row],[p(A)]]/Tabela1[[#This Row],[FTAG]],1))</f>
        <v/>
      </c>
      <c r="AQ287" s="107"/>
      <c r="AR287" s="107"/>
      <c r="AS287" s="107"/>
      <c r="AT287" s="107"/>
      <c r="AU287" s="107"/>
      <c r="AV287" s="107"/>
      <c r="AW287" s="107"/>
      <c r="AX287" s="107"/>
      <c r="AY287" s="107"/>
      <c r="AZ287" s="75"/>
      <c r="BA287" s="75"/>
      <c r="BB287" s="75"/>
      <c r="BC287" s="107"/>
      <c r="BD287" s="107"/>
      <c r="BE287" s="107"/>
      <c r="BF287" s="107"/>
      <c r="BG287" s="107"/>
      <c r="BH287" s="107"/>
      <c r="BI287" s="107"/>
      <c r="BJ287" s="107"/>
      <c r="BK287" s="107"/>
      <c r="BL287" s="107"/>
      <c r="BM287" s="107"/>
      <c r="BN287" s="107"/>
      <c r="BO287" s="107"/>
      <c r="BP287" s="107"/>
      <c r="BQ287" s="107"/>
      <c r="BR287" s="107"/>
      <c r="BS287" s="107"/>
      <c r="BT287" s="107"/>
      <c r="BU287" s="107"/>
      <c r="BV287" s="107"/>
      <c r="BW287" s="107"/>
      <c r="BX287" s="75"/>
      <c r="BY287" s="75"/>
      <c r="BZ287" s="75"/>
      <c r="CA287" s="75"/>
      <c r="CB287" s="75"/>
      <c r="CC287" s="75"/>
      <c r="CD287" s="75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2"/>
      <c r="CR287" s="102"/>
      <c r="CS287" s="102"/>
      <c r="CT287" s="102"/>
      <c r="CU287" s="102"/>
      <c r="CV287" s="102"/>
      <c r="CW287" s="102"/>
      <c r="CX287" s="102"/>
      <c r="CY287" s="102"/>
      <c r="CZ287" s="102"/>
      <c r="DA287" s="102"/>
      <c r="DB287" s="102"/>
      <c r="DC287" s="102"/>
      <c r="DD287" s="102"/>
      <c r="DE287" s="102"/>
      <c r="DF287" s="102"/>
      <c r="DG287" s="102"/>
      <c r="DH287" s="102"/>
      <c r="DI287" s="102"/>
      <c r="DJ287" s="102"/>
      <c r="DK287" s="102"/>
      <c r="DL287" s="102"/>
      <c r="DM287" s="102"/>
      <c r="DN287" s="102"/>
      <c r="DO287" s="102"/>
      <c r="DP287" s="102"/>
    </row>
    <row r="288" spans="1:120" x14ac:dyDescent="0.25">
      <c r="A288" s="4"/>
      <c r="D288"/>
      <c r="E288"/>
      <c r="F288"/>
      <c r="J288" s="68" t="str">
        <f t="shared" si="105"/>
        <v/>
      </c>
      <c r="K288" s="68" t="str">
        <f t="shared" si="106"/>
        <v/>
      </c>
      <c r="L288" s="69" t="str">
        <f t="shared" si="107"/>
        <v/>
      </c>
      <c r="M288" s="69" t="str">
        <f t="shared" si="108"/>
        <v/>
      </c>
      <c r="N288" s="69" t="str">
        <f>IF(A288="","",Tabela1[[#This Row],[PTC]]*Tabela1[[#This Row],[ODDC]])</f>
        <v/>
      </c>
      <c r="O288" s="69" t="str">
        <f>IF(A288="","",Tabela1[[#This Row],[PTV]]*Tabela1[[#This Row],[ODDV]])</f>
        <v/>
      </c>
      <c r="P288" s="68" t="str">
        <f t="shared" si="109"/>
        <v/>
      </c>
      <c r="Q288" s="68" t="str">
        <f t="shared" si="110"/>
        <v/>
      </c>
      <c r="R288" s="68" t="str">
        <f t="shared" si="111"/>
        <v/>
      </c>
      <c r="S288" s="68" t="str">
        <f t="shared" si="112"/>
        <v/>
      </c>
      <c r="T288" s="68" t="str">
        <f>IF(A288="","",IF(F288="D",Tabela1[[#This Row],[ODDE]]-1,-1))</f>
        <v/>
      </c>
      <c r="U288" s="70" t="str">
        <f>IF(A288="","",IF(AND(Tabela1[[#This Row],[FTHG]]&gt;3,F288="H"),1,0))</f>
        <v/>
      </c>
      <c r="V288" s="70" t="str">
        <f>IF(A288="","",IF(AND(Tabela1[[#This Row],[FTAG]]&gt;3,F288="A"),1,0))</f>
        <v/>
      </c>
      <c r="W288" s="70" t="str">
        <f t="shared" si="113"/>
        <v/>
      </c>
      <c r="X288" s="70" t="str">
        <f t="shared" si="114"/>
        <v/>
      </c>
      <c r="Y288" s="71" t="str">
        <f t="shared" si="115"/>
        <v/>
      </c>
      <c r="Z288" s="70" t="str">
        <f t="shared" si="116"/>
        <v/>
      </c>
      <c r="AA288" s="70" t="str">
        <f t="shared" si="117"/>
        <v/>
      </c>
      <c r="AB288" s="70" t="str">
        <f t="shared" si="118"/>
        <v/>
      </c>
      <c r="AC288" s="71" t="str">
        <f t="shared" si="119"/>
        <v/>
      </c>
      <c r="AD288" s="72" t="str">
        <f t="shared" si="120"/>
        <v/>
      </c>
      <c r="AE288" s="73" t="str">
        <f>IF(A288="","",COUNT($N$2:N288))</f>
        <v/>
      </c>
      <c r="AF288" s="74" t="str">
        <f t="shared" si="121"/>
        <v/>
      </c>
      <c r="AG288" s="74" t="str">
        <f t="shared" si="122"/>
        <v/>
      </c>
      <c r="AH288" s="74" t="str">
        <f t="shared" si="123"/>
        <v/>
      </c>
      <c r="AI288" s="74" t="str">
        <f t="shared" si="124"/>
        <v/>
      </c>
      <c r="AJ288" s="74" t="str">
        <f t="shared" si="125"/>
        <v/>
      </c>
      <c r="AK288" s="74" t="str">
        <f>IF(A288="","",1/Tabela1[[#This Row],[ODDC]])</f>
        <v/>
      </c>
      <c r="AL288" s="74" t="str">
        <f>IF(A288="","",1/Tabela1[[#This Row],[ODDE]])</f>
        <v/>
      </c>
      <c r="AM288" s="74" t="str">
        <f>IF(A288="","",1/Tabela1[[#This Row],[ODDV]])</f>
        <v/>
      </c>
      <c r="AN288" s="74" t="str">
        <f>IF(A288="","",1-(Tabela1[[#This Row],[p(H)]]+Tabela1[[#This Row],[p(D)]]+Tabela1[[#This Row],[p(A)]]))</f>
        <v/>
      </c>
      <c r="AO288" s="74" t="str">
        <f>IF(A288="","",IFERROR(Tabela1[[#This Row],[p(H)]]/Tabela1[[#This Row],[FTHG]],1))</f>
        <v/>
      </c>
      <c r="AP288" s="74" t="str">
        <f>IF(A288="","",IFERROR(Tabela1[[#This Row],[p(A)]]/Tabela1[[#This Row],[FTAG]],1))</f>
        <v/>
      </c>
      <c r="AQ288" s="107"/>
      <c r="AR288" s="107"/>
      <c r="AS288" s="107"/>
      <c r="AT288" s="107"/>
      <c r="AU288" s="107"/>
      <c r="AV288" s="107"/>
      <c r="AW288" s="107"/>
      <c r="AX288" s="107"/>
      <c r="AY288" s="107"/>
      <c r="AZ288" s="75"/>
      <c r="BA288" s="75"/>
      <c r="BB288" s="75"/>
      <c r="BC288" s="107"/>
      <c r="BD288" s="107"/>
      <c r="BE288" s="107"/>
      <c r="BF288" s="107"/>
      <c r="BG288" s="107"/>
      <c r="BH288" s="107"/>
      <c r="BI288" s="107"/>
      <c r="BJ288" s="107"/>
      <c r="BK288" s="107"/>
      <c r="BL288" s="107"/>
      <c r="BM288" s="107"/>
      <c r="BN288" s="107"/>
      <c r="BO288" s="107"/>
      <c r="BP288" s="107"/>
      <c r="BQ288" s="107"/>
      <c r="BR288" s="107"/>
      <c r="BS288" s="107"/>
      <c r="BT288" s="107"/>
      <c r="BU288" s="107"/>
      <c r="BV288" s="107"/>
      <c r="BW288" s="107"/>
      <c r="BX288" s="75"/>
      <c r="BY288" s="75"/>
      <c r="BZ288" s="75"/>
      <c r="CA288" s="75"/>
      <c r="CB288" s="75"/>
      <c r="CC288" s="75"/>
      <c r="CD288" s="75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2"/>
      <c r="CR288" s="102"/>
      <c r="CS288" s="102"/>
      <c r="CT288" s="102"/>
      <c r="CU288" s="102"/>
      <c r="CV288" s="102"/>
      <c r="CW288" s="102"/>
      <c r="CX288" s="102"/>
      <c r="CY288" s="102"/>
      <c r="CZ288" s="102"/>
      <c r="DA288" s="102"/>
      <c r="DB288" s="102"/>
      <c r="DC288" s="102"/>
      <c r="DD288" s="102"/>
      <c r="DE288" s="102"/>
      <c r="DF288" s="102"/>
      <c r="DG288" s="102"/>
      <c r="DH288" s="102"/>
      <c r="DI288" s="102"/>
      <c r="DJ288" s="102"/>
      <c r="DK288" s="102"/>
      <c r="DL288" s="102"/>
      <c r="DM288" s="102"/>
      <c r="DN288" s="102"/>
      <c r="DO288" s="102"/>
      <c r="DP288" s="102"/>
    </row>
    <row r="289" spans="1:120" x14ac:dyDescent="0.25">
      <c r="A289" s="4"/>
      <c r="D289"/>
      <c r="E289"/>
      <c r="F289"/>
      <c r="J289" s="68" t="str">
        <f t="shared" si="105"/>
        <v/>
      </c>
      <c r="K289" s="68" t="str">
        <f t="shared" si="106"/>
        <v/>
      </c>
      <c r="L289" s="69" t="str">
        <f t="shared" si="107"/>
        <v/>
      </c>
      <c r="M289" s="69" t="str">
        <f t="shared" si="108"/>
        <v/>
      </c>
      <c r="N289" s="69" t="str">
        <f>IF(A289="","",Tabela1[[#This Row],[PTC]]*Tabela1[[#This Row],[ODDC]])</f>
        <v/>
      </c>
      <c r="O289" s="69" t="str">
        <f>IF(A289="","",Tabela1[[#This Row],[PTV]]*Tabela1[[#This Row],[ODDV]])</f>
        <v/>
      </c>
      <c r="P289" s="68" t="str">
        <f t="shared" si="109"/>
        <v/>
      </c>
      <c r="Q289" s="68" t="str">
        <f t="shared" si="110"/>
        <v/>
      </c>
      <c r="R289" s="68" t="str">
        <f t="shared" si="111"/>
        <v/>
      </c>
      <c r="S289" s="68" t="str">
        <f t="shared" si="112"/>
        <v/>
      </c>
      <c r="T289" s="68" t="str">
        <f>IF(A289="","",IF(F289="D",Tabela1[[#This Row],[ODDE]]-1,-1))</f>
        <v/>
      </c>
      <c r="U289" s="70" t="str">
        <f>IF(A289="","",IF(AND(Tabela1[[#This Row],[FTHG]]&gt;3,F289="H"),1,0))</f>
        <v/>
      </c>
      <c r="V289" s="70" t="str">
        <f>IF(A289="","",IF(AND(Tabela1[[#This Row],[FTAG]]&gt;3,F289="A"),1,0))</f>
        <v/>
      </c>
      <c r="W289" s="70" t="str">
        <f t="shared" si="113"/>
        <v/>
      </c>
      <c r="X289" s="70" t="str">
        <f t="shared" si="114"/>
        <v/>
      </c>
      <c r="Y289" s="71" t="str">
        <f t="shared" si="115"/>
        <v/>
      </c>
      <c r="Z289" s="70" t="str">
        <f t="shared" si="116"/>
        <v/>
      </c>
      <c r="AA289" s="70" t="str">
        <f t="shared" si="117"/>
        <v/>
      </c>
      <c r="AB289" s="70" t="str">
        <f t="shared" si="118"/>
        <v/>
      </c>
      <c r="AC289" s="71" t="str">
        <f t="shared" si="119"/>
        <v/>
      </c>
      <c r="AD289" s="72" t="str">
        <f t="shared" si="120"/>
        <v/>
      </c>
      <c r="AE289" s="73" t="str">
        <f>IF(A289="","",COUNT($N$2:N289))</f>
        <v/>
      </c>
      <c r="AF289" s="74" t="str">
        <f t="shared" si="121"/>
        <v/>
      </c>
      <c r="AG289" s="74" t="str">
        <f t="shared" si="122"/>
        <v/>
      </c>
      <c r="AH289" s="74" t="str">
        <f t="shared" si="123"/>
        <v/>
      </c>
      <c r="AI289" s="74" t="str">
        <f t="shared" si="124"/>
        <v/>
      </c>
      <c r="AJ289" s="74" t="str">
        <f t="shared" si="125"/>
        <v/>
      </c>
      <c r="AK289" s="74" t="str">
        <f>IF(A289="","",1/Tabela1[[#This Row],[ODDC]])</f>
        <v/>
      </c>
      <c r="AL289" s="74" t="str">
        <f>IF(A289="","",1/Tabela1[[#This Row],[ODDE]])</f>
        <v/>
      </c>
      <c r="AM289" s="74" t="str">
        <f>IF(A289="","",1/Tabela1[[#This Row],[ODDV]])</f>
        <v/>
      </c>
      <c r="AN289" s="74" t="str">
        <f>IF(A289="","",1-(Tabela1[[#This Row],[p(H)]]+Tabela1[[#This Row],[p(D)]]+Tabela1[[#This Row],[p(A)]]))</f>
        <v/>
      </c>
      <c r="AO289" s="74" t="str">
        <f>IF(A289="","",IFERROR(Tabela1[[#This Row],[p(H)]]/Tabela1[[#This Row],[FTHG]],1))</f>
        <v/>
      </c>
      <c r="AP289" s="74" t="str">
        <f>IF(A289="","",IFERROR(Tabela1[[#This Row],[p(A)]]/Tabela1[[#This Row],[FTAG]],1))</f>
        <v/>
      </c>
      <c r="AQ289" s="107"/>
      <c r="AR289" s="107"/>
      <c r="AS289" s="107"/>
      <c r="AT289" s="107"/>
      <c r="AU289" s="107"/>
      <c r="AV289" s="107"/>
      <c r="AW289" s="107"/>
      <c r="AX289" s="107"/>
      <c r="AY289" s="107"/>
      <c r="AZ289" s="75"/>
      <c r="BA289" s="75"/>
      <c r="BB289" s="75"/>
      <c r="BC289" s="107"/>
      <c r="BD289" s="107"/>
      <c r="BE289" s="107"/>
      <c r="BF289" s="107"/>
      <c r="BG289" s="107"/>
      <c r="BH289" s="107"/>
      <c r="BI289" s="107"/>
      <c r="BJ289" s="107"/>
      <c r="BK289" s="107"/>
      <c r="BL289" s="107"/>
      <c r="BM289" s="107"/>
      <c r="BN289" s="107"/>
      <c r="BO289" s="107"/>
      <c r="BP289" s="107"/>
      <c r="BQ289" s="107"/>
      <c r="BR289" s="107"/>
      <c r="BS289" s="107"/>
      <c r="BT289" s="107"/>
      <c r="BU289" s="107"/>
      <c r="BV289" s="107"/>
      <c r="BW289" s="107"/>
      <c r="BX289" s="75"/>
      <c r="BY289" s="75"/>
      <c r="BZ289" s="75"/>
      <c r="CA289" s="75"/>
      <c r="CB289" s="75"/>
      <c r="CC289" s="75"/>
      <c r="CD289" s="75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2"/>
      <c r="DC289" s="102"/>
      <c r="DD289" s="102"/>
      <c r="DE289" s="102"/>
      <c r="DF289" s="102"/>
      <c r="DG289" s="102"/>
      <c r="DH289" s="102"/>
      <c r="DI289" s="102"/>
      <c r="DJ289" s="102"/>
      <c r="DK289" s="102"/>
      <c r="DL289" s="102"/>
      <c r="DM289" s="102"/>
      <c r="DN289" s="102"/>
      <c r="DO289" s="102"/>
      <c r="DP289" s="102"/>
    </row>
    <row r="290" spans="1:120" x14ac:dyDescent="0.25">
      <c r="A290" s="4"/>
      <c r="D290"/>
      <c r="E290"/>
      <c r="F290"/>
      <c r="J290" s="68" t="str">
        <f t="shared" si="105"/>
        <v/>
      </c>
      <c r="K290" s="68" t="str">
        <f t="shared" si="106"/>
        <v/>
      </c>
      <c r="L290" s="69" t="str">
        <f t="shared" si="107"/>
        <v/>
      </c>
      <c r="M290" s="69" t="str">
        <f t="shared" si="108"/>
        <v/>
      </c>
      <c r="N290" s="69" t="str">
        <f>IF(A290="","",Tabela1[[#This Row],[PTC]]*Tabela1[[#This Row],[ODDC]])</f>
        <v/>
      </c>
      <c r="O290" s="69" t="str">
        <f>IF(A290="","",Tabela1[[#This Row],[PTV]]*Tabela1[[#This Row],[ODDV]])</f>
        <v/>
      </c>
      <c r="P290" s="68" t="str">
        <f t="shared" si="109"/>
        <v/>
      </c>
      <c r="Q290" s="68" t="str">
        <f t="shared" si="110"/>
        <v/>
      </c>
      <c r="R290" s="68" t="str">
        <f t="shared" si="111"/>
        <v/>
      </c>
      <c r="S290" s="68" t="str">
        <f t="shared" si="112"/>
        <v/>
      </c>
      <c r="T290" s="68" t="str">
        <f>IF(A290="","",IF(F290="D",Tabela1[[#This Row],[ODDE]]-1,-1))</f>
        <v/>
      </c>
      <c r="U290" s="70" t="str">
        <f>IF(A290="","",IF(AND(Tabela1[[#This Row],[FTHG]]&gt;3,F290="H"),1,0))</f>
        <v/>
      </c>
      <c r="V290" s="70" t="str">
        <f>IF(A290="","",IF(AND(Tabela1[[#This Row],[FTAG]]&gt;3,F290="A"),1,0))</f>
        <v/>
      </c>
      <c r="W290" s="70" t="str">
        <f t="shared" si="113"/>
        <v/>
      </c>
      <c r="X290" s="70" t="str">
        <f t="shared" si="114"/>
        <v/>
      </c>
      <c r="Y290" s="71" t="str">
        <f t="shared" si="115"/>
        <v/>
      </c>
      <c r="Z290" s="70" t="str">
        <f t="shared" si="116"/>
        <v/>
      </c>
      <c r="AA290" s="70" t="str">
        <f t="shared" si="117"/>
        <v/>
      </c>
      <c r="AB290" s="70" t="str">
        <f t="shared" si="118"/>
        <v/>
      </c>
      <c r="AC290" s="71" t="str">
        <f t="shared" si="119"/>
        <v/>
      </c>
      <c r="AD290" s="72" t="str">
        <f t="shared" si="120"/>
        <v/>
      </c>
      <c r="AE290" s="73" t="str">
        <f>IF(A290="","",COUNT($N$2:N290))</f>
        <v/>
      </c>
      <c r="AF290" s="74" t="str">
        <f t="shared" si="121"/>
        <v/>
      </c>
      <c r="AG290" s="74" t="str">
        <f t="shared" si="122"/>
        <v/>
      </c>
      <c r="AH290" s="74" t="str">
        <f t="shared" si="123"/>
        <v/>
      </c>
      <c r="AI290" s="74" t="str">
        <f t="shared" si="124"/>
        <v/>
      </c>
      <c r="AJ290" s="74" t="str">
        <f t="shared" si="125"/>
        <v/>
      </c>
      <c r="AK290" s="74" t="str">
        <f>IF(A290="","",1/Tabela1[[#This Row],[ODDC]])</f>
        <v/>
      </c>
      <c r="AL290" s="74" t="str">
        <f>IF(A290="","",1/Tabela1[[#This Row],[ODDE]])</f>
        <v/>
      </c>
      <c r="AM290" s="74" t="str">
        <f>IF(A290="","",1/Tabela1[[#This Row],[ODDV]])</f>
        <v/>
      </c>
      <c r="AN290" s="74" t="str">
        <f>IF(A290="","",1-(Tabela1[[#This Row],[p(H)]]+Tabela1[[#This Row],[p(D)]]+Tabela1[[#This Row],[p(A)]]))</f>
        <v/>
      </c>
      <c r="AO290" s="74" t="str">
        <f>IF(A290="","",IFERROR(Tabela1[[#This Row],[p(H)]]/Tabela1[[#This Row],[FTHG]],1))</f>
        <v/>
      </c>
      <c r="AP290" s="74" t="str">
        <f>IF(A290="","",IFERROR(Tabela1[[#This Row],[p(A)]]/Tabela1[[#This Row],[FTAG]],1))</f>
        <v/>
      </c>
      <c r="AQ290" s="107"/>
      <c r="AR290" s="107"/>
      <c r="AS290" s="107"/>
      <c r="AT290" s="107"/>
      <c r="AU290" s="107"/>
      <c r="AV290" s="107"/>
      <c r="AW290" s="107"/>
      <c r="AX290" s="107"/>
      <c r="AY290" s="107"/>
      <c r="AZ290" s="75"/>
      <c r="BA290" s="75"/>
      <c r="BB290" s="75"/>
      <c r="BC290" s="107"/>
      <c r="BD290" s="107"/>
      <c r="BE290" s="107"/>
      <c r="BF290" s="107"/>
      <c r="BG290" s="107"/>
      <c r="BH290" s="107"/>
      <c r="BI290" s="107"/>
      <c r="BJ290" s="107"/>
      <c r="BK290" s="107"/>
      <c r="BL290" s="107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75"/>
      <c r="BY290" s="75"/>
      <c r="BZ290" s="75"/>
      <c r="CA290" s="75"/>
      <c r="CB290" s="75"/>
      <c r="CC290" s="75"/>
      <c r="CD290" s="75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  <c r="CY290" s="102"/>
      <c r="CZ290" s="102"/>
      <c r="DA290" s="102"/>
      <c r="DB290" s="102"/>
      <c r="DC290" s="102"/>
      <c r="DD290" s="102"/>
      <c r="DE290" s="102"/>
      <c r="DF290" s="102"/>
      <c r="DG290" s="102"/>
      <c r="DH290" s="102"/>
      <c r="DI290" s="102"/>
      <c r="DJ290" s="102"/>
      <c r="DK290" s="102"/>
      <c r="DL290" s="102"/>
      <c r="DM290" s="102"/>
      <c r="DN290" s="102"/>
      <c r="DO290" s="102"/>
      <c r="DP290" s="102"/>
    </row>
    <row r="291" spans="1:120" x14ac:dyDescent="0.25">
      <c r="A291" s="4"/>
      <c r="D291"/>
      <c r="E291"/>
      <c r="F291"/>
      <c r="J291" s="68" t="str">
        <f t="shared" si="105"/>
        <v/>
      </c>
      <c r="K291" s="68" t="str">
        <f t="shared" si="106"/>
        <v/>
      </c>
      <c r="L291" s="69" t="str">
        <f t="shared" si="107"/>
        <v/>
      </c>
      <c r="M291" s="69" t="str">
        <f t="shared" si="108"/>
        <v/>
      </c>
      <c r="N291" s="69" t="str">
        <f>IF(A291="","",Tabela1[[#This Row],[PTC]]*Tabela1[[#This Row],[ODDC]])</f>
        <v/>
      </c>
      <c r="O291" s="69" t="str">
        <f>IF(A291="","",Tabela1[[#This Row],[PTV]]*Tabela1[[#This Row],[ODDV]])</f>
        <v/>
      </c>
      <c r="P291" s="68" t="str">
        <f t="shared" si="109"/>
        <v/>
      </c>
      <c r="Q291" s="68" t="str">
        <f t="shared" si="110"/>
        <v/>
      </c>
      <c r="R291" s="68" t="str">
        <f t="shared" si="111"/>
        <v/>
      </c>
      <c r="S291" s="68" t="str">
        <f t="shared" si="112"/>
        <v/>
      </c>
      <c r="T291" s="68" t="str">
        <f>IF(A291="","",IF(F291="D",Tabela1[[#This Row],[ODDE]]-1,-1))</f>
        <v/>
      </c>
      <c r="U291" s="70" t="str">
        <f>IF(A291="","",IF(AND(Tabela1[[#This Row],[FTHG]]&gt;3,F291="H"),1,0))</f>
        <v/>
      </c>
      <c r="V291" s="70" t="str">
        <f>IF(A291="","",IF(AND(Tabela1[[#This Row],[FTAG]]&gt;3,F291="A"),1,0))</f>
        <v/>
      </c>
      <c r="W291" s="70" t="str">
        <f t="shared" si="113"/>
        <v/>
      </c>
      <c r="X291" s="70" t="str">
        <f t="shared" si="114"/>
        <v/>
      </c>
      <c r="Y291" s="71" t="str">
        <f t="shared" si="115"/>
        <v/>
      </c>
      <c r="Z291" s="70" t="str">
        <f t="shared" si="116"/>
        <v/>
      </c>
      <c r="AA291" s="70" t="str">
        <f t="shared" si="117"/>
        <v/>
      </c>
      <c r="AB291" s="70" t="str">
        <f t="shared" si="118"/>
        <v/>
      </c>
      <c r="AC291" s="71" t="str">
        <f t="shared" si="119"/>
        <v/>
      </c>
      <c r="AD291" s="72" t="str">
        <f t="shared" si="120"/>
        <v/>
      </c>
      <c r="AE291" s="73" t="str">
        <f>IF(A291="","",COUNT($N$2:N291))</f>
        <v/>
      </c>
      <c r="AF291" s="74" t="str">
        <f t="shared" si="121"/>
        <v/>
      </c>
      <c r="AG291" s="74" t="str">
        <f t="shared" si="122"/>
        <v/>
      </c>
      <c r="AH291" s="74" t="str">
        <f t="shared" si="123"/>
        <v/>
      </c>
      <c r="AI291" s="74" t="str">
        <f t="shared" si="124"/>
        <v/>
      </c>
      <c r="AJ291" s="74" t="str">
        <f t="shared" si="125"/>
        <v/>
      </c>
      <c r="AK291" s="74" t="str">
        <f>IF(A291="","",1/Tabela1[[#This Row],[ODDC]])</f>
        <v/>
      </c>
      <c r="AL291" s="74" t="str">
        <f>IF(A291="","",1/Tabela1[[#This Row],[ODDE]])</f>
        <v/>
      </c>
      <c r="AM291" s="74" t="str">
        <f>IF(A291="","",1/Tabela1[[#This Row],[ODDV]])</f>
        <v/>
      </c>
      <c r="AN291" s="74" t="str">
        <f>IF(A291="","",1-(Tabela1[[#This Row],[p(H)]]+Tabela1[[#This Row],[p(D)]]+Tabela1[[#This Row],[p(A)]]))</f>
        <v/>
      </c>
      <c r="AO291" s="74" t="str">
        <f>IF(A291="","",IFERROR(Tabela1[[#This Row],[p(H)]]/Tabela1[[#This Row],[FTHG]],1))</f>
        <v/>
      </c>
      <c r="AP291" s="74" t="str">
        <f>IF(A291="","",IFERROR(Tabela1[[#This Row],[p(A)]]/Tabela1[[#This Row],[FTAG]],1))</f>
        <v/>
      </c>
      <c r="AQ291" s="107"/>
      <c r="AR291" s="107"/>
      <c r="AS291" s="107"/>
      <c r="AT291" s="107"/>
      <c r="AU291" s="107"/>
      <c r="AV291" s="107"/>
      <c r="AW291" s="107"/>
      <c r="AX291" s="107"/>
      <c r="AY291" s="107"/>
      <c r="AZ291" s="75"/>
      <c r="BA291" s="75"/>
      <c r="BB291" s="75"/>
      <c r="BC291" s="107"/>
      <c r="BD291" s="107"/>
      <c r="BE291" s="107"/>
      <c r="BF291" s="107"/>
      <c r="BG291" s="107"/>
      <c r="BH291" s="107"/>
      <c r="BI291" s="107"/>
      <c r="BJ291" s="107"/>
      <c r="BK291" s="107"/>
      <c r="BL291" s="107"/>
      <c r="BM291" s="107"/>
      <c r="BN291" s="107"/>
      <c r="BO291" s="107"/>
      <c r="BP291" s="107"/>
      <c r="BQ291" s="107"/>
      <c r="BR291" s="107"/>
      <c r="BS291" s="107"/>
      <c r="BT291" s="107"/>
      <c r="BU291" s="107"/>
      <c r="BV291" s="107"/>
      <c r="BW291" s="107"/>
      <c r="BX291" s="75"/>
      <c r="BY291" s="75"/>
      <c r="BZ291" s="75"/>
      <c r="CA291" s="75"/>
      <c r="CB291" s="75"/>
      <c r="CC291" s="75"/>
      <c r="CD291" s="75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2"/>
      <c r="DC291" s="102"/>
      <c r="DD291" s="102"/>
      <c r="DE291" s="102"/>
      <c r="DF291" s="102"/>
      <c r="DG291" s="102"/>
      <c r="DH291" s="102"/>
      <c r="DI291" s="102"/>
      <c r="DJ291" s="102"/>
      <c r="DK291" s="102"/>
      <c r="DL291" s="102"/>
      <c r="DM291" s="102"/>
      <c r="DN291" s="102"/>
      <c r="DO291" s="102"/>
      <c r="DP291" s="102"/>
    </row>
    <row r="292" spans="1:120" x14ac:dyDescent="0.25">
      <c r="A292" s="4"/>
      <c r="D292"/>
      <c r="E292"/>
      <c r="F292"/>
      <c r="J292" s="68" t="str">
        <f t="shared" si="105"/>
        <v/>
      </c>
      <c r="K292" s="68" t="str">
        <f t="shared" si="106"/>
        <v/>
      </c>
      <c r="L292" s="69" t="str">
        <f t="shared" si="107"/>
        <v/>
      </c>
      <c r="M292" s="69" t="str">
        <f t="shared" si="108"/>
        <v/>
      </c>
      <c r="N292" s="69" t="str">
        <f>IF(A292="","",Tabela1[[#This Row],[PTC]]*Tabela1[[#This Row],[ODDC]])</f>
        <v/>
      </c>
      <c r="O292" s="69" t="str">
        <f>IF(A292="","",Tabela1[[#This Row],[PTV]]*Tabela1[[#This Row],[ODDV]])</f>
        <v/>
      </c>
      <c r="P292" s="68" t="str">
        <f t="shared" si="109"/>
        <v/>
      </c>
      <c r="Q292" s="68" t="str">
        <f t="shared" si="110"/>
        <v/>
      </c>
      <c r="R292" s="68" t="str">
        <f t="shared" si="111"/>
        <v/>
      </c>
      <c r="S292" s="68" t="str">
        <f t="shared" si="112"/>
        <v/>
      </c>
      <c r="T292" s="68" t="str">
        <f>IF(A292="","",IF(F292="D",Tabela1[[#This Row],[ODDE]]-1,-1))</f>
        <v/>
      </c>
      <c r="U292" s="70" t="str">
        <f>IF(A292="","",IF(AND(Tabela1[[#This Row],[FTHG]]&gt;3,F292="H"),1,0))</f>
        <v/>
      </c>
      <c r="V292" s="70" t="str">
        <f>IF(A292="","",IF(AND(Tabela1[[#This Row],[FTAG]]&gt;3,F292="A"),1,0))</f>
        <v/>
      </c>
      <c r="W292" s="70" t="str">
        <f t="shared" si="113"/>
        <v/>
      </c>
      <c r="X292" s="70" t="str">
        <f t="shared" si="114"/>
        <v/>
      </c>
      <c r="Y292" s="71" t="str">
        <f t="shared" si="115"/>
        <v/>
      </c>
      <c r="Z292" s="70" t="str">
        <f t="shared" si="116"/>
        <v/>
      </c>
      <c r="AA292" s="70" t="str">
        <f t="shared" si="117"/>
        <v/>
      </c>
      <c r="AB292" s="70" t="str">
        <f t="shared" si="118"/>
        <v/>
      </c>
      <c r="AC292" s="71" t="str">
        <f t="shared" si="119"/>
        <v/>
      </c>
      <c r="AD292" s="72" t="str">
        <f t="shared" si="120"/>
        <v/>
      </c>
      <c r="AE292" s="73" t="str">
        <f>IF(A292="","",COUNT($N$2:N292))</f>
        <v/>
      </c>
      <c r="AF292" s="74" t="str">
        <f t="shared" si="121"/>
        <v/>
      </c>
      <c r="AG292" s="74" t="str">
        <f t="shared" si="122"/>
        <v/>
      </c>
      <c r="AH292" s="74" t="str">
        <f t="shared" si="123"/>
        <v/>
      </c>
      <c r="AI292" s="74" t="str">
        <f t="shared" si="124"/>
        <v/>
      </c>
      <c r="AJ292" s="74" t="str">
        <f t="shared" si="125"/>
        <v/>
      </c>
      <c r="AK292" s="74" t="str">
        <f>IF(A292="","",1/Tabela1[[#This Row],[ODDC]])</f>
        <v/>
      </c>
      <c r="AL292" s="74" t="str">
        <f>IF(A292="","",1/Tabela1[[#This Row],[ODDE]])</f>
        <v/>
      </c>
      <c r="AM292" s="74" t="str">
        <f>IF(A292="","",1/Tabela1[[#This Row],[ODDV]])</f>
        <v/>
      </c>
      <c r="AN292" s="74" t="str">
        <f>IF(A292="","",1-(Tabela1[[#This Row],[p(H)]]+Tabela1[[#This Row],[p(D)]]+Tabela1[[#This Row],[p(A)]]))</f>
        <v/>
      </c>
      <c r="AO292" s="74" t="str">
        <f>IF(A292="","",IFERROR(Tabela1[[#This Row],[p(H)]]/Tabela1[[#This Row],[FTHG]],1))</f>
        <v/>
      </c>
      <c r="AP292" s="74" t="str">
        <f>IF(A292="","",IFERROR(Tabela1[[#This Row],[p(A)]]/Tabela1[[#This Row],[FTAG]],1))</f>
        <v/>
      </c>
      <c r="AQ292" s="107"/>
      <c r="AR292" s="107"/>
      <c r="AS292" s="107"/>
      <c r="AT292" s="107"/>
      <c r="AU292" s="107"/>
      <c r="AV292" s="107"/>
      <c r="AW292" s="107"/>
      <c r="AX292" s="107"/>
      <c r="AY292" s="107"/>
      <c r="AZ292" s="75"/>
      <c r="BA292" s="75"/>
      <c r="BB292" s="75"/>
      <c r="BC292" s="107"/>
      <c r="BD292" s="107"/>
      <c r="BE292" s="107"/>
      <c r="BF292" s="107"/>
      <c r="BG292" s="107"/>
      <c r="BH292" s="107"/>
      <c r="BI292" s="107"/>
      <c r="BJ292" s="107"/>
      <c r="BK292" s="107"/>
      <c r="BL292" s="107"/>
      <c r="BM292" s="107"/>
      <c r="BN292" s="107"/>
      <c r="BO292" s="107"/>
      <c r="BP292" s="107"/>
      <c r="BQ292" s="107"/>
      <c r="BR292" s="107"/>
      <c r="BS292" s="107"/>
      <c r="BT292" s="107"/>
      <c r="BU292" s="107"/>
      <c r="BV292" s="107"/>
      <c r="BW292" s="107"/>
      <c r="BX292" s="75"/>
      <c r="BY292" s="75"/>
      <c r="BZ292" s="75"/>
      <c r="CA292" s="75"/>
      <c r="CB292" s="75"/>
      <c r="CC292" s="75"/>
      <c r="CD292" s="75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2"/>
      <c r="DC292" s="102"/>
      <c r="DD292" s="102"/>
      <c r="DE292" s="102"/>
      <c r="DF292" s="102"/>
      <c r="DG292" s="102"/>
      <c r="DH292" s="102"/>
      <c r="DI292" s="102"/>
      <c r="DJ292" s="102"/>
      <c r="DK292" s="102"/>
      <c r="DL292" s="102"/>
      <c r="DM292" s="102"/>
      <c r="DN292" s="102"/>
      <c r="DO292" s="102"/>
      <c r="DP292" s="102"/>
    </row>
    <row r="293" spans="1:120" x14ac:dyDescent="0.25">
      <c r="A293" s="4"/>
      <c r="D293"/>
      <c r="E293"/>
      <c r="F293"/>
      <c r="J293" s="68" t="str">
        <f t="shared" si="105"/>
        <v/>
      </c>
      <c r="K293" s="68" t="str">
        <f t="shared" si="106"/>
        <v/>
      </c>
      <c r="L293" s="69" t="str">
        <f t="shared" si="107"/>
        <v/>
      </c>
      <c r="M293" s="69" t="str">
        <f t="shared" si="108"/>
        <v/>
      </c>
      <c r="N293" s="69" t="str">
        <f>IF(A293="","",Tabela1[[#This Row],[PTC]]*Tabela1[[#This Row],[ODDC]])</f>
        <v/>
      </c>
      <c r="O293" s="69" t="str">
        <f>IF(A293="","",Tabela1[[#This Row],[PTV]]*Tabela1[[#This Row],[ODDV]])</f>
        <v/>
      </c>
      <c r="P293" s="68" t="str">
        <f t="shared" si="109"/>
        <v/>
      </c>
      <c r="Q293" s="68" t="str">
        <f t="shared" si="110"/>
        <v/>
      </c>
      <c r="R293" s="68" t="str">
        <f t="shared" si="111"/>
        <v/>
      </c>
      <c r="S293" s="68" t="str">
        <f t="shared" si="112"/>
        <v/>
      </c>
      <c r="T293" s="68" t="str">
        <f>IF(A293="","",IF(F293="D",Tabela1[[#This Row],[ODDE]]-1,-1))</f>
        <v/>
      </c>
      <c r="U293" s="70" t="str">
        <f>IF(A293="","",IF(AND(Tabela1[[#This Row],[FTHG]]&gt;3,F293="H"),1,0))</f>
        <v/>
      </c>
      <c r="V293" s="70" t="str">
        <f>IF(A293="","",IF(AND(Tabela1[[#This Row],[FTAG]]&gt;3,F293="A"),1,0))</f>
        <v/>
      </c>
      <c r="W293" s="70" t="str">
        <f t="shared" si="113"/>
        <v/>
      </c>
      <c r="X293" s="70" t="str">
        <f t="shared" si="114"/>
        <v/>
      </c>
      <c r="Y293" s="71" t="str">
        <f t="shared" si="115"/>
        <v/>
      </c>
      <c r="Z293" s="70" t="str">
        <f t="shared" si="116"/>
        <v/>
      </c>
      <c r="AA293" s="70" t="str">
        <f t="shared" si="117"/>
        <v/>
      </c>
      <c r="AB293" s="70" t="str">
        <f t="shared" si="118"/>
        <v/>
      </c>
      <c r="AC293" s="71" t="str">
        <f t="shared" si="119"/>
        <v/>
      </c>
      <c r="AD293" s="72" t="str">
        <f t="shared" si="120"/>
        <v/>
      </c>
      <c r="AE293" s="73" t="str">
        <f>IF(A293="","",COUNT($N$2:N293))</f>
        <v/>
      </c>
      <c r="AF293" s="74" t="str">
        <f t="shared" si="121"/>
        <v/>
      </c>
      <c r="AG293" s="74" t="str">
        <f t="shared" si="122"/>
        <v/>
      </c>
      <c r="AH293" s="74" t="str">
        <f t="shared" si="123"/>
        <v/>
      </c>
      <c r="AI293" s="74" t="str">
        <f t="shared" si="124"/>
        <v/>
      </c>
      <c r="AJ293" s="74" t="str">
        <f t="shared" si="125"/>
        <v/>
      </c>
      <c r="AK293" s="74" t="str">
        <f>IF(A293="","",1/Tabela1[[#This Row],[ODDC]])</f>
        <v/>
      </c>
      <c r="AL293" s="74" t="str">
        <f>IF(A293="","",1/Tabela1[[#This Row],[ODDE]])</f>
        <v/>
      </c>
      <c r="AM293" s="74" t="str">
        <f>IF(A293="","",1/Tabela1[[#This Row],[ODDV]])</f>
        <v/>
      </c>
      <c r="AN293" s="74" t="str">
        <f>IF(A293="","",1-(Tabela1[[#This Row],[p(H)]]+Tabela1[[#This Row],[p(D)]]+Tabela1[[#This Row],[p(A)]]))</f>
        <v/>
      </c>
      <c r="AO293" s="74" t="str">
        <f>IF(A293="","",IFERROR(Tabela1[[#This Row],[p(H)]]/Tabela1[[#This Row],[FTHG]],1))</f>
        <v/>
      </c>
      <c r="AP293" s="74" t="str">
        <f>IF(A293="","",IFERROR(Tabela1[[#This Row],[p(A)]]/Tabela1[[#This Row],[FTAG]],1))</f>
        <v/>
      </c>
      <c r="AQ293" s="107"/>
      <c r="AR293" s="107"/>
      <c r="AS293" s="107"/>
      <c r="AT293" s="107"/>
      <c r="AU293" s="107"/>
      <c r="AV293" s="107"/>
      <c r="AW293" s="107"/>
      <c r="AX293" s="107"/>
      <c r="AY293" s="107"/>
      <c r="AZ293" s="75"/>
      <c r="BA293" s="75"/>
      <c r="BB293" s="75"/>
      <c r="BC293" s="107"/>
      <c r="BD293" s="107"/>
      <c r="BE293" s="107"/>
      <c r="BF293" s="107"/>
      <c r="BG293" s="107"/>
      <c r="BH293" s="107"/>
      <c r="BI293" s="107"/>
      <c r="BJ293" s="107"/>
      <c r="BK293" s="107"/>
      <c r="BL293" s="107"/>
      <c r="BM293" s="107"/>
      <c r="BN293" s="107"/>
      <c r="BO293" s="107"/>
      <c r="BP293" s="107"/>
      <c r="BQ293" s="107"/>
      <c r="BR293" s="107"/>
      <c r="BS293" s="107"/>
      <c r="BT293" s="107"/>
      <c r="BU293" s="107"/>
      <c r="BV293" s="107"/>
      <c r="BW293" s="107"/>
      <c r="BX293" s="75"/>
      <c r="BY293" s="75"/>
      <c r="BZ293" s="75"/>
      <c r="CA293" s="75"/>
      <c r="CB293" s="75"/>
      <c r="CC293" s="75"/>
      <c r="CD293" s="75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2"/>
      <c r="DC293" s="102"/>
      <c r="DD293" s="102"/>
      <c r="DE293" s="102"/>
      <c r="DF293" s="102"/>
      <c r="DG293" s="102"/>
      <c r="DH293" s="102"/>
      <c r="DI293" s="102"/>
      <c r="DJ293" s="102"/>
      <c r="DK293" s="102"/>
      <c r="DL293" s="102"/>
      <c r="DM293" s="102"/>
      <c r="DN293" s="102"/>
      <c r="DO293" s="102"/>
      <c r="DP293" s="102"/>
    </row>
    <row r="294" spans="1:120" x14ac:dyDescent="0.25">
      <c r="A294" s="4"/>
      <c r="D294"/>
      <c r="E294"/>
      <c r="F294"/>
      <c r="J294" s="68" t="str">
        <f t="shared" si="105"/>
        <v/>
      </c>
      <c r="K294" s="68" t="str">
        <f t="shared" si="106"/>
        <v/>
      </c>
      <c r="L294" s="69" t="str">
        <f t="shared" si="107"/>
        <v/>
      </c>
      <c r="M294" s="69" t="str">
        <f t="shared" si="108"/>
        <v/>
      </c>
      <c r="N294" s="69" t="str">
        <f>IF(A294="","",Tabela1[[#This Row],[PTC]]*Tabela1[[#This Row],[ODDC]])</f>
        <v/>
      </c>
      <c r="O294" s="69" t="str">
        <f>IF(A294="","",Tabela1[[#This Row],[PTV]]*Tabela1[[#This Row],[ODDV]])</f>
        <v/>
      </c>
      <c r="P294" s="68" t="str">
        <f t="shared" si="109"/>
        <v/>
      </c>
      <c r="Q294" s="68" t="str">
        <f t="shared" si="110"/>
        <v/>
      </c>
      <c r="R294" s="68" t="str">
        <f t="shared" si="111"/>
        <v/>
      </c>
      <c r="S294" s="68" t="str">
        <f t="shared" si="112"/>
        <v/>
      </c>
      <c r="T294" s="68" t="str">
        <f>IF(A294="","",IF(F294="D",Tabela1[[#This Row],[ODDE]]-1,-1))</f>
        <v/>
      </c>
      <c r="U294" s="70" t="str">
        <f>IF(A294="","",IF(AND(Tabela1[[#This Row],[FTHG]]&gt;3,F294="H"),1,0))</f>
        <v/>
      </c>
      <c r="V294" s="70" t="str">
        <f>IF(A294="","",IF(AND(Tabela1[[#This Row],[FTAG]]&gt;3,F294="A"),1,0))</f>
        <v/>
      </c>
      <c r="W294" s="70" t="str">
        <f t="shared" si="113"/>
        <v/>
      </c>
      <c r="X294" s="70" t="str">
        <f t="shared" si="114"/>
        <v/>
      </c>
      <c r="Y294" s="71" t="str">
        <f t="shared" si="115"/>
        <v/>
      </c>
      <c r="Z294" s="70" t="str">
        <f t="shared" si="116"/>
        <v/>
      </c>
      <c r="AA294" s="70" t="str">
        <f t="shared" si="117"/>
        <v/>
      </c>
      <c r="AB294" s="70" t="str">
        <f t="shared" si="118"/>
        <v/>
      </c>
      <c r="AC294" s="71" t="str">
        <f t="shared" si="119"/>
        <v/>
      </c>
      <c r="AD294" s="72" t="str">
        <f t="shared" si="120"/>
        <v/>
      </c>
      <c r="AE294" s="73" t="str">
        <f>IF(A294="","",COUNT($N$2:N294))</f>
        <v/>
      </c>
      <c r="AF294" s="74" t="str">
        <f t="shared" si="121"/>
        <v/>
      </c>
      <c r="AG294" s="74" t="str">
        <f t="shared" si="122"/>
        <v/>
      </c>
      <c r="AH294" s="74" t="str">
        <f t="shared" si="123"/>
        <v/>
      </c>
      <c r="AI294" s="74" t="str">
        <f t="shared" si="124"/>
        <v/>
      </c>
      <c r="AJ294" s="74" t="str">
        <f t="shared" si="125"/>
        <v/>
      </c>
      <c r="AK294" s="74" t="str">
        <f>IF(A294="","",1/Tabela1[[#This Row],[ODDC]])</f>
        <v/>
      </c>
      <c r="AL294" s="74" t="str">
        <f>IF(A294="","",1/Tabela1[[#This Row],[ODDE]])</f>
        <v/>
      </c>
      <c r="AM294" s="74" t="str">
        <f>IF(A294="","",1/Tabela1[[#This Row],[ODDV]])</f>
        <v/>
      </c>
      <c r="AN294" s="74" t="str">
        <f>IF(A294="","",1-(Tabela1[[#This Row],[p(H)]]+Tabela1[[#This Row],[p(D)]]+Tabela1[[#This Row],[p(A)]]))</f>
        <v/>
      </c>
      <c r="AO294" s="74" t="str">
        <f>IF(A294="","",IFERROR(Tabela1[[#This Row],[p(H)]]/Tabela1[[#This Row],[FTHG]],1))</f>
        <v/>
      </c>
      <c r="AP294" s="74" t="str">
        <f>IF(A294="","",IFERROR(Tabela1[[#This Row],[p(A)]]/Tabela1[[#This Row],[FTAG]],1))</f>
        <v/>
      </c>
      <c r="AQ294" s="107"/>
      <c r="AR294" s="107"/>
      <c r="AS294" s="107"/>
      <c r="AT294" s="107"/>
      <c r="AU294" s="107"/>
      <c r="AV294" s="107"/>
      <c r="AW294" s="107"/>
      <c r="AX294" s="107"/>
      <c r="AY294" s="107"/>
      <c r="AZ294" s="75"/>
      <c r="BA294" s="75"/>
      <c r="BB294" s="75"/>
      <c r="BC294" s="107"/>
      <c r="BD294" s="107"/>
      <c r="BE294" s="107"/>
      <c r="BF294" s="107"/>
      <c r="BG294" s="107"/>
      <c r="BH294" s="107"/>
      <c r="BI294" s="107"/>
      <c r="BJ294" s="107"/>
      <c r="BK294" s="107"/>
      <c r="BL294" s="107"/>
      <c r="BM294" s="107"/>
      <c r="BN294" s="107"/>
      <c r="BO294" s="107"/>
      <c r="BP294" s="107"/>
      <c r="BQ294" s="107"/>
      <c r="BR294" s="107"/>
      <c r="BS294" s="107"/>
      <c r="BT294" s="107"/>
      <c r="BU294" s="107"/>
      <c r="BV294" s="107"/>
      <c r="BW294" s="107"/>
      <c r="BX294" s="75"/>
      <c r="BY294" s="75"/>
      <c r="BZ294" s="75"/>
      <c r="CA294" s="75"/>
      <c r="CB294" s="75"/>
      <c r="CC294" s="75"/>
      <c r="CD294" s="75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2"/>
      <c r="CS294" s="102"/>
      <c r="CT294" s="102"/>
      <c r="CU294" s="102"/>
      <c r="CV294" s="102"/>
      <c r="CW294" s="102"/>
      <c r="CX294" s="102"/>
      <c r="CY294" s="102"/>
      <c r="CZ294" s="102"/>
      <c r="DA294" s="102"/>
      <c r="DB294" s="102"/>
      <c r="DC294" s="102"/>
      <c r="DD294" s="102"/>
      <c r="DE294" s="102"/>
      <c r="DF294" s="102"/>
      <c r="DG294" s="102"/>
      <c r="DH294" s="102"/>
      <c r="DI294" s="102"/>
      <c r="DJ294" s="102"/>
      <c r="DK294" s="102"/>
      <c r="DL294" s="102"/>
      <c r="DM294" s="102"/>
      <c r="DN294" s="102"/>
      <c r="DO294" s="102"/>
      <c r="DP294" s="102"/>
    </row>
    <row r="295" spans="1:120" x14ac:dyDescent="0.25">
      <c r="A295" s="4"/>
      <c r="D295"/>
      <c r="E295"/>
      <c r="F295"/>
      <c r="J295" s="68" t="str">
        <f t="shared" si="105"/>
        <v/>
      </c>
      <c r="K295" s="68" t="str">
        <f t="shared" si="106"/>
        <v/>
      </c>
      <c r="L295" s="69" t="str">
        <f t="shared" si="107"/>
        <v/>
      </c>
      <c r="M295" s="69" t="str">
        <f t="shared" si="108"/>
        <v/>
      </c>
      <c r="N295" s="69" t="str">
        <f>IF(A295="","",Tabela1[[#This Row],[PTC]]*Tabela1[[#This Row],[ODDC]])</f>
        <v/>
      </c>
      <c r="O295" s="69" t="str">
        <f>IF(A295="","",Tabela1[[#This Row],[PTV]]*Tabela1[[#This Row],[ODDV]])</f>
        <v/>
      </c>
      <c r="P295" s="68" t="str">
        <f t="shared" si="109"/>
        <v/>
      </c>
      <c r="Q295" s="68" t="str">
        <f t="shared" si="110"/>
        <v/>
      </c>
      <c r="R295" s="68" t="str">
        <f t="shared" si="111"/>
        <v/>
      </c>
      <c r="S295" s="68" t="str">
        <f t="shared" si="112"/>
        <v/>
      </c>
      <c r="T295" s="68" t="str">
        <f>IF(A295="","",IF(F295="D",Tabela1[[#This Row],[ODDE]]-1,-1))</f>
        <v/>
      </c>
      <c r="U295" s="70" t="str">
        <f>IF(A295="","",IF(AND(Tabela1[[#This Row],[FTHG]]&gt;3,F295="H"),1,0))</f>
        <v/>
      </c>
      <c r="V295" s="70" t="str">
        <f>IF(A295="","",IF(AND(Tabela1[[#This Row],[FTAG]]&gt;3,F295="A"),1,0))</f>
        <v/>
      </c>
      <c r="W295" s="70" t="str">
        <f t="shared" si="113"/>
        <v/>
      </c>
      <c r="X295" s="70" t="str">
        <f t="shared" si="114"/>
        <v/>
      </c>
      <c r="Y295" s="71" t="str">
        <f t="shared" si="115"/>
        <v/>
      </c>
      <c r="Z295" s="70" t="str">
        <f t="shared" si="116"/>
        <v/>
      </c>
      <c r="AA295" s="70" t="str">
        <f t="shared" si="117"/>
        <v/>
      </c>
      <c r="AB295" s="70" t="str">
        <f t="shared" si="118"/>
        <v/>
      </c>
      <c r="AC295" s="71" t="str">
        <f t="shared" si="119"/>
        <v/>
      </c>
      <c r="AD295" s="72" t="str">
        <f t="shared" si="120"/>
        <v/>
      </c>
      <c r="AE295" s="73" t="str">
        <f>IF(A295="","",COUNT($N$2:N295))</f>
        <v/>
      </c>
      <c r="AF295" s="74" t="str">
        <f t="shared" si="121"/>
        <v/>
      </c>
      <c r="AG295" s="74" t="str">
        <f t="shared" si="122"/>
        <v/>
      </c>
      <c r="AH295" s="74" t="str">
        <f t="shared" si="123"/>
        <v/>
      </c>
      <c r="AI295" s="74" t="str">
        <f t="shared" si="124"/>
        <v/>
      </c>
      <c r="AJ295" s="74" t="str">
        <f t="shared" si="125"/>
        <v/>
      </c>
      <c r="AK295" s="74" t="str">
        <f>IF(A295="","",1/Tabela1[[#This Row],[ODDC]])</f>
        <v/>
      </c>
      <c r="AL295" s="74" t="str">
        <f>IF(A295="","",1/Tabela1[[#This Row],[ODDE]])</f>
        <v/>
      </c>
      <c r="AM295" s="74" t="str">
        <f>IF(A295="","",1/Tabela1[[#This Row],[ODDV]])</f>
        <v/>
      </c>
      <c r="AN295" s="74" t="str">
        <f>IF(A295="","",1-(Tabela1[[#This Row],[p(H)]]+Tabela1[[#This Row],[p(D)]]+Tabela1[[#This Row],[p(A)]]))</f>
        <v/>
      </c>
      <c r="AO295" s="74" t="str">
        <f>IF(A295="","",IFERROR(Tabela1[[#This Row],[p(H)]]/Tabela1[[#This Row],[FTHG]],1))</f>
        <v/>
      </c>
      <c r="AP295" s="74" t="str">
        <f>IF(A295="","",IFERROR(Tabela1[[#This Row],[p(A)]]/Tabela1[[#This Row],[FTAG]],1))</f>
        <v/>
      </c>
      <c r="AQ295" s="107"/>
      <c r="AR295" s="107"/>
      <c r="AS295" s="107"/>
      <c r="AT295" s="107"/>
      <c r="AU295" s="107"/>
      <c r="AV295" s="107"/>
      <c r="AW295" s="107"/>
      <c r="AX295" s="107"/>
      <c r="AY295" s="107"/>
      <c r="AZ295" s="75"/>
      <c r="BA295" s="75"/>
      <c r="BB295" s="75"/>
      <c r="BC295" s="107"/>
      <c r="BD295" s="107"/>
      <c r="BE295" s="107"/>
      <c r="BF295" s="107"/>
      <c r="BG295" s="107"/>
      <c r="BH295" s="107"/>
      <c r="BI295" s="107"/>
      <c r="BJ295" s="107"/>
      <c r="BK295" s="107"/>
      <c r="BL295" s="107"/>
      <c r="BM295" s="107"/>
      <c r="BN295" s="107"/>
      <c r="BO295" s="107"/>
      <c r="BP295" s="107"/>
      <c r="BQ295" s="107"/>
      <c r="BR295" s="107"/>
      <c r="BS295" s="107"/>
      <c r="BT295" s="107"/>
      <c r="BU295" s="107"/>
      <c r="BV295" s="107"/>
      <c r="BW295" s="107"/>
      <c r="BX295" s="75"/>
      <c r="BY295" s="75"/>
      <c r="BZ295" s="75"/>
      <c r="CA295" s="75"/>
      <c r="CB295" s="75"/>
      <c r="CC295" s="75"/>
      <c r="CD295" s="75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  <c r="CY295" s="102"/>
      <c r="CZ295" s="102"/>
      <c r="DA295" s="102"/>
      <c r="DB295" s="102"/>
      <c r="DC295" s="102"/>
      <c r="DD295" s="102"/>
      <c r="DE295" s="102"/>
      <c r="DF295" s="102"/>
      <c r="DG295" s="102"/>
      <c r="DH295" s="102"/>
      <c r="DI295" s="102"/>
      <c r="DJ295" s="102"/>
      <c r="DK295" s="102"/>
      <c r="DL295" s="102"/>
      <c r="DM295" s="102"/>
      <c r="DN295" s="102"/>
      <c r="DO295" s="102"/>
      <c r="DP295" s="102"/>
    </row>
    <row r="296" spans="1:120" x14ac:dyDescent="0.25">
      <c r="A296" s="4"/>
      <c r="D296"/>
      <c r="E296"/>
      <c r="F296"/>
      <c r="J296" s="68" t="str">
        <f t="shared" si="105"/>
        <v/>
      </c>
      <c r="K296" s="68" t="str">
        <f t="shared" si="106"/>
        <v/>
      </c>
      <c r="L296" s="69" t="str">
        <f t="shared" si="107"/>
        <v/>
      </c>
      <c r="M296" s="69" t="str">
        <f t="shared" si="108"/>
        <v/>
      </c>
      <c r="N296" s="69" t="str">
        <f>IF(A296="","",Tabela1[[#This Row],[PTC]]*Tabela1[[#This Row],[ODDC]])</f>
        <v/>
      </c>
      <c r="O296" s="69" t="str">
        <f>IF(A296="","",Tabela1[[#This Row],[PTV]]*Tabela1[[#This Row],[ODDV]])</f>
        <v/>
      </c>
      <c r="P296" s="68" t="str">
        <f t="shared" si="109"/>
        <v/>
      </c>
      <c r="Q296" s="68" t="str">
        <f t="shared" si="110"/>
        <v/>
      </c>
      <c r="R296" s="68" t="str">
        <f t="shared" si="111"/>
        <v/>
      </c>
      <c r="S296" s="68" t="str">
        <f t="shared" si="112"/>
        <v/>
      </c>
      <c r="T296" s="68" t="str">
        <f>IF(A296="","",IF(F296="D",Tabela1[[#This Row],[ODDE]]-1,-1))</f>
        <v/>
      </c>
      <c r="U296" s="70" t="str">
        <f>IF(A296="","",IF(AND(Tabela1[[#This Row],[FTHG]]&gt;3,F296="H"),1,0))</f>
        <v/>
      </c>
      <c r="V296" s="70" t="str">
        <f>IF(A296="","",IF(AND(Tabela1[[#This Row],[FTAG]]&gt;3,F296="A"),1,0))</f>
        <v/>
      </c>
      <c r="W296" s="70" t="str">
        <f t="shared" si="113"/>
        <v/>
      </c>
      <c r="X296" s="70" t="str">
        <f t="shared" si="114"/>
        <v/>
      </c>
      <c r="Y296" s="71" t="str">
        <f t="shared" si="115"/>
        <v/>
      </c>
      <c r="Z296" s="70" t="str">
        <f t="shared" si="116"/>
        <v/>
      </c>
      <c r="AA296" s="70" t="str">
        <f t="shared" si="117"/>
        <v/>
      </c>
      <c r="AB296" s="70" t="str">
        <f t="shared" si="118"/>
        <v/>
      </c>
      <c r="AC296" s="71" t="str">
        <f t="shared" si="119"/>
        <v/>
      </c>
      <c r="AD296" s="72" t="str">
        <f t="shared" si="120"/>
        <v/>
      </c>
      <c r="AE296" s="73" t="str">
        <f>IF(A296="","",COUNT($N$2:N296))</f>
        <v/>
      </c>
      <c r="AF296" s="74" t="str">
        <f t="shared" si="121"/>
        <v/>
      </c>
      <c r="AG296" s="74" t="str">
        <f t="shared" si="122"/>
        <v/>
      </c>
      <c r="AH296" s="74" t="str">
        <f t="shared" si="123"/>
        <v/>
      </c>
      <c r="AI296" s="74" t="str">
        <f t="shared" si="124"/>
        <v/>
      </c>
      <c r="AJ296" s="74" t="str">
        <f t="shared" si="125"/>
        <v/>
      </c>
      <c r="AK296" s="74" t="str">
        <f>IF(A296="","",1/Tabela1[[#This Row],[ODDC]])</f>
        <v/>
      </c>
      <c r="AL296" s="74" t="str">
        <f>IF(A296="","",1/Tabela1[[#This Row],[ODDE]])</f>
        <v/>
      </c>
      <c r="AM296" s="74" t="str">
        <f>IF(A296="","",1/Tabela1[[#This Row],[ODDV]])</f>
        <v/>
      </c>
      <c r="AN296" s="74" t="str">
        <f>IF(A296="","",1-(Tabela1[[#This Row],[p(H)]]+Tabela1[[#This Row],[p(D)]]+Tabela1[[#This Row],[p(A)]]))</f>
        <v/>
      </c>
      <c r="AO296" s="74" t="str">
        <f>IF(A296="","",IFERROR(Tabela1[[#This Row],[p(H)]]/Tabela1[[#This Row],[FTHG]],1))</f>
        <v/>
      </c>
      <c r="AP296" s="74" t="str">
        <f>IF(A296="","",IFERROR(Tabela1[[#This Row],[p(A)]]/Tabela1[[#This Row],[FTAG]],1))</f>
        <v/>
      </c>
      <c r="AQ296" s="107"/>
      <c r="AR296" s="107"/>
      <c r="AS296" s="107"/>
      <c r="AT296" s="107"/>
      <c r="AU296" s="107"/>
      <c r="AV296" s="107"/>
      <c r="AW296" s="107"/>
      <c r="AX296" s="107"/>
      <c r="AY296" s="107"/>
      <c r="AZ296" s="75"/>
      <c r="BA296" s="75"/>
      <c r="BB296" s="75"/>
      <c r="BC296" s="107"/>
      <c r="BD296" s="107"/>
      <c r="BE296" s="107"/>
      <c r="BF296" s="107"/>
      <c r="BG296" s="107"/>
      <c r="BH296" s="107"/>
      <c r="BI296" s="107"/>
      <c r="BJ296" s="107"/>
      <c r="BK296" s="107"/>
      <c r="BL296" s="107"/>
      <c r="BM296" s="107"/>
      <c r="BN296" s="107"/>
      <c r="BO296" s="107"/>
      <c r="BP296" s="107"/>
      <c r="BQ296" s="107"/>
      <c r="BR296" s="107"/>
      <c r="BS296" s="107"/>
      <c r="BT296" s="107"/>
      <c r="BU296" s="107"/>
      <c r="BV296" s="107"/>
      <c r="BW296" s="107"/>
      <c r="BX296" s="75"/>
      <c r="BY296" s="75"/>
      <c r="BZ296" s="75"/>
      <c r="CA296" s="75"/>
      <c r="CB296" s="75"/>
      <c r="CC296" s="75"/>
      <c r="CD296" s="75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2"/>
      <c r="DC296" s="102"/>
      <c r="DD296" s="102"/>
      <c r="DE296" s="102"/>
      <c r="DF296" s="102"/>
      <c r="DG296" s="102"/>
      <c r="DH296" s="102"/>
      <c r="DI296" s="102"/>
      <c r="DJ296" s="102"/>
      <c r="DK296" s="102"/>
      <c r="DL296" s="102"/>
      <c r="DM296" s="102"/>
      <c r="DN296" s="102"/>
      <c r="DO296" s="102"/>
      <c r="DP296" s="102"/>
    </row>
    <row r="297" spans="1:120" x14ac:dyDescent="0.25">
      <c r="A297" s="4"/>
      <c r="D297"/>
      <c r="E297"/>
      <c r="F297"/>
      <c r="J297" s="68" t="str">
        <f t="shared" si="105"/>
        <v/>
      </c>
      <c r="K297" s="68" t="str">
        <f t="shared" si="106"/>
        <v/>
      </c>
      <c r="L297" s="69" t="str">
        <f t="shared" si="107"/>
        <v/>
      </c>
      <c r="M297" s="69" t="str">
        <f t="shared" si="108"/>
        <v/>
      </c>
      <c r="N297" s="69" t="str">
        <f>IF(A297="","",Tabela1[[#This Row],[PTC]]*Tabela1[[#This Row],[ODDC]])</f>
        <v/>
      </c>
      <c r="O297" s="69" t="str">
        <f>IF(A297="","",Tabela1[[#This Row],[PTV]]*Tabela1[[#This Row],[ODDV]])</f>
        <v/>
      </c>
      <c r="P297" s="68" t="str">
        <f t="shared" si="109"/>
        <v/>
      </c>
      <c r="Q297" s="68" t="str">
        <f t="shared" si="110"/>
        <v/>
      </c>
      <c r="R297" s="68" t="str">
        <f t="shared" si="111"/>
        <v/>
      </c>
      <c r="S297" s="68" t="str">
        <f t="shared" si="112"/>
        <v/>
      </c>
      <c r="T297" s="68" t="str">
        <f>IF(A297="","",IF(F297="D",Tabela1[[#This Row],[ODDE]]-1,-1))</f>
        <v/>
      </c>
      <c r="U297" s="70" t="str">
        <f>IF(A297="","",IF(AND(Tabela1[[#This Row],[FTHG]]&gt;3,F297="H"),1,0))</f>
        <v/>
      </c>
      <c r="V297" s="70" t="str">
        <f>IF(A297="","",IF(AND(Tabela1[[#This Row],[FTAG]]&gt;3,F297="A"),1,0))</f>
        <v/>
      </c>
      <c r="W297" s="70" t="str">
        <f t="shared" si="113"/>
        <v/>
      </c>
      <c r="X297" s="70" t="str">
        <f t="shared" si="114"/>
        <v/>
      </c>
      <c r="Y297" s="71" t="str">
        <f t="shared" si="115"/>
        <v/>
      </c>
      <c r="Z297" s="70" t="str">
        <f t="shared" si="116"/>
        <v/>
      </c>
      <c r="AA297" s="70" t="str">
        <f t="shared" si="117"/>
        <v/>
      </c>
      <c r="AB297" s="70" t="str">
        <f t="shared" si="118"/>
        <v/>
      </c>
      <c r="AC297" s="71" t="str">
        <f t="shared" si="119"/>
        <v/>
      </c>
      <c r="AD297" s="72" t="str">
        <f t="shared" si="120"/>
        <v/>
      </c>
      <c r="AE297" s="73" t="str">
        <f>IF(A297="","",COUNT($N$2:N297))</f>
        <v/>
      </c>
      <c r="AF297" s="74" t="str">
        <f t="shared" si="121"/>
        <v/>
      </c>
      <c r="AG297" s="74" t="str">
        <f t="shared" si="122"/>
        <v/>
      </c>
      <c r="AH297" s="74" t="str">
        <f t="shared" si="123"/>
        <v/>
      </c>
      <c r="AI297" s="74" t="str">
        <f t="shared" si="124"/>
        <v/>
      </c>
      <c r="AJ297" s="74" t="str">
        <f t="shared" si="125"/>
        <v/>
      </c>
      <c r="AK297" s="74" t="str">
        <f>IF(A297="","",1/Tabela1[[#This Row],[ODDC]])</f>
        <v/>
      </c>
      <c r="AL297" s="74" t="str">
        <f>IF(A297="","",1/Tabela1[[#This Row],[ODDE]])</f>
        <v/>
      </c>
      <c r="AM297" s="74" t="str">
        <f>IF(A297="","",1/Tabela1[[#This Row],[ODDV]])</f>
        <v/>
      </c>
      <c r="AN297" s="74" t="str">
        <f>IF(A297="","",1-(Tabela1[[#This Row],[p(H)]]+Tabela1[[#This Row],[p(D)]]+Tabela1[[#This Row],[p(A)]]))</f>
        <v/>
      </c>
      <c r="AO297" s="74" t="str">
        <f>IF(A297="","",IFERROR(Tabela1[[#This Row],[p(H)]]/Tabela1[[#This Row],[FTHG]],1))</f>
        <v/>
      </c>
      <c r="AP297" s="74" t="str">
        <f>IF(A297="","",IFERROR(Tabela1[[#This Row],[p(A)]]/Tabela1[[#This Row],[FTAG]],1))</f>
        <v/>
      </c>
      <c r="AQ297" s="107"/>
      <c r="AR297" s="107"/>
      <c r="AS297" s="107"/>
      <c r="AT297" s="107"/>
      <c r="AU297" s="107"/>
      <c r="AV297" s="107"/>
      <c r="AW297" s="107"/>
      <c r="AX297" s="107"/>
      <c r="AY297" s="107"/>
      <c r="AZ297" s="75"/>
      <c r="BA297" s="75"/>
      <c r="BB297" s="75"/>
      <c r="BC297" s="107"/>
      <c r="BD297" s="107"/>
      <c r="BE297" s="107"/>
      <c r="BF297" s="107"/>
      <c r="BG297" s="107"/>
      <c r="BH297" s="107"/>
      <c r="BI297" s="107"/>
      <c r="BJ297" s="107"/>
      <c r="BK297" s="107"/>
      <c r="BL297" s="107"/>
      <c r="BM297" s="107"/>
      <c r="BN297" s="107"/>
      <c r="BO297" s="107"/>
      <c r="BP297" s="107"/>
      <c r="BQ297" s="107"/>
      <c r="BR297" s="107"/>
      <c r="BS297" s="107"/>
      <c r="BT297" s="107"/>
      <c r="BU297" s="107"/>
      <c r="BV297" s="107"/>
      <c r="BW297" s="107"/>
      <c r="BX297" s="75"/>
      <c r="BY297" s="75"/>
      <c r="BZ297" s="75"/>
      <c r="CA297" s="75"/>
      <c r="CB297" s="75"/>
      <c r="CC297" s="75"/>
      <c r="CD297" s="75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  <c r="CY297" s="102"/>
      <c r="CZ297" s="102"/>
      <c r="DA297" s="102"/>
      <c r="DB297" s="102"/>
      <c r="DC297" s="102"/>
      <c r="DD297" s="102"/>
      <c r="DE297" s="102"/>
      <c r="DF297" s="102"/>
      <c r="DG297" s="102"/>
      <c r="DH297" s="102"/>
      <c r="DI297" s="102"/>
      <c r="DJ297" s="102"/>
      <c r="DK297" s="102"/>
      <c r="DL297" s="102"/>
      <c r="DM297" s="102"/>
      <c r="DN297" s="102"/>
      <c r="DO297" s="102"/>
      <c r="DP297" s="102"/>
    </row>
    <row r="298" spans="1:120" x14ac:dyDescent="0.25">
      <c r="A298" s="4"/>
      <c r="D298"/>
      <c r="E298"/>
      <c r="F298"/>
      <c r="J298" s="68" t="str">
        <f t="shared" si="105"/>
        <v/>
      </c>
      <c r="K298" s="68" t="str">
        <f t="shared" si="106"/>
        <v/>
      </c>
      <c r="L298" s="69" t="str">
        <f t="shared" si="107"/>
        <v/>
      </c>
      <c r="M298" s="69" t="str">
        <f t="shared" si="108"/>
        <v/>
      </c>
      <c r="N298" s="69" t="str">
        <f>IF(A298="","",Tabela1[[#This Row],[PTC]]*Tabela1[[#This Row],[ODDC]])</f>
        <v/>
      </c>
      <c r="O298" s="69" t="str">
        <f>IF(A298="","",Tabela1[[#This Row],[PTV]]*Tabela1[[#This Row],[ODDV]])</f>
        <v/>
      </c>
      <c r="P298" s="68" t="str">
        <f t="shared" si="109"/>
        <v/>
      </c>
      <c r="Q298" s="68" t="str">
        <f t="shared" si="110"/>
        <v/>
      </c>
      <c r="R298" s="68" t="str">
        <f t="shared" si="111"/>
        <v/>
      </c>
      <c r="S298" s="68" t="str">
        <f t="shared" si="112"/>
        <v/>
      </c>
      <c r="T298" s="68" t="str">
        <f>IF(A298="","",IF(F298="D",Tabela1[[#This Row],[ODDE]]-1,-1))</f>
        <v/>
      </c>
      <c r="U298" s="70" t="str">
        <f>IF(A298="","",IF(AND(Tabela1[[#This Row],[FTHG]]&gt;3,F298="H"),1,0))</f>
        <v/>
      </c>
      <c r="V298" s="70" t="str">
        <f>IF(A298="","",IF(AND(Tabela1[[#This Row],[FTAG]]&gt;3,F298="A"),1,0))</f>
        <v/>
      </c>
      <c r="W298" s="70" t="str">
        <f t="shared" si="113"/>
        <v/>
      </c>
      <c r="X298" s="70" t="str">
        <f t="shared" si="114"/>
        <v/>
      </c>
      <c r="Y298" s="71" t="str">
        <f t="shared" si="115"/>
        <v/>
      </c>
      <c r="Z298" s="70" t="str">
        <f t="shared" si="116"/>
        <v/>
      </c>
      <c r="AA298" s="70" t="str">
        <f t="shared" si="117"/>
        <v/>
      </c>
      <c r="AB298" s="70" t="str">
        <f t="shared" si="118"/>
        <v/>
      </c>
      <c r="AC298" s="71" t="str">
        <f t="shared" si="119"/>
        <v/>
      </c>
      <c r="AD298" s="72" t="str">
        <f t="shared" si="120"/>
        <v/>
      </c>
      <c r="AE298" s="73" t="str">
        <f>IF(A298="","",COUNT($N$2:N298))</f>
        <v/>
      </c>
      <c r="AF298" s="74" t="str">
        <f t="shared" si="121"/>
        <v/>
      </c>
      <c r="AG298" s="74" t="str">
        <f t="shared" si="122"/>
        <v/>
      </c>
      <c r="AH298" s="74" t="str">
        <f t="shared" si="123"/>
        <v/>
      </c>
      <c r="AI298" s="74" t="str">
        <f t="shared" si="124"/>
        <v/>
      </c>
      <c r="AJ298" s="74" t="str">
        <f t="shared" si="125"/>
        <v/>
      </c>
      <c r="AK298" s="74" t="str">
        <f>IF(A298="","",1/Tabela1[[#This Row],[ODDC]])</f>
        <v/>
      </c>
      <c r="AL298" s="74" t="str">
        <f>IF(A298="","",1/Tabela1[[#This Row],[ODDE]])</f>
        <v/>
      </c>
      <c r="AM298" s="74" t="str">
        <f>IF(A298="","",1/Tabela1[[#This Row],[ODDV]])</f>
        <v/>
      </c>
      <c r="AN298" s="74" t="str">
        <f>IF(A298="","",1-(Tabela1[[#This Row],[p(H)]]+Tabela1[[#This Row],[p(D)]]+Tabela1[[#This Row],[p(A)]]))</f>
        <v/>
      </c>
      <c r="AO298" s="74" t="str">
        <f>IF(A298="","",IFERROR(Tabela1[[#This Row],[p(H)]]/Tabela1[[#This Row],[FTHG]],1))</f>
        <v/>
      </c>
      <c r="AP298" s="74" t="str">
        <f>IF(A298="","",IFERROR(Tabela1[[#This Row],[p(A)]]/Tabela1[[#This Row],[FTAG]],1))</f>
        <v/>
      </c>
      <c r="AQ298" s="107"/>
      <c r="AR298" s="107"/>
      <c r="AS298" s="107"/>
      <c r="AT298" s="107"/>
      <c r="AU298" s="107"/>
      <c r="AV298" s="107"/>
      <c r="AW298" s="107"/>
      <c r="AX298" s="107"/>
      <c r="AY298" s="107"/>
      <c r="AZ298" s="75"/>
      <c r="BA298" s="75"/>
      <c r="BB298" s="75"/>
      <c r="BC298" s="107"/>
      <c r="BD298" s="107"/>
      <c r="BE298" s="107"/>
      <c r="BF298" s="107"/>
      <c r="BG298" s="107"/>
      <c r="BH298" s="107"/>
      <c r="BI298" s="107"/>
      <c r="BJ298" s="107"/>
      <c r="BK298" s="107"/>
      <c r="BL298" s="107"/>
      <c r="BM298" s="107"/>
      <c r="BN298" s="107"/>
      <c r="BO298" s="107"/>
      <c r="BP298" s="107"/>
      <c r="BQ298" s="107"/>
      <c r="BR298" s="107"/>
      <c r="BS298" s="107"/>
      <c r="BT298" s="107"/>
      <c r="BU298" s="107"/>
      <c r="BV298" s="107"/>
      <c r="BW298" s="107"/>
      <c r="BX298" s="75"/>
      <c r="BY298" s="75"/>
      <c r="BZ298" s="75"/>
      <c r="CA298" s="75"/>
      <c r="CB298" s="75"/>
      <c r="CC298" s="75"/>
      <c r="CD298" s="75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2"/>
      <c r="CR298" s="102"/>
      <c r="CS298" s="102"/>
      <c r="CT298" s="102"/>
      <c r="CU298" s="102"/>
      <c r="CV298" s="102"/>
      <c r="CW298" s="102"/>
      <c r="CX298" s="102"/>
      <c r="CY298" s="102"/>
      <c r="CZ298" s="102"/>
      <c r="DA298" s="102"/>
      <c r="DB298" s="102"/>
      <c r="DC298" s="102"/>
      <c r="DD298" s="102"/>
      <c r="DE298" s="102"/>
      <c r="DF298" s="102"/>
      <c r="DG298" s="102"/>
      <c r="DH298" s="102"/>
      <c r="DI298" s="102"/>
      <c r="DJ298" s="102"/>
      <c r="DK298" s="102"/>
      <c r="DL298" s="102"/>
      <c r="DM298" s="102"/>
      <c r="DN298" s="102"/>
      <c r="DO298" s="102"/>
      <c r="DP298" s="102"/>
    </row>
    <row r="299" spans="1:120" x14ac:dyDescent="0.25">
      <c r="A299" s="4"/>
      <c r="D299"/>
      <c r="E299"/>
      <c r="F299"/>
      <c r="J299" s="68" t="str">
        <f t="shared" si="105"/>
        <v/>
      </c>
      <c r="K299" s="68" t="str">
        <f t="shared" si="106"/>
        <v/>
      </c>
      <c r="L299" s="69" t="str">
        <f t="shared" si="107"/>
        <v/>
      </c>
      <c r="M299" s="69" t="str">
        <f t="shared" si="108"/>
        <v/>
      </c>
      <c r="N299" s="69" t="str">
        <f>IF(A299="","",Tabela1[[#This Row],[PTC]]*Tabela1[[#This Row],[ODDC]])</f>
        <v/>
      </c>
      <c r="O299" s="69" t="str">
        <f>IF(A299="","",Tabela1[[#This Row],[PTV]]*Tabela1[[#This Row],[ODDV]])</f>
        <v/>
      </c>
      <c r="P299" s="68" t="str">
        <f t="shared" si="109"/>
        <v/>
      </c>
      <c r="Q299" s="68" t="str">
        <f t="shared" si="110"/>
        <v/>
      </c>
      <c r="R299" s="68" t="str">
        <f t="shared" si="111"/>
        <v/>
      </c>
      <c r="S299" s="68" t="str">
        <f t="shared" si="112"/>
        <v/>
      </c>
      <c r="T299" s="68" t="str">
        <f>IF(A299="","",IF(F299="D",Tabela1[[#This Row],[ODDE]]-1,-1))</f>
        <v/>
      </c>
      <c r="U299" s="70" t="str">
        <f>IF(A299="","",IF(AND(Tabela1[[#This Row],[FTHG]]&gt;3,F299="H"),1,0))</f>
        <v/>
      </c>
      <c r="V299" s="70" t="str">
        <f>IF(A299="","",IF(AND(Tabela1[[#This Row],[FTAG]]&gt;3,F299="A"),1,0))</f>
        <v/>
      </c>
      <c r="W299" s="70" t="str">
        <f t="shared" si="113"/>
        <v/>
      </c>
      <c r="X299" s="70" t="str">
        <f t="shared" si="114"/>
        <v/>
      </c>
      <c r="Y299" s="71" t="str">
        <f t="shared" si="115"/>
        <v/>
      </c>
      <c r="Z299" s="70" t="str">
        <f t="shared" si="116"/>
        <v/>
      </c>
      <c r="AA299" s="70" t="str">
        <f t="shared" si="117"/>
        <v/>
      </c>
      <c r="AB299" s="70" t="str">
        <f t="shared" si="118"/>
        <v/>
      </c>
      <c r="AC299" s="71" t="str">
        <f t="shared" si="119"/>
        <v/>
      </c>
      <c r="AD299" s="72" t="str">
        <f t="shared" si="120"/>
        <v/>
      </c>
      <c r="AE299" s="73" t="str">
        <f>IF(A299="","",COUNT($N$2:N299))</f>
        <v/>
      </c>
      <c r="AF299" s="74" t="str">
        <f t="shared" si="121"/>
        <v/>
      </c>
      <c r="AG299" s="74" t="str">
        <f t="shared" si="122"/>
        <v/>
      </c>
      <c r="AH299" s="74" t="str">
        <f t="shared" si="123"/>
        <v/>
      </c>
      <c r="AI299" s="74" t="str">
        <f t="shared" si="124"/>
        <v/>
      </c>
      <c r="AJ299" s="74" t="str">
        <f t="shared" si="125"/>
        <v/>
      </c>
      <c r="AK299" s="74" t="str">
        <f>IF(A299="","",1/Tabela1[[#This Row],[ODDC]])</f>
        <v/>
      </c>
      <c r="AL299" s="74" t="str">
        <f>IF(A299="","",1/Tabela1[[#This Row],[ODDE]])</f>
        <v/>
      </c>
      <c r="AM299" s="74" t="str">
        <f>IF(A299="","",1/Tabela1[[#This Row],[ODDV]])</f>
        <v/>
      </c>
      <c r="AN299" s="74" t="str">
        <f>IF(A299="","",1-(Tabela1[[#This Row],[p(H)]]+Tabela1[[#This Row],[p(D)]]+Tabela1[[#This Row],[p(A)]]))</f>
        <v/>
      </c>
      <c r="AO299" s="74" t="str">
        <f>IF(A299="","",IFERROR(Tabela1[[#This Row],[p(H)]]/Tabela1[[#This Row],[FTHG]],1))</f>
        <v/>
      </c>
      <c r="AP299" s="74" t="str">
        <f>IF(A299="","",IFERROR(Tabela1[[#This Row],[p(A)]]/Tabela1[[#This Row],[FTAG]],1))</f>
        <v/>
      </c>
      <c r="AQ299" s="107"/>
      <c r="AR299" s="107"/>
      <c r="AS299" s="107"/>
      <c r="AT299" s="107"/>
      <c r="AU299" s="107"/>
      <c r="AV299" s="107"/>
      <c r="AW299" s="107"/>
      <c r="AX299" s="107"/>
      <c r="AY299" s="107"/>
      <c r="AZ299" s="75"/>
      <c r="BA299" s="75"/>
      <c r="BB299" s="75"/>
      <c r="BC299" s="107"/>
      <c r="BD299" s="107"/>
      <c r="BE299" s="107"/>
      <c r="BF299" s="107"/>
      <c r="BG299" s="107"/>
      <c r="BH299" s="107"/>
      <c r="BI299" s="107"/>
      <c r="BJ299" s="107"/>
      <c r="BK299" s="107"/>
      <c r="BL299" s="107"/>
      <c r="BM299" s="107"/>
      <c r="BN299" s="107"/>
      <c r="BO299" s="107"/>
      <c r="BP299" s="107"/>
      <c r="BQ299" s="107"/>
      <c r="BR299" s="107"/>
      <c r="BS299" s="107"/>
      <c r="BT299" s="107"/>
      <c r="BU299" s="107"/>
      <c r="BV299" s="107"/>
      <c r="BW299" s="107"/>
      <c r="BX299" s="75"/>
      <c r="BY299" s="75"/>
      <c r="BZ299" s="75"/>
      <c r="CA299" s="75"/>
      <c r="CB299" s="75"/>
      <c r="CC299" s="75"/>
      <c r="CD299" s="75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2"/>
      <c r="CT299" s="102"/>
      <c r="CU299" s="102"/>
      <c r="CV299" s="102"/>
      <c r="CW299" s="102"/>
      <c r="CX299" s="102"/>
      <c r="CY299" s="102"/>
      <c r="CZ299" s="102"/>
      <c r="DA299" s="102"/>
      <c r="DB299" s="102"/>
      <c r="DC299" s="102"/>
      <c r="DD299" s="102"/>
      <c r="DE299" s="102"/>
      <c r="DF299" s="102"/>
      <c r="DG299" s="102"/>
      <c r="DH299" s="102"/>
      <c r="DI299" s="102"/>
      <c r="DJ299" s="102"/>
      <c r="DK299" s="102"/>
      <c r="DL299" s="102"/>
      <c r="DM299" s="102"/>
      <c r="DN299" s="102"/>
      <c r="DO299" s="102"/>
      <c r="DP299" s="102"/>
    </row>
    <row r="300" spans="1:120" x14ac:dyDescent="0.25">
      <c r="A300" s="4"/>
      <c r="D300"/>
      <c r="E300"/>
      <c r="F300"/>
      <c r="J300" s="68" t="str">
        <f t="shared" si="105"/>
        <v/>
      </c>
      <c r="K300" s="68" t="str">
        <f t="shared" si="106"/>
        <v/>
      </c>
      <c r="L300" s="69" t="str">
        <f t="shared" si="107"/>
        <v/>
      </c>
      <c r="M300" s="69" t="str">
        <f t="shared" si="108"/>
        <v/>
      </c>
      <c r="N300" s="69" t="str">
        <f>IF(A300="","",Tabela1[[#This Row],[PTC]]*Tabela1[[#This Row],[ODDC]])</f>
        <v/>
      </c>
      <c r="O300" s="69" t="str">
        <f>IF(A300="","",Tabela1[[#This Row],[PTV]]*Tabela1[[#This Row],[ODDV]])</f>
        <v/>
      </c>
      <c r="P300" s="68" t="str">
        <f t="shared" si="109"/>
        <v/>
      </c>
      <c r="Q300" s="68" t="str">
        <f t="shared" si="110"/>
        <v/>
      </c>
      <c r="R300" s="68" t="str">
        <f t="shared" si="111"/>
        <v/>
      </c>
      <c r="S300" s="68" t="str">
        <f t="shared" si="112"/>
        <v/>
      </c>
      <c r="T300" s="68" t="str">
        <f>IF(A300="","",IF(F300="D",Tabela1[[#This Row],[ODDE]]-1,-1))</f>
        <v/>
      </c>
      <c r="U300" s="70" t="str">
        <f>IF(A300="","",IF(AND(Tabela1[[#This Row],[FTHG]]&gt;3,F300="H"),1,0))</f>
        <v/>
      </c>
      <c r="V300" s="70" t="str">
        <f>IF(A300="","",IF(AND(Tabela1[[#This Row],[FTAG]]&gt;3,F300="A"),1,0))</f>
        <v/>
      </c>
      <c r="W300" s="70" t="str">
        <f t="shared" si="113"/>
        <v/>
      </c>
      <c r="X300" s="70" t="str">
        <f t="shared" si="114"/>
        <v/>
      </c>
      <c r="Y300" s="71" t="str">
        <f t="shared" si="115"/>
        <v/>
      </c>
      <c r="Z300" s="70" t="str">
        <f t="shared" si="116"/>
        <v/>
      </c>
      <c r="AA300" s="70" t="str">
        <f t="shared" si="117"/>
        <v/>
      </c>
      <c r="AB300" s="70" t="str">
        <f t="shared" si="118"/>
        <v/>
      </c>
      <c r="AC300" s="71" t="str">
        <f t="shared" si="119"/>
        <v/>
      </c>
      <c r="AD300" s="72" t="str">
        <f t="shared" si="120"/>
        <v/>
      </c>
      <c r="AE300" s="73" t="str">
        <f>IF(A300="","",COUNT($N$2:N300))</f>
        <v/>
      </c>
      <c r="AF300" s="74" t="str">
        <f t="shared" si="121"/>
        <v/>
      </c>
      <c r="AG300" s="74" t="str">
        <f t="shared" si="122"/>
        <v/>
      </c>
      <c r="AH300" s="74" t="str">
        <f t="shared" si="123"/>
        <v/>
      </c>
      <c r="AI300" s="74" t="str">
        <f t="shared" si="124"/>
        <v/>
      </c>
      <c r="AJ300" s="74" t="str">
        <f t="shared" si="125"/>
        <v/>
      </c>
      <c r="AK300" s="74" t="str">
        <f>IF(A300="","",1/Tabela1[[#This Row],[ODDC]])</f>
        <v/>
      </c>
      <c r="AL300" s="74" t="str">
        <f>IF(A300="","",1/Tabela1[[#This Row],[ODDE]])</f>
        <v/>
      </c>
      <c r="AM300" s="74" t="str">
        <f>IF(A300="","",1/Tabela1[[#This Row],[ODDV]])</f>
        <v/>
      </c>
      <c r="AN300" s="74" t="str">
        <f>IF(A300="","",1-(Tabela1[[#This Row],[p(H)]]+Tabela1[[#This Row],[p(D)]]+Tabela1[[#This Row],[p(A)]]))</f>
        <v/>
      </c>
      <c r="AO300" s="74" t="str">
        <f>IF(A300="","",IFERROR(Tabela1[[#This Row],[p(H)]]/Tabela1[[#This Row],[FTHG]],1))</f>
        <v/>
      </c>
      <c r="AP300" s="74" t="str">
        <f>IF(A300="","",IFERROR(Tabela1[[#This Row],[p(A)]]/Tabela1[[#This Row],[FTAG]],1))</f>
        <v/>
      </c>
      <c r="AQ300" s="107"/>
      <c r="AR300" s="107"/>
      <c r="AS300" s="107"/>
      <c r="AT300" s="107"/>
      <c r="AU300" s="107"/>
      <c r="AV300" s="107"/>
      <c r="AW300" s="107"/>
      <c r="AX300" s="107"/>
      <c r="AY300" s="107"/>
      <c r="AZ300" s="75"/>
      <c r="BA300" s="75"/>
      <c r="BB300" s="75"/>
      <c r="BC300" s="107"/>
      <c r="BD300" s="107"/>
      <c r="BE300" s="107"/>
      <c r="BF300" s="107"/>
      <c r="BG300" s="107"/>
      <c r="BH300" s="107"/>
      <c r="BI300" s="107"/>
      <c r="BJ300" s="107"/>
      <c r="BK300" s="107"/>
      <c r="BL300" s="107"/>
      <c r="BM300" s="107"/>
      <c r="BN300" s="107"/>
      <c r="BO300" s="107"/>
      <c r="BP300" s="107"/>
      <c r="BQ300" s="107"/>
      <c r="BR300" s="107"/>
      <c r="BS300" s="107"/>
      <c r="BT300" s="107"/>
      <c r="BU300" s="107"/>
      <c r="BV300" s="107"/>
      <c r="BW300" s="107"/>
      <c r="BX300" s="75"/>
      <c r="BY300" s="75"/>
      <c r="BZ300" s="75"/>
      <c r="CA300" s="75"/>
      <c r="CB300" s="75"/>
      <c r="CC300" s="75"/>
      <c r="CD300" s="75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2"/>
      <c r="CT300" s="102"/>
      <c r="CU300" s="102"/>
      <c r="CV300" s="102"/>
      <c r="CW300" s="102"/>
      <c r="CX300" s="102"/>
      <c r="CY300" s="102"/>
      <c r="CZ300" s="102"/>
      <c r="DA300" s="102"/>
      <c r="DB300" s="102"/>
      <c r="DC300" s="102"/>
      <c r="DD300" s="102"/>
      <c r="DE300" s="102"/>
      <c r="DF300" s="102"/>
      <c r="DG300" s="102"/>
      <c r="DH300" s="102"/>
      <c r="DI300" s="102"/>
      <c r="DJ300" s="102"/>
      <c r="DK300" s="102"/>
      <c r="DL300" s="102"/>
      <c r="DM300" s="102"/>
      <c r="DN300" s="102"/>
      <c r="DO300" s="102"/>
      <c r="DP300" s="102"/>
    </row>
    <row r="301" spans="1:120" x14ac:dyDescent="0.25">
      <c r="A301" s="4"/>
      <c r="D301"/>
      <c r="E301"/>
      <c r="F301"/>
      <c r="J301" s="68" t="str">
        <f t="shared" si="105"/>
        <v/>
      </c>
      <c r="K301" s="68" t="str">
        <f t="shared" si="106"/>
        <v/>
      </c>
      <c r="L301" s="69" t="str">
        <f t="shared" si="107"/>
        <v/>
      </c>
      <c r="M301" s="69" t="str">
        <f t="shared" si="108"/>
        <v/>
      </c>
      <c r="N301" s="69" t="str">
        <f>IF(A301="","",Tabela1[[#This Row],[PTC]]*Tabela1[[#This Row],[ODDC]])</f>
        <v/>
      </c>
      <c r="O301" s="69" t="str">
        <f>IF(A301="","",Tabela1[[#This Row],[PTV]]*Tabela1[[#This Row],[ODDV]])</f>
        <v/>
      </c>
      <c r="P301" s="68" t="str">
        <f t="shared" si="109"/>
        <v/>
      </c>
      <c r="Q301" s="68" t="str">
        <f t="shared" si="110"/>
        <v/>
      </c>
      <c r="R301" s="68" t="str">
        <f t="shared" si="111"/>
        <v/>
      </c>
      <c r="S301" s="68" t="str">
        <f t="shared" si="112"/>
        <v/>
      </c>
      <c r="T301" s="68" t="str">
        <f>IF(A301="","",IF(F301="D",Tabela1[[#This Row],[ODDE]]-1,-1))</f>
        <v/>
      </c>
      <c r="U301" s="70" t="str">
        <f>IF(A301="","",IF(AND(Tabela1[[#This Row],[FTHG]]&gt;3,F301="H"),1,0))</f>
        <v/>
      </c>
      <c r="V301" s="70" t="str">
        <f>IF(A301="","",IF(AND(Tabela1[[#This Row],[FTAG]]&gt;3,F301="A"),1,0))</f>
        <v/>
      </c>
      <c r="W301" s="70" t="str">
        <f t="shared" si="113"/>
        <v/>
      </c>
      <c r="X301" s="70" t="str">
        <f t="shared" si="114"/>
        <v/>
      </c>
      <c r="Y301" s="71" t="str">
        <f t="shared" si="115"/>
        <v/>
      </c>
      <c r="Z301" s="70" t="str">
        <f t="shared" si="116"/>
        <v/>
      </c>
      <c r="AA301" s="70" t="str">
        <f t="shared" si="117"/>
        <v/>
      </c>
      <c r="AB301" s="70" t="str">
        <f t="shared" si="118"/>
        <v/>
      </c>
      <c r="AC301" s="71" t="str">
        <f t="shared" si="119"/>
        <v/>
      </c>
      <c r="AD301" s="72" t="str">
        <f t="shared" si="120"/>
        <v/>
      </c>
      <c r="AE301" s="73" t="str">
        <f>IF(A301="","",COUNT($N$2:N301))</f>
        <v/>
      </c>
      <c r="AF301" s="74" t="str">
        <f t="shared" si="121"/>
        <v/>
      </c>
      <c r="AG301" s="74" t="str">
        <f t="shared" si="122"/>
        <v/>
      </c>
      <c r="AH301" s="74" t="str">
        <f t="shared" si="123"/>
        <v/>
      </c>
      <c r="AI301" s="74" t="str">
        <f t="shared" si="124"/>
        <v/>
      </c>
      <c r="AJ301" s="74" t="str">
        <f t="shared" si="125"/>
        <v/>
      </c>
      <c r="AK301" s="74" t="str">
        <f>IF(A301="","",1/Tabela1[[#This Row],[ODDC]])</f>
        <v/>
      </c>
      <c r="AL301" s="74" t="str">
        <f>IF(A301="","",1/Tabela1[[#This Row],[ODDE]])</f>
        <v/>
      </c>
      <c r="AM301" s="74" t="str">
        <f>IF(A301="","",1/Tabela1[[#This Row],[ODDV]])</f>
        <v/>
      </c>
      <c r="AN301" s="74" t="str">
        <f>IF(A301="","",1-(Tabela1[[#This Row],[p(H)]]+Tabela1[[#This Row],[p(D)]]+Tabela1[[#This Row],[p(A)]]))</f>
        <v/>
      </c>
      <c r="AO301" s="74" t="str">
        <f>IF(A301="","",IFERROR(Tabela1[[#This Row],[p(H)]]/Tabela1[[#This Row],[FTHG]],1))</f>
        <v/>
      </c>
      <c r="AP301" s="74" t="str">
        <f>IF(A301="","",IFERROR(Tabela1[[#This Row],[p(A)]]/Tabela1[[#This Row],[FTAG]],1))</f>
        <v/>
      </c>
      <c r="AQ301" s="107"/>
      <c r="AR301" s="107"/>
      <c r="AS301" s="107"/>
      <c r="AT301" s="107"/>
      <c r="AU301" s="107"/>
      <c r="AV301" s="107"/>
      <c r="AW301" s="107"/>
      <c r="AX301" s="107"/>
      <c r="AY301" s="107"/>
      <c r="AZ301" s="75"/>
      <c r="BA301" s="75"/>
      <c r="BB301" s="75"/>
      <c r="BC301" s="107"/>
      <c r="BD301" s="107"/>
      <c r="BE301" s="107"/>
      <c r="BF301" s="107"/>
      <c r="BG301" s="107"/>
      <c r="BH301" s="107"/>
      <c r="BI301" s="107"/>
      <c r="BJ301" s="107"/>
      <c r="BK301" s="107"/>
      <c r="BL301" s="107"/>
      <c r="BM301" s="107"/>
      <c r="BN301" s="107"/>
      <c r="BO301" s="107"/>
      <c r="BP301" s="107"/>
      <c r="BQ301" s="107"/>
      <c r="BR301" s="107"/>
      <c r="BS301" s="107"/>
      <c r="BT301" s="107"/>
      <c r="BU301" s="107"/>
      <c r="BV301" s="107"/>
      <c r="BW301" s="107"/>
      <c r="BX301" s="75"/>
      <c r="BY301" s="75"/>
      <c r="BZ301" s="75"/>
      <c r="CA301" s="75"/>
      <c r="CB301" s="75"/>
      <c r="CC301" s="75"/>
      <c r="CD301" s="75"/>
      <c r="CE301" s="102"/>
      <c r="CF301" s="102"/>
      <c r="CG301" s="102"/>
      <c r="CH301" s="102"/>
      <c r="CI301" s="102"/>
      <c r="CJ301" s="102"/>
      <c r="CK301" s="102"/>
      <c r="CL301" s="102"/>
      <c r="CM301" s="102"/>
      <c r="CN301" s="102"/>
      <c r="CO301" s="102"/>
      <c r="CP301" s="102"/>
      <c r="CQ301" s="102"/>
      <c r="CR301" s="102"/>
      <c r="CS301" s="102"/>
      <c r="CT301" s="102"/>
      <c r="CU301" s="102"/>
      <c r="CV301" s="102"/>
      <c r="CW301" s="102"/>
      <c r="CX301" s="102"/>
      <c r="CY301" s="102"/>
      <c r="CZ301" s="102"/>
      <c r="DA301" s="102"/>
      <c r="DB301" s="102"/>
      <c r="DC301" s="102"/>
      <c r="DD301" s="102"/>
      <c r="DE301" s="102"/>
      <c r="DF301" s="102"/>
      <c r="DG301" s="102"/>
      <c r="DH301" s="102"/>
      <c r="DI301" s="102"/>
      <c r="DJ301" s="102"/>
      <c r="DK301" s="102"/>
      <c r="DL301" s="102"/>
      <c r="DM301" s="102"/>
      <c r="DN301" s="102"/>
      <c r="DO301" s="102"/>
      <c r="DP301" s="102"/>
    </row>
    <row r="302" spans="1:120" x14ac:dyDescent="0.25">
      <c r="A302" s="4"/>
      <c r="D302"/>
      <c r="E302"/>
      <c r="F302"/>
      <c r="J302" s="68" t="str">
        <f t="shared" si="105"/>
        <v/>
      </c>
      <c r="K302" s="68" t="str">
        <f t="shared" si="106"/>
        <v/>
      </c>
      <c r="L302" s="69" t="str">
        <f t="shared" si="107"/>
        <v/>
      </c>
      <c r="M302" s="69" t="str">
        <f t="shared" si="108"/>
        <v/>
      </c>
      <c r="N302" s="69" t="str">
        <f>IF(A302="","",Tabela1[[#This Row],[PTC]]*Tabela1[[#This Row],[ODDC]])</f>
        <v/>
      </c>
      <c r="O302" s="69" t="str">
        <f>IF(A302="","",Tabela1[[#This Row],[PTV]]*Tabela1[[#This Row],[ODDV]])</f>
        <v/>
      </c>
      <c r="P302" s="68" t="str">
        <f t="shared" si="109"/>
        <v/>
      </c>
      <c r="Q302" s="68" t="str">
        <f t="shared" si="110"/>
        <v/>
      </c>
      <c r="R302" s="68" t="str">
        <f t="shared" si="111"/>
        <v/>
      </c>
      <c r="S302" s="68" t="str">
        <f t="shared" si="112"/>
        <v/>
      </c>
      <c r="T302" s="68" t="str">
        <f>IF(A302="","",IF(F302="D",Tabela1[[#This Row],[ODDE]]-1,-1))</f>
        <v/>
      </c>
      <c r="U302" s="70" t="str">
        <f>IF(A302="","",IF(AND(Tabela1[[#This Row],[FTHG]]&gt;3,F302="H"),1,0))</f>
        <v/>
      </c>
      <c r="V302" s="70" t="str">
        <f>IF(A302="","",IF(AND(Tabela1[[#This Row],[FTAG]]&gt;3,F302="A"),1,0))</f>
        <v/>
      </c>
      <c r="W302" s="70" t="str">
        <f t="shared" si="113"/>
        <v/>
      </c>
      <c r="X302" s="70" t="str">
        <f t="shared" si="114"/>
        <v/>
      </c>
      <c r="Y302" s="71" t="str">
        <f t="shared" si="115"/>
        <v/>
      </c>
      <c r="Z302" s="70" t="str">
        <f t="shared" si="116"/>
        <v/>
      </c>
      <c r="AA302" s="70" t="str">
        <f t="shared" si="117"/>
        <v/>
      </c>
      <c r="AB302" s="70" t="str">
        <f t="shared" si="118"/>
        <v/>
      </c>
      <c r="AC302" s="71" t="str">
        <f t="shared" si="119"/>
        <v/>
      </c>
      <c r="AD302" s="72" t="str">
        <f t="shared" si="120"/>
        <v/>
      </c>
      <c r="AE302" s="73" t="str">
        <f>IF(A302="","",COUNT($N$2:N302))</f>
        <v/>
      </c>
      <c r="AF302" s="74" t="str">
        <f t="shared" si="121"/>
        <v/>
      </c>
      <c r="AG302" s="74" t="str">
        <f t="shared" si="122"/>
        <v/>
      </c>
      <c r="AH302" s="74" t="str">
        <f t="shared" si="123"/>
        <v/>
      </c>
      <c r="AI302" s="74" t="str">
        <f t="shared" si="124"/>
        <v/>
      </c>
      <c r="AJ302" s="74" t="str">
        <f t="shared" si="125"/>
        <v/>
      </c>
      <c r="AK302" s="74" t="str">
        <f>IF(A302="","",1/Tabela1[[#This Row],[ODDC]])</f>
        <v/>
      </c>
      <c r="AL302" s="74" t="str">
        <f>IF(A302="","",1/Tabela1[[#This Row],[ODDE]])</f>
        <v/>
      </c>
      <c r="AM302" s="74" t="str">
        <f>IF(A302="","",1/Tabela1[[#This Row],[ODDV]])</f>
        <v/>
      </c>
      <c r="AN302" s="74" t="str">
        <f>IF(A302="","",1-(Tabela1[[#This Row],[p(H)]]+Tabela1[[#This Row],[p(D)]]+Tabela1[[#This Row],[p(A)]]))</f>
        <v/>
      </c>
      <c r="AO302" s="74" t="str">
        <f>IF(A302="","",IFERROR(Tabela1[[#This Row],[p(H)]]/Tabela1[[#This Row],[FTHG]],1))</f>
        <v/>
      </c>
      <c r="AP302" s="74" t="str">
        <f>IF(A302="","",IFERROR(Tabela1[[#This Row],[p(A)]]/Tabela1[[#This Row],[FTAG]],1))</f>
        <v/>
      </c>
      <c r="AQ302" s="107"/>
      <c r="AR302" s="107"/>
      <c r="AS302" s="107"/>
      <c r="AT302" s="107"/>
      <c r="AU302" s="107"/>
      <c r="AV302" s="107"/>
      <c r="AW302" s="107"/>
      <c r="AX302" s="107"/>
      <c r="AY302" s="107"/>
      <c r="AZ302" s="75"/>
      <c r="BA302" s="75"/>
      <c r="BB302" s="75"/>
      <c r="BC302" s="107"/>
      <c r="BD302" s="107"/>
      <c r="BE302" s="107"/>
      <c r="BF302" s="107"/>
      <c r="BG302" s="107"/>
      <c r="BH302" s="107"/>
      <c r="BI302" s="107"/>
      <c r="BJ302" s="107"/>
      <c r="BK302" s="107"/>
      <c r="BL302" s="107"/>
      <c r="BM302" s="107"/>
      <c r="BN302" s="107"/>
      <c r="BO302" s="107"/>
      <c r="BP302" s="107"/>
      <c r="BQ302" s="107"/>
      <c r="BR302" s="107"/>
      <c r="BS302" s="107"/>
      <c r="BT302" s="107"/>
      <c r="BU302" s="107"/>
      <c r="BV302" s="107"/>
      <c r="BW302" s="107"/>
      <c r="BX302" s="75"/>
      <c r="BY302" s="75"/>
      <c r="BZ302" s="75"/>
      <c r="CA302" s="75"/>
      <c r="CB302" s="75"/>
      <c r="CC302" s="75"/>
      <c r="CD302" s="75"/>
      <c r="CE302" s="102"/>
      <c r="CF302" s="102"/>
      <c r="CG302" s="102"/>
      <c r="CH302" s="102"/>
      <c r="CI302" s="102"/>
      <c r="CJ302" s="102"/>
      <c r="CK302" s="102"/>
      <c r="CL302" s="102"/>
      <c r="CM302" s="102"/>
      <c r="CN302" s="102"/>
      <c r="CO302" s="102"/>
      <c r="CP302" s="102"/>
      <c r="CQ302" s="102"/>
      <c r="CR302" s="102"/>
      <c r="CS302" s="102"/>
      <c r="CT302" s="102"/>
      <c r="CU302" s="102"/>
      <c r="CV302" s="102"/>
      <c r="CW302" s="102"/>
      <c r="CX302" s="102"/>
      <c r="CY302" s="102"/>
      <c r="CZ302" s="102"/>
      <c r="DA302" s="102"/>
      <c r="DB302" s="102"/>
      <c r="DC302" s="102"/>
      <c r="DD302" s="102"/>
      <c r="DE302" s="102"/>
      <c r="DF302" s="102"/>
      <c r="DG302" s="102"/>
      <c r="DH302" s="102"/>
      <c r="DI302" s="102"/>
      <c r="DJ302" s="102"/>
      <c r="DK302" s="102"/>
      <c r="DL302" s="102"/>
      <c r="DM302" s="102"/>
      <c r="DN302" s="102"/>
      <c r="DO302" s="102"/>
      <c r="DP302" s="102"/>
    </row>
    <row r="303" spans="1:120" x14ac:dyDescent="0.25">
      <c r="A303" s="4"/>
      <c r="D303"/>
      <c r="E303"/>
      <c r="F303"/>
      <c r="J303" s="68" t="str">
        <f t="shared" si="105"/>
        <v/>
      </c>
      <c r="K303" s="68" t="str">
        <f t="shared" si="106"/>
        <v/>
      </c>
      <c r="L303" s="69" t="str">
        <f t="shared" si="107"/>
        <v/>
      </c>
      <c r="M303" s="69" t="str">
        <f t="shared" si="108"/>
        <v/>
      </c>
      <c r="N303" s="69" t="str">
        <f>IF(A303="","",Tabela1[[#This Row],[PTC]]*Tabela1[[#This Row],[ODDC]])</f>
        <v/>
      </c>
      <c r="O303" s="69" t="str">
        <f>IF(A303="","",Tabela1[[#This Row],[PTV]]*Tabela1[[#This Row],[ODDV]])</f>
        <v/>
      </c>
      <c r="P303" s="68" t="str">
        <f t="shared" si="109"/>
        <v/>
      </c>
      <c r="Q303" s="68" t="str">
        <f t="shared" si="110"/>
        <v/>
      </c>
      <c r="R303" s="68" t="str">
        <f t="shared" si="111"/>
        <v/>
      </c>
      <c r="S303" s="68" t="str">
        <f t="shared" si="112"/>
        <v/>
      </c>
      <c r="T303" s="68" t="str">
        <f>IF(A303="","",IF(F303="D",Tabela1[[#This Row],[ODDE]]-1,-1))</f>
        <v/>
      </c>
      <c r="U303" s="70" t="str">
        <f>IF(A303="","",IF(AND(Tabela1[[#This Row],[FTHG]]&gt;3,F303="H"),1,0))</f>
        <v/>
      </c>
      <c r="V303" s="70" t="str">
        <f>IF(A303="","",IF(AND(Tabela1[[#This Row],[FTAG]]&gt;3,F303="A"),1,0))</f>
        <v/>
      </c>
      <c r="W303" s="70" t="str">
        <f t="shared" si="113"/>
        <v/>
      </c>
      <c r="X303" s="70" t="str">
        <f t="shared" si="114"/>
        <v/>
      </c>
      <c r="Y303" s="71" t="str">
        <f t="shared" si="115"/>
        <v/>
      </c>
      <c r="Z303" s="70" t="str">
        <f t="shared" si="116"/>
        <v/>
      </c>
      <c r="AA303" s="70" t="str">
        <f t="shared" si="117"/>
        <v/>
      </c>
      <c r="AB303" s="70" t="str">
        <f t="shared" si="118"/>
        <v/>
      </c>
      <c r="AC303" s="71" t="str">
        <f t="shared" si="119"/>
        <v/>
      </c>
      <c r="AD303" s="72" t="str">
        <f t="shared" si="120"/>
        <v/>
      </c>
      <c r="AE303" s="73" t="str">
        <f>IF(A303="","",COUNT($N$2:N303))</f>
        <v/>
      </c>
      <c r="AF303" s="74" t="str">
        <f t="shared" si="121"/>
        <v/>
      </c>
      <c r="AG303" s="74" t="str">
        <f t="shared" si="122"/>
        <v/>
      </c>
      <c r="AH303" s="74" t="str">
        <f t="shared" si="123"/>
        <v/>
      </c>
      <c r="AI303" s="74" t="str">
        <f t="shared" si="124"/>
        <v/>
      </c>
      <c r="AJ303" s="74" t="str">
        <f t="shared" si="125"/>
        <v/>
      </c>
      <c r="AK303" s="74" t="str">
        <f>IF(A303="","",1/Tabela1[[#This Row],[ODDC]])</f>
        <v/>
      </c>
      <c r="AL303" s="74" t="str">
        <f>IF(A303="","",1/Tabela1[[#This Row],[ODDE]])</f>
        <v/>
      </c>
      <c r="AM303" s="74" t="str">
        <f>IF(A303="","",1/Tabela1[[#This Row],[ODDV]])</f>
        <v/>
      </c>
      <c r="AN303" s="74" t="str">
        <f>IF(A303="","",1-(Tabela1[[#This Row],[p(H)]]+Tabela1[[#This Row],[p(D)]]+Tabela1[[#This Row],[p(A)]]))</f>
        <v/>
      </c>
      <c r="AO303" s="74" t="str">
        <f>IF(A303="","",IFERROR(Tabela1[[#This Row],[p(H)]]/Tabela1[[#This Row],[FTHG]],1))</f>
        <v/>
      </c>
      <c r="AP303" s="74" t="str">
        <f>IF(A303="","",IFERROR(Tabela1[[#This Row],[p(A)]]/Tabela1[[#This Row],[FTAG]],1))</f>
        <v/>
      </c>
      <c r="AQ303" s="107"/>
      <c r="AR303" s="107"/>
      <c r="AS303" s="107"/>
      <c r="AT303" s="107"/>
      <c r="AU303" s="107"/>
      <c r="AV303" s="107"/>
      <c r="AW303" s="107"/>
      <c r="AX303" s="107"/>
      <c r="AY303" s="107"/>
      <c r="AZ303" s="75"/>
      <c r="BA303" s="75"/>
      <c r="BB303" s="75"/>
      <c r="BC303" s="107"/>
      <c r="BD303" s="107"/>
      <c r="BE303" s="107"/>
      <c r="BF303" s="107"/>
      <c r="BG303" s="107"/>
      <c r="BH303" s="107"/>
      <c r="BI303" s="107"/>
      <c r="BJ303" s="107"/>
      <c r="BK303" s="107"/>
      <c r="BL303" s="107"/>
      <c r="BM303" s="107"/>
      <c r="BN303" s="107"/>
      <c r="BO303" s="107"/>
      <c r="BP303" s="107"/>
      <c r="BQ303" s="107"/>
      <c r="BR303" s="107"/>
      <c r="BS303" s="107"/>
      <c r="BT303" s="107"/>
      <c r="BU303" s="107"/>
      <c r="BV303" s="107"/>
      <c r="BW303" s="107"/>
      <c r="BX303" s="75"/>
      <c r="BY303" s="75"/>
      <c r="BZ303" s="75"/>
      <c r="CA303" s="75"/>
      <c r="CB303" s="75"/>
      <c r="CC303" s="75"/>
      <c r="CD303" s="75"/>
      <c r="CE303" s="102"/>
      <c r="CF303" s="102"/>
      <c r="CG303" s="102"/>
      <c r="CH303" s="102"/>
      <c r="CI303" s="102"/>
      <c r="CJ303" s="102"/>
      <c r="CK303" s="102"/>
      <c r="CL303" s="102"/>
      <c r="CM303" s="102"/>
      <c r="CN303" s="102"/>
      <c r="CO303" s="102"/>
      <c r="CP303" s="102"/>
      <c r="CQ303" s="102"/>
      <c r="CR303" s="102"/>
      <c r="CS303" s="102"/>
      <c r="CT303" s="102"/>
      <c r="CU303" s="102"/>
      <c r="CV303" s="102"/>
      <c r="CW303" s="102"/>
      <c r="CX303" s="102"/>
      <c r="CY303" s="102"/>
      <c r="CZ303" s="102"/>
      <c r="DA303" s="102"/>
      <c r="DB303" s="102"/>
      <c r="DC303" s="102"/>
      <c r="DD303" s="102"/>
      <c r="DE303" s="102"/>
      <c r="DF303" s="102"/>
      <c r="DG303" s="102"/>
      <c r="DH303" s="102"/>
      <c r="DI303" s="102"/>
      <c r="DJ303" s="102"/>
      <c r="DK303" s="102"/>
      <c r="DL303" s="102"/>
      <c r="DM303" s="102"/>
      <c r="DN303" s="102"/>
      <c r="DO303" s="102"/>
      <c r="DP303" s="102"/>
    </row>
    <row r="304" spans="1:120" x14ac:dyDescent="0.25">
      <c r="A304" s="4"/>
      <c r="D304"/>
      <c r="E304"/>
      <c r="F304"/>
      <c r="J304" s="68" t="str">
        <f t="shared" si="105"/>
        <v/>
      </c>
      <c r="K304" s="68" t="str">
        <f t="shared" si="106"/>
        <v/>
      </c>
      <c r="L304" s="69" t="str">
        <f t="shared" si="107"/>
        <v/>
      </c>
      <c r="M304" s="69" t="str">
        <f t="shared" si="108"/>
        <v/>
      </c>
      <c r="N304" s="69" t="str">
        <f>IF(A304="","",Tabela1[[#This Row],[PTC]]*Tabela1[[#This Row],[ODDC]])</f>
        <v/>
      </c>
      <c r="O304" s="69" t="str">
        <f>IF(A304="","",Tabela1[[#This Row],[PTV]]*Tabela1[[#This Row],[ODDV]])</f>
        <v/>
      </c>
      <c r="P304" s="68" t="str">
        <f t="shared" si="109"/>
        <v/>
      </c>
      <c r="Q304" s="68" t="str">
        <f t="shared" si="110"/>
        <v/>
      </c>
      <c r="R304" s="68" t="str">
        <f t="shared" si="111"/>
        <v/>
      </c>
      <c r="S304" s="68" t="str">
        <f t="shared" si="112"/>
        <v/>
      </c>
      <c r="T304" s="68" t="str">
        <f>IF(A304="","",IF(F304="D",Tabela1[[#This Row],[ODDE]]-1,-1))</f>
        <v/>
      </c>
      <c r="U304" s="70" t="str">
        <f>IF(A304="","",IF(AND(Tabela1[[#This Row],[FTHG]]&gt;3,F304="H"),1,0))</f>
        <v/>
      </c>
      <c r="V304" s="70" t="str">
        <f>IF(A304="","",IF(AND(Tabela1[[#This Row],[FTAG]]&gt;3,F304="A"),1,0))</f>
        <v/>
      </c>
      <c r="W304" s="70" t="str">
        <f t="shared" si="113"/>
        <v/>
      </c>
      <c r="X304" s="70" t="str">
        <f t="shared" si="114"/>
        <v/>
      </c>
      <c r="Y304" s="71" t="str">
        <f t="shared" si="115"/>
        <v/>
      </c>
      <c r="Z304" s="70" t="str">
        <f t="shared" si="116"/>
        <v/>
      </c>
      <c r="AA304" s="70" t="str">
        <f t="shared" si="117"/>
        <v/>
      </c>
      <c r="AB304" s="70" t="str">
        <f t="shared" si="118"/>
        <v/>
      </c>
      <c r="AC304" s="71" t="str">
        <f t="shared" si="119"/>
        <v/>
      </c>
      <c r="AD304" s="72" t="str">
        <f t="shared" si="120"/>
        <v/>
      </c>
      <c r="AE304" s="73" t="str">
        <f>IF(A304="","",COUNT($N$2:N304))</f>
        <v/>
      </c>
      <c r="AF304" s="74" t="str">
        <f t="shared" si="121"/>
        <v/>
      </c>
      <c r="AG304" s="74" t="str">
        <f t="shared" si="122"/>
        <v/>
      </c>
      <c r="AH304" s="74" t="str">
        <f t="shared" si="123"/>
        <v/>
      </c>
      <c r="AI304" s="74" t="str">
        <f t="shared" si="124"/>
        <v/>
      </c>
      <c r="AJ304" s="74" t="str">
        <f t="shared" si="125"/>
        <v/>
      </c>
      <c r="AK304" s="74" t="str">
        <f>IF(A304="","",1/Tabela1[[#This Row],[ODDC]])</f>
        <v/>
      </c>
      <c r="AL304" s="74" t="str">
        <f>IF(A304="","",1/Tabela1[[#This Row],[ODDE]])</f>
        <v/>
      </c>
      <c r="AM304" s="74" t="str">
        <f>IF(A304="","",1/Tabela1[[#This Row],[ODDV]])</f>
        <v/>
      </c>
      <c r="AN304" s="74" t="str">
        <f>IF(A304="","",1-(Tabela1[[#This Row],[p(H)]]+Tabela1[[#This Row],[p(D)]]+Tabela1[[#This Row],[p(A)]]))</f>
        <v/>
      </c>
      <c r="AO304" s="74" t="str">
        <f>IF(A304="","",IFERROR(Tabela1[[#This Row],[p(H)]]/Tabela1[[#This Row],[FTHG]],1))</f>
        <v/>
      </c>
      <c r="AP304" s="74" t="str">
        <f>IF(A304="","",IFERROR(Tabela1[[#This Row],[p(A)]]/Tabela1[[#This Row],[FTAG]],1))</f>
        <v/>
      </c>
      <c r="AQ304" s="107"/>
      <c r="AR304" s="107"/>
      <c r="AS304" s="107"/>
      <c r="AT304" s="107"/>
      <c r="AU304" s="107"/>
      <c r="AV304" s="107"/>
      <c r="AW304" s="107"/>
      <c r="AX304" s="107"/>
      <c r="AY304" s="107"/>
      <c r="AZ304" s="75"/>
      <c r="BA304" s="75"/>
      <c r="BB304" s="75"/>
      <c r="BC304" s="107"/>
      <c r="BD304" s="107"/>
      <c r="BE304" s="107"/>
      <c r="BF304" s="107"/>
      <c r="BG304" s="107"/>
      <c r="BH304" s="107"/>
      <c r="BI304" s="107"/>
      <c r="BJ304" s="107"/>
      <c r="BK304" s="107"/>
      <c r="BL304" s="107"/>
      <c r="BM304" s="107"/>
      <c r="BN304" s="107"/>
      <c r="BO304" s="107"/>
      <c r="BP304" s="107"/>
      <c r="BQ304" s="107"/>
      <c r="BR304" s="107"/>
      <c r="BS304" s="107"/>
      <c r="BT304" s="107"/>
      <c r="BU304" s="107"/>
      <c r="BV304" s="107"/>
      <c r="BW304" s="107"/>
      <c r="BX304" s="75"/>
      <c r="BY304" s="75"/>
      <c r="BZ304" s="75"/>
      <c r="CA304" s="75"/>
      <c r="CB304" s="75"/>
      <c r="CC304" s="75"/>
      <c r="CD304" s="75"/>
      <c r="CE304" s="102"/>
      <c r="CF304" s="102"/>
      <c r="CG304" s="102"/>
      <c r="CH304" s="102"/>
      <c r="CI304" s="102"/>
      <c r="CJ304" s="102"/>
      <c r="CK304" s="102"/>
      <c r="CL304" s="102"/>
      <c r="CM304" s="102"/>
      <c r="CN304" s="102"/>
      <c r="CO304" s="102"/>
      <c r="CP304" s="102"/>
      <c r="CQ304" s="102"/>
      <c r="CR304" s="102"/>
      <c r="CS304" s="102"/>
      <c r="CT304" s="102"/>
      <c r="CU304" s="102"/>
      <c r="CV304" s="102"/>
      <c r="CW304" s="102"/>
      <c r="CX304" s="102"/>
      <c r="CY304" s="102"/>
      <c r="CZ304" s="102"/>
      <c r="DA304" s="102"/>
      <c r="DB304" s="102"/>
      <c r="DC304" s="102"/>
      <c r="DD304" s="102"/>
      <c r="DE304" s="102"/>
      <c r="DF304" s="102"/>
      <c r="DG304" s="102"/>
      <c r="DH304" s="102"/>
      <c r="DI304" s="102"/>
      <c r="DJ304" s="102"/>
      <c r="DK304" s="102"/>
      <c r="DL304" s="102"/>
      <c r="DM304" s="102"/>
      <c r="DN304" s="102"/>
      <c r="DO304" s="102"/>
      <c r="DP304" s="102"/>
    </row>
    <row r="305" spans="1:120" x14ac:dyDescent="0.25">
      <c r="A305" s="4"/>
      <c r="D305"/>
      <c r="E305"/>
      <c r="F305"/>
      <c r="J305" s="68" t="str">
        <f t="shared" si="105"/>
        <v/>
      </c>
      <c r="K305" s="68" t="str">
        <f t="shared" si="106"/>
        <v/>
      </c>
      <c r="L305" s="69" t="str">
        <f t="shared" si="107"/>
        <v/>
      </c>
      <c r="M305" s="69" t="str">
        <f t="shared" si="108"/>
        <v/>
      </c>
      <c r="N305" s="69" t="str">
        <f>IF(A305="","",Tabela1[[#This Row],[PTC]]*Tabela1[[#This Row],[ODDC]])</f>
        <v/>
      </c>
      <c r="O305" s="69" t="str">
        <f>IF(A305="","",Tabela1[[#This Row],[PTV]]*Tabela1[[#This Row],[ODDV]])</f>
        <v/>
      </c>
      <c r="P305" s="68" t="str">
        <f t="shared" si="109"/>
        <v/>
      </c>
      <c r="Q305" s="68" t="str">
        <f t="shared" si="110"/>
        <v/>
      </c>
      <c r="R305" s="68" t="str">
        <f t="shared" si="111"/>
        <v/>
      </c>
      <c r="S305" s="68" t="str">
        <f t="shared" si="112"/>
        <v/>
      </c>
      <c r="T305" s="68" t="str">
        <f>IF(A305="","",IF(F305="D",Tabela1[[#This Row],[ODDE]]-1,-1))</f>
        <v/>
      </c>
      <c r="U305" s="70" t="str">
        <f>IF(A305="","",IF(AND(Tabela1[[#This Row],[FTHG]]&gt;3,F305="H"),1,0))</f>
        <v/>
      </c>
      <c r="V305" s="70" t="str">
        <f>IF(A305="","",IF(AND(Tabela1[[#This Row],[FTAG]]&gt;3,F305="A"),1,0))</f>
        <v/>
      </c>
      <c r="W305" s="70" t="str">
        <f t="shared" si="113"/>
        <v/>
      </c>
      <c r="X305" s="70" t="str">
        <f t="shared" si="114"/>
        <v/>
      </c>
      <c r="Y305" s="71" t="str">
        <f t="shared" si="115"/>
        <v/>
      </c>
      <c r="Z305" s="70" t="str">
        <f t="shared" si="116"/>
        <v/>
      </c>
      <c r="AA305" s="70" t="str">
        <f t="shared" si="117"/>
        <v/>
      </c>
      <c r="AB305" s="70" t="str">
        <f t="shared" si="118"/>
        <v/>
      </c>
      <c r="AC305" s="71" t="str">
        <f t="shared" si="119"/>
        <v/>
      </c>
      <c r="AD305" s="72" t="str">
        <f t="shared" si="120"/>
        <v/>
      </c>
      <c r="AE305" s="73" t="str">
        <f>IF(A305="","",COUNT($N$2:N305))</f>
        <v/>
      </c>
      <c r="AF305" s="74" t="str">
        <f t="shared" si="121"/>
        <v/>
      </c>
      <c r="AG305" s="74" t="str">
        <f t="shared" si="122"/>
        <v/>
      </c>
      <c r="AH305" s="74" t="str">
        <f t="shared" si="123"/>
        <v/>
      </c>
      <c r="AI305" s="74" t="str">
        <f t="shared" si="124"/>
        <v/>
      </c>
      <c r="AJ305" s="74" t="str">
        <f t="shared" si="125"/>
        <v/>
      </c>
      <c r="AK305" s="74" t="str">
        <f>IF(A305="","",1/Tabela1[[#This Row],[ODDC]])</f>
        <v/>
      </c>
      <c r="AL305" s="74" t="str">
        <f>IF(A305="","",1/Tabela1[[#This Row],[ODDE]])</f>
        <v/>
      </c>
      <c r="AM305" s="74" t="str">
        <f>IF(A305="","",1/Tabela1[[#This Row],[ODDV]])</f>
        <v/>
      </c>
      <c r="AN305" s="74" t="str">
        <f>IF(A305="","",1-(Tabela1[[#This Row],[p(H)]]+Tabela1[[#This Row],[p(D)]]+Tabela1[[#This Row],[p(A)]]))</f>
        <v/>
      </c>
      <c r="AO305" s="74" t="str">
        <f>IF(A305="","",IFERROR(Tabela1[[#This Row],[p(H)]]/Tabela1[[#This Row],[FTHG]],1))</f>
        <v/>
      </c>
      <c r="AP305" s="74" t="str">
        <f>IF(A305="","",IFERROR(Tabela1[[#This Row],[p(A)]]/Tabela1[[#This Row],[FTAG]],1))</f>
        <v/>
      </c>
      <c r="AQ305" s="107"/>
      <c r="AR305" s="107"/>
      <c r="AS305" s="107"/>
      <c r="AT305" s="107"/>
      <c r="AU305" s="107"/>
      <c r="AV305" s="107"/>
      <c r="AW305" s="107"/>
      <c r="AX305" s="107"/>
      <c r="AY305" s="107"/>
      <c r="AZ305" s="75"/>
      <c r="BA305" s="75"/>
      <c r="BB305" s="75"/>
      <c r="BC305" s="107"/>
      <c r="BD305" s="107"/>
      <c r="BE305" s="107"/>
      <c r="BF305" s="107"/>
      <c r="BG305" s="107"/>
      <c r="BH305" s="107"/>
      <c r="BI305" s="107"/>
      <c r="BJ305" s="107"/>
      <c r="BK305" s="107"/>
      <c r="BL305" s="107"/>
      <c r="BM305" s="107"/>
      <c r="BN305" s="107"/>
      <c r="BO305" s="107"/>
      <c r="BP305" s="107"/>
      <c r="BQ305" s="107"/>
      <c r="BR305" s="107"/>
      <c r="BS305" s="107"/>
      <c r="BT305" s="107"/>
      <c r="BU305" s="107"/>
      <c r="BV305" s="107"/>
      <c r="BW305" s="107"/>
      <c r="BX305" s="75"/>
      <c r="BY305" s="75"/>
      <c r="BZ305" s="75"/>
      <c r="CA305" s="75"/>
      <c r="CB305" s="75"/>
      <c r="CC305" s="75"/>
      <c r="CD305" s="75"/>
      <c r="CE305" s="102"/>
      <c r="CF305" s="102"/>
      <c r="CG305" s="102"/>
      <c r="CH305" s="102"/>
      <c r="CI305" s="102"/>
      <c r="CJ305" s="102"/>
      <c r="CK305" s="102"/>
      <c r="CL305" s="102"/>
      <c r="CM305" s="102"/>
      <c r="CN305" s="102"/>
      <c r="CO305" s="102"/>
      <c r="CP305" s="102"/>
      <c r="CQ305" s="102"/>
      <c r="CR305" s="102"/>
      <c r="CS305" s="102"/>
      <c r="CT305" s="102"/>
      <c r="CU305" s="102"/>
      <c r="CV305" s="102"/>
      <c r="CW305" s="102"/>
      <c r="CX305" s="102"/>
      <c r="CY305" s="102"/>
      <c r="CZ305" s="102"/>
      <c r="DA305" s="102"/>
      <c r="DB305" s="102"/>
      <c r="DC305" s="102"/>
      <c r="DD305" s="102"/>
      <c r="DE305" s="102"/>
      <c r="DF305" s="102"/>
      <c r="DG305" s="102"/>
      <c r="DH305" s="102"/>
      <c r="DI305" s="102"/>
      <c r="DJ305" s="102"/>
      <c r="DK305" s="102"/>
      <c r="DL305" s="102"/>
      <c r="DM305" s="102"/>
      <c r="DN305" s="102"/>
      <c r="DO305" s="102"/>
      <c r="DP305" s="102"/>
    </row>
    <row r="306" spans="1:120" x14ac:dyDescent="0.25">
      <c r="A306" s="4"/>
      <c r="D306"/>
      <c r="E306"/>
      <c r="F306"/>
      <c r="J306" s="68" t="str">
        <f t="shared" si="105"/>
        <v/>
      </c>
      <c r="K306" s="68" t="str">
        <f t="shared" si="106"/>
        <v/>
      </c>
      <c r="L306" s="69" t="str">
        <f t="shared" si="107"/>
        <v/>
      </c>
      <c r="M306" s="69" t="str">
        <f t="shared" si="108"/>
        <v/>
      </c>
      <c r="N306" s="69" t="str">
        <f>IF(A306="","",Tabela1[[#This Row],[PTC]]*Tabela1[[#This Row],[ODDC]])</f>
        <v/>
      </c>
      <c r="O306" s="69" t="str">
        <f>IF(A306="","",Tabela1[[#This Row],[PTV]]*Tabela1[[#This Row],[ODDV]])</f>
        <v/>
      </c>
      <c r="P306" s="68" t="str">
        <f t="shared" si="109"/>
        <v/>
      </c>
      <c r="Q306" s="68" t="str">
        <f t="shared" si="110"/>
        <v/>
      </c>
      <c r="R306" s="68" t="str">
        <f t="shared" si="111"/>
        <v/>
      </c>
      <c r="S306" s="68" t="str">
        <f t="shared" si="112"/>
        <v/>
      </c>
      <c r="T306" s="68" t="str">
        <f>IF(A306="","",IF(F306="D",Tabela1[[#This Row],[ODDE]]-1,-1))</f>
        <v/>
      </c>
      <c r="U306" s="70" t="str">
        <f>IF(A306="","",IF(AND(Tabela1[[#This Row],[FTHG]]&gt;3,F306="H"),1,0))</f>
        <v/>
      </c>
      <c r="V306" s="70" t="str">
        <f>IF(A306="","",IF(AND(Tabela1[[#This Row],[FTAG]]&gt;3,F306="A"),1,0))</f>
        <v/>
      </c>
      <c r="W306" s="70" t="str">
        <f t="shared" si="113"/>
        <v/>
      </c>
      <c r="X306" s="70" t="str">
        <f t="shared" si="114"/>
        <v/>
      </c>
      <c r="Y306" s="71" t="str">
        <f t="shared" si="115"/>
        <v/>
      </c>
      <c r="Z306" s="70" t="str">
        <f t="shared" si="116"/>
        <v/>
      </c>
      <c r="AA306" s="70" t="str">
        <f t="shared" si="117"/>
        <v/>
      </c>
      <c r="AB306" s="70" t="str">
        <f t="shared" si="118"/>
        <v/>
      </c>
      <c r="AC306" s="71" t="str">
        <f t="shared" si="119"/>
        <v/>
      </c>
      <c r="AD306" s="72" t="str">
        <f t="shared" si="120"/>
        <v/>
      </c>
      <c r="AE306" s="73" t="str">
        <f>IF(A306="","",COUNT($N$2:N306))</f>
        <v/>
      </c>
      <c r="AF306" s="74" t="str">
        <f t="shared" si="121"/>
        <v/>
      </c>
      <c r="AG306" s="74" t="str">
        <f t="shared" si="122"/>
        <v/>
      </c>
      <c r="AH306" s="74" t="str">
        <f t="shared" si="123"/>
        <v/>
      </c>
      <c r="AI306" s="74" t="str">
        <f t="shared" si="124"/>
        <v/>
      </c>
      <c r="AJ306" s="74" t="str">
        <f t="shared" si="125"/>
        <v/>
      </c>
      <c r="AK306" s="74" t="str">
        <f>IF(A306="","",1/Tabela1[[#This Row],[ODDC]])</f>
        <v/>
      </c>
      <c r="AL306" s="74" t="str">
        <f>IF(A306="","",1/Tabela1[[#This Row],[ODDE]])</f>
        <v/>
      </c>
      <c r="AM306" s="74" t="str">
        <f>IF(A306="","",1/Tabela1[[#This Row],[ODDV]])</f>
        <v/>
      </c>
      <c r="AN306" s="74" t="str">
        <f>IF(A306="","",1-(Tabela1[[#This Row],[p(H)]]+Tabela1[[#This Row],[p(D)]]+Tabela1[[#This Row],[p(A)]]))</f>
        <v/>
      </c>
      <c r="AO306" s="74" t="str">
        <f>IF(A306="","",IFERROR(Tabela1[[#This Row],[p(H)]]/Tabela1[[#This Row],[FTHG]],1))</f>
        <v/>
      </c>
      <c r="AP306" s="74" t="str">
        <f>IF(A306="","",IFERROR(Tabela1[[#This Row],[p(A)]]/Tabela1[[#This Row],[FTAG]],1))</f>
        <v/>
      </c>
      <c r="AQ306" s="107"/>
      <c r="AR306" s="107"/>
      <c r="AS306" s="107"/>
      <c r="AT306" s="107"/>
      <c r="AU306" s="107"/>
      <c r="AV306" s="107"/>
      <c r="AW306" s="107"/>
      <c r="AX306" s="107"/>
      <c r="AY306" s="107"/>
      <c r="AZ306" s="75"/>
      <c r="BA306" s="75"/>
      <c r="BB306" s="75"/>
      <c r="BC306" s="107"/>
      <c r="BD306" s="107"/>
      <c r="BE306" s="107"/>
      <c r="BF306" s="107"/>
      <c r="BG306" s="107"/>
      <c r="BH306" s="107"/>
      <c r="BI306" s="107"/>
      <c r="BJ306" s="107"/>
      <c r="BK306" s="107"/>
      <c r="BL306" s="107"/>
      <c r="BM306" s="107"/>
      <c r="BN306" s="107"/>
      <c r="BO306" s="107"/>
      <c r="BP306" s="107"/>
      <c r="BQ306" s="107"/>
      <c r="BR306" s="107"/>
      <c r="BS306" s="107"/>
      <c r="BT306" s="107"/>
      <c r="BU306" s="107"/>
      <c r="BV306" s="107"/>
      <c r="BW306" s="107"/>
      <c r="BX306" s="75"/>
      <c r="BY306" s="75"/>
      <c r="BZ306" s="75"/>
      <c r="CA306" s="75"/>
      <c r="CB306" s="75"/>
      <c r="CC306" s="75"/>
      <c r="CD306" s="75"/>
      <c r="CE306" s="102"/>
      <c r="CF306" s="102"/>
      <c r="CG306" s="102"/>
      <c r="CH306" s="102"/>
      <c r="CI306" s="102"/>
      <c r="CJ306" s="102"/>
      <c r="CK306" s="102"/>
      <c r="CL306" s="102"/>
      <c r="CM306" s="102"/>
      <c r="CN306" s="102"/>
      <c r="CO306" s="102"/>
      <c r="CP306" s="102"/>
      <c r="CQ306" s="102"/>
      <c r="CR306" s="102"/>
      <c r="CS306" s="102"/>
      <c r="CT306" s="102"/>
      <c r="CU306" s="102"/>
      <c r="CV306" s="102"/>
      <c r="CW306" s="102"/>
      <c r="CX306" s="102"/>
      <c r="CY306" s="102"/>
      <c r="CZ306" s="102"/>
      <c r="DA306" s="102"/>
      <c r="DB306" s="102"/>
      <c r="DC306" s="102"/>
      <c r="DD306" s="102"/>
      <c r="DE306" s="102"/>
      <c r="DF306" s="102"/>
      <c r="DG306" s="102"/>
      <c r="DH306" s="102"/>
      <c r="DI306" s="102"/>
      <c r="DJ306" s="102"/>
      <c r="DK306" s="102"/>
      <c r="DL306" s="102"/>
      <c r="DM306" s="102"/>
      <c r="DN306" s="102"/>
      <c r="DO306" s="102"/>
      <c r="DP306" s="102"/>
    </row>
    <row r="307" spans="1:120" x14ac:dyDescent="0.25">
      <c r="A307" s="4"/>
      <c r="D307"/>
      <c r="E307"/>
      <c r="F307"/>
      <c r="J307" s="68" t="str">
        <f t="shared" si="105"/>
        <v/>
      </c>
      <c r="K307" s="68" t="str">
        <f t="shared" si="106"/>
        <v/>
      </c>
      <c r="L307" s="69" t="str">
        <f t="shared" si="107"/>
        <v/>
      </c>
      <c r="M307" s="69" t="str">
        <f t="shared" si="108"/>
        <v/>
      </c>
      <c r="N307" s="69" t="str">
        <f>IF(A307="","",Tabela1[[#This Row],[PTC]]*Tabela1[[#This Row],[ODDC]])</f>
        <v/>
      </c>
      <c r="O307" s="69" t="str">
        <f>IF(A307="","",Tabela1[[#This Row],[PTV]]*Tabela1[[#This Row],[ODDV]])</f>
        <v/>
      </c>
      <c r="P307" s="68" t="str">
        <f t="shared" si="109"/>
        <v/>
      </c>
      <c r="Q307" s="68" t="str">
        <f t="shared" si="110"/>
        <v/>
      </c>
      <c r="R307" s="68" t="str">
        <f t="shared" si="111"/>
        <v/>
      </c>
      <c r="S307" s="68" t="str">
        <f t="shared" si="112"/>
        <v/>
      </c>
      <c r="T307" s="68" t="str">
        <f>IF(A307="","",IF(F307="D",Tabela1[[#This Row],[ODDE]]-1,-1))</f>
        <v/>
      </c>
      <c r="U307" s="70" t="str">
        <f>IF(A307="","",IF(AND(Tabela1[[#This Row],[FTHG]]&gt;3,F307="H"),1,0))</f>
        <v/>
      </c>
      <c r="V307" s="70" t="str">
        <f>IF(A307="","",IF(AND(Tabela1[[#This Row],[FTAG]]&gt;3,F307="A"),1,0))</f>
        <v/>
      </c>
      <c r="W307" s="70" t="str">
        <f t="shared" si="113"/>
        <v/>
      </c>
      <c r="X307" s="70" t="str">
        <f t="shared" si="114"/>
        <v/>
      </c>
      <c r="Y307" s="71" t="str">
        <f t="shared" si="115"/>
        <v/>
      </c>
      <c r="Z307" s="70" t="str">
        <f t="shared" si="116"/>
        <v/>
      </c>
      <c r="AA307" s="70" t="str">
        <f t="shared" si="117"/>
        <v/>
      </c>
      <c r="AB307" s="70" t="str">
        <f t="shared" si="118"/>
        <v/>
      </c>
      <c r="AC307" s="71" t="str">
        <f t="shared" si="119"/>
        <v/>
      </c>
      <c r="AD307" s="72" t="str">
        <f t="shared" si="120"/>
        <v/>
      </c>
      <c r="AE307" s="73" t="str">
        <f>IF(A307="","",COUNT($N$2:N307))</f>
        <v/>
      </c>
      <c r="AF307" s="74" t="str">
        <f t="shared" si="121"/>
        <v/>
      </c>
      <c r="AG307" s="74" t="str">
        <f t="shared" si="122"/>
        <v/>
      </c>
      <c r="AH307" s="74" t="str">
        <f t="shared" si="123"/>
        <v/>
      </c>
      <c r="AI307" s="74" t="str">
        <f t="shared" si="124"/>
        <v/>
      </c>
      <c r="AJ307" s="74" t="str">
        <f t="shared" si="125"/>
        <v/>
      </c>
      <c r="AK307" s="74" t="str">
        <f>IF(A307="","",1/Tabela1[[#This Row],[ODDC]])</f>
        <v/>
      </c>
      <c r="AL307" s="74" t="str">
        <f>IF(A307="","",1/Tabela1[[#This Row],[ODDE]])</f>
        <v/>
      </c>
      <c r="AM307" s="74" t="str">
        <f>IF(A307="","",1/Tabela1[[#This Row],[ODDV]])</f>
        <v/>
      </c>
      <c r="AN307" s="74" t="str">
        <f>IF(A307="","",1-(Tabela1[[#This Row],[p(H)]]+Tabela1[[#This Row],[p(D)]]+Tabela1[[#This Row],[p(A)]]))</f>
        <v/>
      </c>
      <c r="AO307" s="74" t="str">
        <f>IF(A307="","",IFERROR(Tabela1[[#This Row],[p(H)]]/Tabela1[[#This Row],[FTHG]],1))</f>
        <v/>
      </c>
      <c r="AP307" s="74" t="str">
        <f>IF(A307="","",IFERROR(Tabela1[[#This Row],[p(A)]]/Tabela1[[#This Row],[FTAG]],1))</f>
        <v/>
      </c>
      <c r="AQ307" s="107"/>
      <c r="AR307" s="107"/>
      <c r="AS307" s="107"/>
      <c r="AT307" s="107"/>
      <c r="AU307" s="107"/>
      <c r="AV307" s="107"/>
      <c r="AW307" s="107"/>
      <c r="AX307" s="107"/>
      <c r="AY307" s="107"/>
      <c r="AZ307" s="75"/>
      <c r="BA307" s="75"/>
      <c r="BB307" s="75"/>
      <c r="BC307" s="107"/>
      <c r="BD307" s="107"/>
      <c r="BE307" s="107"/>
      <c r="BF307" s="107"/>
      <c r="BG307" s="107"/>
      <c r="BH307" s="107"/>
      <c r="BI307" s="107"/>
      <c r="BJ307" s="107"/>
      <c r="BK307" s="107"/>
      <c r="BL307" s="107"/>
      <c r="BM307" s="107"/>
      <c r="BN307" s="107"/>
      <c r="BO307" s="107"/>
      <c r="BP307" s="107"/>
      <c r="BQ307" s="107"/>
      <c r="BR307" s="107"/>
      <c r="BS307" s="107"/>
      <c r="BT307" s="107"/>
      <c r="BU307" s="107"/>
      <c r="BV307" s="107"/>
      <c r="BW307" s="107"/>
      <c r="BX307" s="75"/>
      <c r="BY307" s="75"/>
      <c r="BZ307" s="75"/>
      <c r="CA307" s="75"/>
      <c r="CB307" s="75"/>
      <c r="CC307" s="75"/>
      <c r="CD307" s="75"/>
      <c r="CE307" s="102"/>
      <c r="CF307" s="102"/>
      <c r="CG307" s="102"/>
      <c r="CH307" s="102"/>
      <c r="CI307" s="102"/>
      <c r="CJ307" s="102"/>
      <c r="CK307" s="102"/>
      <c r="CL307" s="102"/>
      <c r="CM307" s="102"/>
      <c r="CN307" s="102"/>
      <c r="CO307" s="102"/>
      <c r="CP307" s="102"/>
      <c r="CQ307" s="102"/>
      <c r="CR307" s="102"/>
      <c r="CS307" s="102"/>
      <c r="CT307" s="102"/>
      <c r="CU307" s="102"/>
      <c r="CV307" s="102"/>
      <c r="CW307" s="102"/>
      <c r="CX307" s="102"/>
      <c r="CY307" s="102"/>
      <c r="CZ307" s="102"/>
      <c r="DA307" s="102"/>
      <c r="DB307" s="102"/>
      <c r="DC307" s="102"/>
      <c r="DD307" s="102"/>
      <c r="DE307" s="102"/>
      <c r="DF307" s="102"/>
      <c r="DG307" s="102"/>
      <c r="DH307" s="102"/>
      <c r="DI307" s="102"/>
      <c r="DJ307" s="102"/>
      <c r="DK307" s="102"/>
      <c r="DL307" s="102"/>
      <c r="DM307" s="102"/>
      <c r="DN307" s="102"/>
      <c r="DO307" s="102"/>
      <c r="DP307" s="102"/>
    </row>
    <row r="308" spans="1:120" x14ac:dyDescent="0.25">
      <c r="A308" s="4"/>
      <c r="D308"/>
      <c r="E308"/>
      <c r="F308"/>
      <c r="J308" s="68" t="str">
        <f t="shared" si="105"/>
        <v/>
      </c>
      <c r="K308" s="68" t="str">
        <f t="shared" si="106"/>
        <v/>
      </c>
      <c r="L308" s="69" t="str">
        <f t="shared" si="107"/>
        <v/>
      </c>
      <c r="M308" s="69" t="str">
        <f t="shared" si="108"/>
        <v/>
      </c>
      <c r="N308" s="69" t="str">
        <f>IF(A308="","",Tabela1[[#This Row],[PTC]]*Tabela1[[#This Row],[ODDC]])</f>
        <v/>
      </c>
      <c r="O308" s="69" t="str">
        <f>IF(A308="","",Tabela1[[#This Row],[PTV]]*Tabela1[[#This Row],[ODDV]])</f>
        <v/>
      </c>
      <c r="P308" s="68" t="str">
        <f t="shared" si="109"/>
        <v/>
      </c>
      <c r="Q308" s="68" t="str">
        <f t="shared" si="110"/>
        <v/>
      </c>
      <c r="R308" s="68" t="str">
        <f t="shared" si="111"/>
        <v/>
      </c>
      <c r="S308" s="68" t="str">
        <f t="shared" si="112"/>
        <v/>
      </c>
      <c r="T308" s="68" t="str">
        <f>IF(A308="","",IF(F308="D",Tabela1[[#This Row],[ODDE]]-1,-1))</f>
        <v/>
      </c>
      <c r="U308" s="70" t="str">
        <f>IF(A308="","",IF(AND(Tabela1[[#This Row],[FTHG]]&gt;3,F308="H"),1,0))</f>
        <v/>
      </c>
      <c r="V308" s="70" t="str">
        <f>IF(A308="","",IF(AND(Tabela1[[#This Row],[FTAG]]&gt;3,F308="A"),1,0))</f>
        <v/>
      </c>
      <c r="W308" s="70" t="str">
        <f t="shared" si="113"/>
        <v/>
      </c>
      <c r="X308" s="70" t="str">
        <f t="shared" si="114"/>
        <v/>
      </c>
      <c r="Y308" s="71" t="str">
        <f t="shared" si="115"/>
        <v/>
      </c>
      <c r="Z308" s="70" t="str">
        <f t="shared" si="116"/>
        <v/>
      </c>
      <c r="AA308" s="70" t="str">
        <f t="shared" si="117"/>
        <v/>
      </c>
      <c r="AB308" s="70" t="str">
        <f t="shared" si="118"/>
        <v/>
      </c>
      <c r="AC308" s="71" t="str">
        <f t="shared" si="119"/>
        <v/>
      </c>
      <c r="AD308" s="72" t="str">
        <f t="shared" si="120"/>
        <v/>
      </c>
      <c r="AE308" s="73" t="str">
        <f>IF(A308="","",COUNT($N$2:N308))</f>
        <v/>
      </c>
      <c r="AF308" s="74" t="str">
        <f t="shared" si="121"/>
        <v/>
      </c>
      <c r="AG308" s="74" t="str">
        <f t="shared" si="122"/>
        <v/>
      </c>
      <c r="AH308" s="74" t="str">
        <f t="shared" si="123"/>
        <v/>
      </c>
      <c r="AI308" s="74" t="str">
        <f t="shared" si="124"/>
        <v/>
      </c>
      <c r="AJ308" s="74" t="str">
        <f t="shared" si="125"/>
        <v/>
      </c>
      <c r="AK308" s="74" t="str">
        <f>IF(A308="","",1/Tabela1[[#This Row],[ODDC]])</f>
        <v/>
      </c>
      <c r="AL308" s="74" t="str">
        <f>IF(A308="","",1/Tabela1[[#This Row],[ODDE]])</f>
        <v/>
      </c>
      <c r="AM308" s="74" t="str">
        <f>IF(A308="","",1/Tabela1[[#This Row],[ODDV]])</f>
        <v/>
      </c>
      <c r="AN308" s="74" t="str">
        <f>IF(A308="","",1-(Tabela1[[#This Row],[p(H)]]+Tabela1[[#This Row],[p(D)]]+Tabela1[[#This Row],[p(A)]]))</f>
        <v/>
      </c>
      <c r="AO308" s="74" t="str">
        <f>IF(A308="","",IFERROR(Tabela1[[#This Row],[p(H)]]/Tabela1[[#This Row],[FTHG]],1))</f>
        <v/>
      </c>
      <c r="AP308" s="74" t="str">
        <f>IF(A308="","",IFERROR(Tabela1[[#This Row],[p(A)]]/Tabela1[[#This Row],[FTAG]],1))</f>
        <v/>
      </c>
      <c r="AQ308" s="107"/>
      <c r="AR308" s="107"/>
      <c r="AS308" s="107"/>
      <c r="AT308" s="107"/>
      <c r="AU308" s="107"/>
      <c r="AV308" s="107"/>
      <c r="AW308" s="107"/>
      <c r="AX308" s="107"/>
      <c r="AY308" s="107"/>
      <c r="AZ308" s="75"/>
      <c r="BA308" s="75"/>
      <c r="BB308" s="75"/>
      <c r="BC308" s="107"/>
      <c r="BD308" s="107"/>
      <c r="BE308" s="107"/>
      <c r="BF308" s="107"/>
      <c r="BG308" s="107"/>
      <c r="BH308" s="107"/>
      <c r="BI308" s="107"/>
      <c r="BJ308" s="107"/>
      <c r="BK308" s="107"/>
      <c r="BL308" s="107"/>
      <c r="BM308" s="107"/>
      <c r="BN308" s="107"/>
      <c r="BO308" s="107"/>
      <c r="BP308" s="107"/>
      <c r="BQ308" s="107"/>
      <c r="BR308" s="107"/>
      <c r="BS308" s="107"/>
      <c r="BT308" s="107"/>
      <c r="BU308" s="107"/>
      <c r="BV308" s="107"/>
      <c r="BW308" s="107"/>
      <c r="BX308" s="75"/>
      <c r="BY308" s="75"/>
      <c r="BZ308" s="75"/>
      <c r="CA308" s="75"/>
      <c r="CB308" s="75"/>
      <c r="CC308" s="75"/>
      <c r="CD308" s="75"/>
      <c r="CE308" s="102"/>
      <c r="CF308" s="102"/>
      <c r="CG308" s="102"/>
      <c r="CH308" s="102"/>
      <c r="CI308" s="102"/>
      <c r="CJ308" s="102"/>
      <c r="CK308" s="102"/>
      <c r="CL308" s="102"/>
      <c r="CM308" s="102"/>
      <c r="CN308" s="102"/>
      <c r="CO308" s="102"/>
      <c r="CP308" s="102"/>
      <c r="CQ308" s="102"/>
      <c r="CR308" s="102"/>
      <c r="CS308" s="102"/>
      <c r="CT308" s="102"/>
      <c r="CU308" s="102"/>
      <c r="CV308" s="102"/>
      <c r="CW308" s="102"/>
      <c r="CX308" s="102"/>
      <c r="CY308" s="102"/>
      <c r="CZ308" s="102"/>
      <c r="DA308" s="102"/>
      <c r="DB308" s="102"/>
      <c r="DC308" s="102"/>
      <c r="DD308" s="102"/>
      <c r="DE308" s="102"/>
      <c r="DF308" s="102"/>
      <c r="DG308" s="102"/>
      <c r="DH308" s="102"/>
      <c r="DI308" s="102"/>
      <c r="DJ308" s="102"/>
      <c r="DK308" s="102"/>
      <c r="DL308" s="102"/>
      <c r="DM308" s="102"/>
      <c r="DN308" s="102"/>
      <c r="DO308" s="102"/>
      <c r="DP308" s="102"/>
    </row>
    <row r="309" spans="1:120" x14ac:dyDescent="0.25">
      <c r="A309" s="4"/>
      <c r="D309"/>
      <c r="E309"/>
      <c r="F309"/>
      <c r="J309" s="68" t="str">
        <f t="shared" si="105"/>
        <v/>
      </c>
      <c r="K309" s="68" t="str">
        <f t="shared" si="106"/>
        <v/>
      </c>
      <c r="L309" s="69" t="str">
        <f t="shared" si="107"/>
        <v/>
      </c>
      <c r="M309" s="69" t="str">
        <f t="shared" si="108"/>
        <v/>
      </c>
      <c r="N309" s="69" t="str">
        <f>IF(A309="","",Tabela1[[#This Row],[PTC]]*Tabela1[[#This Row],[ODDC]])</f>
        <v/>
      </c>
      <c r="O309" s="69" t="str">
        <f>IF(A309="","",Tabela1[[#This Row],[PTV]]*Tabela1[[#This Row],[ODDV]])</f>
        <v/>
      </c>
      <c r="P309" s="68" t="str">
        <f t="shared" si="109"/>
        <v/>
      </c>
      <c r="Q309" s="68" t="str">
        <f t="shared" si="110"/>
        <v/>
      </c>
      <c r="R309" s="68" t="str">
        <f t="shared" si="111"/>
        <v/>
      </c>
      <c r="S309" s="68" t="str">
        <f t="shared" si="112"/>
        <v/>
      </c>
      <c r="T309" s="68" t="str">
        <f>IF(A309="","",IF(F309="D",Tabela1[[#This Row],[ODDE]]-1,-1))</f>
        <v/>
      </c>
      <c r="U309" s="70" t="str">
        <f>IF(A309="","",IF(AND(Tabela1[[#This Row],[FTHG]]&gt;3,F309="H"),1,0))</f>
        <v/>
      </c>
      <c r="V309" s="70" t="str">
        <f>IF(A309="","",IF(AND(Tabela1[[#This Row],[FTAG]]&gt;3,F309="A"),1,0))</f>
        <v/>
      </c>
      <c r="W309" s="70" t="str">
        <f t="shared" si="113"/>
        <v/>
      </c>
      <c r="X309" s="70" t="str">
        <f t="shared" si="114"/>
        <v/>
      </c>
      <c r="Y309" s="71" t="str">
        <f t="shared" si="115"/>
        <v/>
      </c>
      <c r="Z309" s="70" t="str">
        <f t="shared" si="116"/>
        <v/>
      </c>
      <c r="AA309" s="70" t="str">
        <f t="shared" si="117"/>
        <v/>
      </c>
      <c r="AB309" s="70" t="str">
        <f t="shared" si="118"/>
        <v/>
      </c>
      <c r="AC309" s="71" t="str">
        <f t="shared" si="119"/>
        <v/>
      </c>
      <c r="AD309" s="72" t="str">
        <f t="shared" si="120"/>
        <v/>
      </c>
      <c r="AE309" s="73" t="str">
        <f>IF(A309="","",COUNT($N$2:N309))</f>
        <v/>
      </c>
      <c r="AF309" s="74" t="str">
        <f t="shared" si="121"/>
        <v/>
      </c>
      <c r="AG309" s="74" t="str">
        <f t="shared" si="122"/>
        <v/>
      </c>
      <c r="AH309" s="74" t="str">
        <f t="shared" si="123"/>
        <v/>
      </c>
      <c r="AI309" s="74" t="str">
        <f t="shared" si="124"/>
        <v/>
      </c>
      <c r="AJ309" s="74" t="str">
        <f t="shared" si="125"/>
        <v/>
      </c>
      <c r="AK309" s="74" t="str">
        <f>IF(A309="","",1/Tabela1[[#This Row],[ODDC]])</f>
        <v/>
      </c>
      <c r="AL309" s="74" t="str">
        <f>IF(A309="","",1/Tabela1[[#This Row],[ODDE]])</f>
        <v/>
      </c>
      <c r="AM309" s="74" t="str">
        <f>IF(A309="","",1/Tabela1[[#This Row],[ODDV]])</f>
        <v/>
      </c>
      <c r="AN309" s="74" t="str">
        <f>IF(A309="","",1-(Tabela1[[#This Row],[p(H)]]+Tabela1[[#This Row],[p(D)]]+Tabela1[[#This Row],[p(A)]]))</f>
        <v/>
      </c>
      <c r="AO309" s="74" t="str">
        <f>IF(A309="","",IFERROR(Tabela1[[#This Row],[p(H)]]/Tabela1[[#This Row],[FTHG]],1))</f>
        <v/>
      </c>
      <c r="AP309" s="74" t="str">
        <f>IF(A309="","",IFERROR(Tabela1[[#This Row],[p(A)]]/Tabela1[[#This Row],[FTAG]],1))</f>
        <v/>
      </c>
      <c r="AQ309" s="107"/>
      <c r="AR309" s="107"/>
      <c r="AS309" s="107"/>
      <c r="AT309" s="107"/>
      <c r="AU309" s="107"/>
      <c r="AV309" s="107"/>
      <c r="AW309" s="107"/>
      <c r="AX309" s="107"/>
      <c r="AY309" s="107"/>
      <c r="AZ309" s="75"/>
      <c r="BA309" s="75"/>
      <c r="BB309" s="75"/>
      <c r="BC309" s="107"/>
      <c r="BD309" s="107"/>
      <c r="BE309" s="107"/>
      <c r="BF309" s="107"/>
      <c r="BG309" s="107"/>
      <c r="BH309" s="107"/>
      <c r="BI309" s="107"/>
      <c r="BJ309" s="107"/>
      <c r="BK309" s="107"/>
      <c r="BL309" s="107"/>
      <c r="BM309" s="107"/>
      <c r="BN309" s="107"/>
      <c r="BO309" s="107"/>
      <c r="BP309" s="107"/>
      <c r="BQ309" s="107"/>
      <c r="BR309" s="107"/>
      <c r="BS309" s="107"/>
      <c r="BT309" s="107"/>
      <c r="BU309" s="107"/>
      <c r="BV309" s="107"/>
      <c r="BW309" s="107"/>
      <c r="BX309" s="75"/>
      <c r="BY309" s="75"/>
      <c r="BZ309" s="75"/>
      <c r="CA309" s="75"/>
      <c r="CB309" s="75"/>
      <c r="CC309" s="75"/>
      <c r="CD309" s="75"/>
      <c r="CE309" s="102"/>
      <c r="CF309" s="102"/>
      <c r="CG309" s="102"/>
      <c r="CH309" s="102"/>
      <c r="CI309" s="102"/>
      <c r="CJ309" s="102"/>
      <c r="CK309" s="102"/>
      <c r="CL309" s="102"/>
      <c r="CM309" s="102"/>
      <c r="CN309" s="102"/>
      <c r="CO309" s="102"/>
      <c r="CP309" s="102"/>
      <c r="CQ309" s="102"/>
      <c r="CR309" s="102"/>
      <c r="CS309" s="102"/>
      <c r="CT309" s="102"/>
      <c r="CU309" s="102"/>
      <c r="CV309" s="102"/>
      <c r="CW309" s="102"/>
      <c r="CX309" s="102"/>
      <c r="CY309" s="102"/>
      <c r="CZ309" s="102"/>
      <c r="DA309" s="102"/>
      <c r="DB309" s="102"/>
      <c r="DC309" s="102"/>
      <c r="DD309" s="102"/>
      <c r="DE309" s="102"/>
      <c r="DF309" s="102"/>
      <c r="DG309" s="102"/>
      <c r="DH309" s="102"/>
      <c r="DI309" s="102"/>
      <c r="DJ309" s="102"/>
      <c r="DK309" s="102"/>
      <c r="DL309" s="102"/>
      <c r="DM309" s="102"/>
      <c r="DN309" s="102"/>
      <c r="DO309" s="102"/>
      <c r="DP309" s="102"/>
    </row>
    <row r="310" spans="1:120" x14ac:dyDescent="0.25">
      <c r="A310" s="4"/>
      <c r="D310"/>
      <c r="E310"/>
      <c r="F310"/>
      <c r="J310" s="68" t="str">
        <f t="shared" si="105"/>
        <v/>
      </c>
      <c r="K310" s="68" t="str">
        <f t="shared" si="106"/>
        <v/>
      </c>
      <c r="L310" s="69" t="str">
        <f t="shared" si="107"/>
        <v/>
      </c>
      <c r="M310" s="69" t="str">
        <f t="shared" si="108"/>
        <v/>
      </c>
      <c r="N310" s="69" t="str">
        <f>IF(A310="","",Tabela1[[#This Row],[PTC]]*Tabela1[[#This Row],[ODDC]])</f>
        <v/>
      </c>
      <c r="O310" s="69" t="str">
        <f>IF(A310="","",Tabela1[[#This Row],[PTV]]*Tabela1[[#This Row],[ODDV]])</f>
        <v/>
      </c>
      <c r="P310" s="68" t="str">
        <f t="shared" si="109"/>
        <v/>
      </c>
      <c r="Q310" s="68" t="str">
        <f t="shared" si="110"/>
        <v/>
      </c>
      <c r="R310" s="68" t="str">
        <f t="shared" si="111"/>
        <v/>
      </c>
      <c r="S310" s="68" t="str">
        <f t="shared" si="112"/>
        <v/>
      </c>
      <c r="T310" s="68" t="str">
        <f>IF(A310="","",IF(F310="D",Tabela1[[#This Row],[ODDE]]-1,-1))</f>
        <v/>
      </c>
      <c r="U310" s="70" t="str">
        <f>IF(A310="","",IF(AND(Tabela1[[#This Row],[FTHG]]&gt;3,F310="H"),1,0))</f>
        <v/>
      </c>
      <c r="V310" s="70" t="str">
        <f>IF(A310="","",IF(AND(Tabela1[[#This Row],[FTAG]]&gt;3,F310="A"),1,0))</f>
        <v/>
      </c>
      <c r="W310" s="70" t="str">
        <f t="shared" si="113"/>
        <v/>
      </c>
      <c r="X310" s="70" t="str">
        <f t="shared" si="114"/>
        <v/>
      </c>
      <c r="Y310" s="71" t="str">
        <f t="shared" si="115"/>
        <v/>
      </c>
      <c r="Z310" s="70" t="str">
        <f t="shared" si="116"/>
        <v/>
      </c>
      <c r="AA310" s="70" t="str">
        <f t="shared" si="117"/>
        <v/>
      </c>
      <c r="AB310" s="70" t="str">
        <f t="shared" si="118"/>
        <v/>
      </c>
      <c r="AC310" s="71" t="str">
        <f t="shared" si="119"/>
        <v/>
      </c>
      <c r="AD310" s="72" t="str">
        <f t="shared" si="120"/>
        <v/>
      </c>
      <c r="AE310" s="73" t="str">
        <f>IF(A310="","",COUNT($N$2:N310))</f>
        <v/>
      </c>
      <c r="AF310" s="74" t="str">
        <f t="shared" si="121"/>
        <v/>
      </c>
      <c r="AG310" s="74" t="str">
        <f t="shared" si="122"/>
        <v/>
      </c>
      <c r="AH310" s="74" t="str">
        <f t="shared" si="123"/>
        <v/>
      </c>
      <c r="AI310" s="74" t="str">
        <f t="shared" si="124"/>
        <v/>
      </c>
      <c r="AJ310" s="74" t="str">
        <f t="shared" si="125"/>
        <v/>
      </c>
      <c r="AK310" s="74" t="str">
        <f>IF(A310="","",1/Tabela1[[#This Row],[ODDC]])</f>
        <v/>
      </c>
      <c r="AL310" s="74" t="str">
        <f>IF(A310="","",1/Tabela1[[#This Row],[ODDE]])</f>
        <v/>
      </c>
      <c r="AM310" s="74" t="str">
        <f>IF(A310="","",1/Tabela1[[#This Row],[ODDV]])</f>
        <v/>
      </c>
      <c r="AN310" s="74" t="str">
        <f>IF(A310="","",1-(Tabela1[[#This Row],[p(H)]]+Tabela1[[#This Row],[p(D)]]+Tabela1[[#This Row],[p(A)]]))</f>
        <v/>
      </c>
      <c r="AO310" s="74" t="str">
        <f>IF(A310="","",IFERROR(Tabela1[[#This Row],[p(H)]]/Tabela1[[#This Row],[FTHG]],1))</f>
        <v/>
      </c>
      <c r="AP310" s="74" t="str">
        <f>IF(A310="","",IFERROR(Tabela1[[#This Row],[p(A)]]/Tabela1[[#This Row],[FTAG]],1))</f>
        <v/>
      </c>
      <c r="AQ310" s="107"/>
      <c r="AR310" s="107"/>
      <c r="AS310" s="107"/>
      <c r="AT310" s="107"/>
      <c r="AU310" s="107"/>
      <c r="AV310" s="107"/>
      <c r="AW310" s="107"/>
      <c r="AX310" s="107"/>
      <c r="AY310" s="107"/>
      <c r="AZ310" s="75"/>
      <c r="BA310" s="75"/>
      <c r="BB310" s="75"/>
      <c r="BC310" s="107"/>
      <c r="BD310" s="107"/>
      <c r="BE310" s="107"/>
      <c r="BF310" s="107"/>
      <c r="BG310" s="107"/>
      <c r="BH310" s="107"/>
      <c r="BI310" s="107"/>
      <c r="BJ310" s="107"/>
      <c r="BK310" s="107"/>
      <c r="BL310" s="107"/>
      <c r="BM310" s="107"/>
      <c r="BN310" s="107"/>
      <c r="BO310" s="107"/>
      <c r="BP310" s="107"/>
      <c r="BQ310" s="107"/>
      <c r="BR310" s="107"/>
      <c r="BS310" s="107"/>
      <c r="BT310" s="107"/>
      <c r="BU310" s="107"/>
      <c r="BV310" s="107"/>
      <c r="BW310" s="107"/>
      <c r="BX310" s="75"/>
      <c r="BY310" s="75"/>
      <c r="BZ310" s="75"/>
      <c r="CA310" s="75"/>
      <c r="CB310" s="75"/>
      <c r="CC310" s="75"/>
      <c r="CD310" s="75"/>
      <c r="CE310" s="102"/>
      <c r="CF310" s="102"/>
      <c r="CG310" s="102"/>
      <c r="CH310" s="102"/>
      <c r="CI310" s="102"/>
      <c r="CJ310" s="102"/>
      <c r="CK310" s="102"/>
      <c r="CL310" s="102"/>
      <c r="CM310" s="102"/>
      <c r="CN310" s="102"/>
      <c r="CO310" s="102"/>
      <c r="CP310" s="102"/>
      <c r="CQ310" s="102"/>
      <c r="CR310" s="102"/>
      <c r="CS310" s="102"/>
      <c r="CT310" s="102"/>
      <c r="CU310" s="102"/>
      <c r="CV310" s="102"/>
      <c r="CW310" s="102"/>
      <c r="CX310" s="102"/>
      <c r="CY310" s="102"/>
      <c r="CZ310" s="102"/>
      <c r="DA310" s="102"/>
      <c r="DB310" s="102"/>
      <c r="DC310" s="102"/>
      <c r="DD310" s="102"/>
      <c r="DE310" s="102"/>
      <c r="DF310" s="102"/>
      <c r="DG310" s="102"/>
      <c r="DH310" s="102"/>
      <c r="DI310" s="102"/>
      <c r="DJ310" s="102"/>
      <c r="DK310" s="102"/>
      <c r="DL310" s="102"/>
      <c r="DM310" s="102"/>
      <c r="DN310" s="102"/>
      <c r="DO310" s="102"/>
      <c r="DP310" s="102"/>
    </row>
    <row r="311" spans="1:120" x14ac:dyDescent="0.25">
      <c r="A311" s="4"/>
      <c r="D311"/>
      <c r="E311"/>
      <c r="F311"/>
      <c r="J311" s="68" t="str">
        <f t="shared" si="105"/>
        <v/>
      </c>
      <c r="K311" s="68" t="str">
        <f t="shared" si="106"/>
        <v/>
      </c>
      <c r="L311" s="69" t="str">
        <f t="shared" si="107"/>
        <v/>
      </c>
      <c r="M311" s="69" t="str">
        <f t="shared" si="108"/>
        <v/>
      </c>
      <c r="N311" s="69" t="str">
        <f>IF(A311="","",Tabela1[[#This Row],[PTC]]*Tabela1[[#This Row],[ODDC]])</f>
        <v/>
      </c>
      <c r="O311" s="69" t="str">
        <f>IF(A311="","",Tabela1[[#This Row],[PTV]]*Tabela1[[#This Row],[ODDV]])</f>
        <v/>
      </c>
      <c r="P311" s="68" t="str">
        <f t="shared" si="109"/>
        <v/>
      </c>
      <c r="Q311" s="68" t="str">
        <f t="shared" si="110"/>
        <v/>
      </c>
      <c r="R311" s="68" t="str">
        <f t="shared" si="111"/>
        <v/>
      </c>
      <c r="S311" s="68" t="str">
        <f t="shared" si="112"/>
        <v/>
      </c>
      <c r="T311" s="68" t="str">
        <f>IF(A311="","",IF(F311="D",Tabela1[[#This Row],[ODDE]]-1,-1))</f>
        <v/>
      </c>
      <c r="U311" s="70" t="str">
        <f>IF(A311="","",IF(AND(Tabela1[[#This Row],[FTHG]]&gt;3,F311="H"),1,0))</f>
        <v/>
      </c>
      <c r="V311" s="70" t="str">
        <f>IF(A311="","",IF(AND(Tabela1[[#This Row],[FTAG]]&gt;3,F311="A"),1,0))</f>
        <v/>
      </c>
      <c r="W311" s="70" t="str">
        <f t="shared" si="113"/>
        <v/>
      </c>
      <c r="X311" s="70" t="str">
        <f t="shared" si="114"/>
        <v/>
      </c>
      <c r="Y311" s="71" t="str">
        <f t="shared" si="115"/>
        <v/>
      </c>
      <c r="Z311" s="70" t="str">
        <f t="shared" si="116"/>
        <v/>
      </c>
      <c r="AA311" s="70" t="str">
        <f t="shared" si="117"/>
        <v/>
      </c>
      <c r="AB311" s="70" t="str">
        <f t="shared" si="118"/>
        <v/>
      </c>
      <c r="AC311" s="71" t="str">
        <f t="shared" si="119"/>
        <v/>
      </c>
      <c r="AD311" s="72" t="str">
        <f t="shared" si="120"/>
        <v/>
      </c>
      <c r="AE311" s="73" t="str">
        <f>IF(A311="","",COUNT($N$2:N311))</f>
        <v/>
      </c>
      <c r="AF311" s="74" t="str">
        <f t="shared" si="121"/>
        <v/>
      </c>
      <c r="AG311" s="74" t="str">
        <f t="shared" si="122"/>
        <v/>
      </c>
      <c r="AH311" s="74" t="str">
        <f t="shared" si="123"/>
        <v/>
      </c>
      <c r="AI311" s="74" t="str">
        <f t="shared" si="124"/>
        <v/>
      </c>
      <c r="AJ311" s="74" t="str">
        <f t="shared" si="125"/>
        <v/>
      </c>
      <c r="AK311" s="74" t="str">
        <f>IF(A311="","",1/Tabela1[[#This Row],[ODDC]])</f>
        <v/>
      </c>
      <c r="AL311" s="74" t="str">
        <f>IF(A311="","",1/Tabela1[[#This Row],[ODDE]])</f>
        <v/>
      </c>
      <c r="AM311" s="74" t="str">
        <f>IF(A311="","",1/Tabela1[[#This Row],[ODDV]])</f>
        <v/>
      </c>
      <c r="AN311" s="74" t="str">
        <f>IF(A311="","",1-(Tabela1[[#This Row],[p(H)]]+Tabela1[[#This Row],[p(D)]]+Tabela1[[#This Row],[p(A)]]))</f>
        <v/>
      </c>
      <c r="AO311" s="74" t="str">
        <f>IF(A311="","",IFERROR(Tabela1[[#This Row],[p(H)]]/Tabela1[[#This Row],[FTHG]],1))</f>
        <v/>
      </c>
      <c r="AP311" s="74" t="str">
        <f>IF(A311="","",IFERROR(Tabela1[[#This Row],[p(A)]]/Tabela1[[#This Row],[FTAG]],1))</f>
        <v/>
      </c>
      <c r="AQ311" s="107"/>
      <c r="AR311" s="107"/>
      <c r="AS311" s="107"/>
      <c r="AT311" s="107"/>
      <c r="AU311" s="107"/>
      <c r="AV311" s="107"/>
      <c r="AW311" s="107"/>
      <c r="AX311" s="107"/>
      <c r="AY311" s="107"/>
      <c r="AZ311" s="75"/>
      <c r="BA311" s="75"/>
      <c r="BB311" s="75"/>
      <c r="BC311" s="107"/>
      <c r="BD311" s="107"/>
      <c r="BE311" s="107"/>
      <c r="BF311" s="107"/>
      <c r="BG311" s="107"/>
      <c r="BH311" s="107"/>
      <c r="BI311" s="107"/>
      <c r="BJ311" s="107"/>
      <c r="BK311" s="107"/>
      <c r="BL311" s="107"/>
      <c r="BM311" s="107"/>
      <c r="BN311" s="107"/>
      <c r="BO311" s="107"/>
      <c r="BP311" s="107"/>
      <c r="BQ311" s="107"/>
      <c r="BR311" s="107"/>
      <c r="BS311" s="107"/>
      <c r="BT311" s="107"/>
      <c r="BU311" s="107"/>
      <c r="BV311" s="107"/>
      <c r="BW311" s="107"/>
      <c r="BX311" s="75"/>
      <c r="BY311" s="75"/>
      <c r="BZ311" s="75"/>
      <c r="CA311" s="75"/>
      <c r="CB311" s="75"/>
      <c r="CC311" s="75"/>
      <c r="CD311" s="75"/>
      <c r="CE311" s="102"/>
      <c r="CF311" s="102"/>
      <c r="CG311" s="102"/>
      <c r="CH311" s="102"/>
      <c r="CI311" s="102"/>
      <c r="CJ311" s="102"/>
      <c r="CK311" s="102"/>
      <c r="CL311" s="102"/>
      <c r="CM311" s="102"/>
      <c r="CN311" s="102"/>
      <c r="CO311" s="102"/>
      <c r="CP311" s="102"/>
      <c r="CQ311" s="102"/>
      <c r="CR311" s="102"/>
      <c r="CS311" s="102"/>
      <c r="CT311" s="102"/>
      <c r="CU311" s="102"/>
      <c r="CV311" s="102"/>
      <c r="CW311" s="102"/>
      <c r="CX311" s="102"/>
      <c r="CY311" s="102"/>
      <c r="CZ311" s="102"/>
      <c r="DA311" s="102"/>
      <c r="DB311" s="102"/>
      <c r="DC311" s="102"/>
      <c r="DD311" s="102"/>
      <c r="DE311" s="102"/>
      <c r="DF311" s="102"/>
      <c r="DG311" s="102"/>
      <c r="DH311" s="102"/>
      <c r="DI311" s="102"/>
      <c r="DJ311" s="102"/>
      <c r="DK311" s="102"/>
      <c r="DL311" s="102"/>
      <c r="DM311" s="102"/>
      <c r="DN311" s="102"/>
      <c r="DO311" s="102"/>
      <c r="DP311" s="102"/>
    </row>
    <row r="312" spans="1:120" x14ac:dyDescent="0.25">
      <c r="A312" s="4"/>
      <c r="D312"/>
      <c r="E312"/>
      <c r="F312"/>
      <c r="J312" s="68" t="str">
        <f t="shared" si="105"/>
        <v/>
      </c>
      <c r="K312" s="68" t="str">
        <f t="shared" si="106"/>
        <v/>
      </c>
      <c r="L312" s="69" t="str">
        <f t="shared" si="107"/>
        <v/>
      </c>
      <c r="M312" s="69" t="str">
        <f t="shared" si="108"/>
        <v/>
      </c>
      <c r="N312" s="69" t="str">
        <f>IF(A312="","",Tabela1[[#This Row],[PTC]]*Tabela1[[#This Row],[ODDC]])</f>
        <v/>
      </c>
      <c r="O312" s="69" t="str">
        <f>IF(A312="","",Tabela1[[#This Row],[PTV]]*Tabela1[[#This Row],[ODDV]])</f>
        <v/>
      </c>
      <c r="P312" s="68" t="str">
        <f t="shared" si="109"/>
        <v/>
      </c>
      <c r="Q312" s="68" t="str">
        <f t="shared" si="110"/>
        <v/>
      </c>
      <c r="R312" s="68" t="str">
        <f t="shared" si="111"/>
        <v/>
      </c>
      <c r="S312" s="68" t="str">
        <f t="shared" si="112"/>
        <v/>
      </c>
      <c r="T312" s="68" t="str">
        <f>IF(A312="","",IF(F312="D",Tabela1[[#This Row],[ODDE]]-1,-1))</f>
        <v/>
      </c>
      <c r="U312" s="70" t="str">
        <f>IF(A312="","",IF(AND(Tabela1[[#This Row],[FTHG]]&gt;3,F312="H"),1,0))</f>
        <v/>
      </c>
      <c r="V312" s="70" t="str">
        <f>IF(A312="","",IF(AND(Tabela1[[#This Row],[FTAG]]&gt;3,F312="A"),1,0))</f>
        <v/>
      </c>
      <c r="W312" s="70" t="str">
        <f t="shared" si="113"/>
        <v/>
      </c>
      <c r="X312" s="70" t="str">
        <f t="shared" si="114"/>
        <v/>
      </c>
      <c r="Y312" s="71" t="str">
        <f t="shared" si="115"/>
        <v/>
      </c>
      <c r="Z312" s="70" t="str">
        <f t="shared" si="116"/>
        <v/>
      </c>
      <c r="AA312" s="70" t="str">
        <f t="shared" si="117"/>
        <v/>
      </c>
      <c r="AB312" s="70" t="str">
        <f t="shared" si="118"/>
        <v/>
      </c>
      <c r="AC312" s="71" t="str">
        <f t="shared" si="119"/>
        <v/>
      </c>
      <c r="AD312" s="72" t="str">
        <f t="shared" si="120"/>
        <v/>
      </c>
      <c r="AE312" s="73" t="str">
        <f>IF(A312="","",COUNT($N$2:N312))</f>
        <v/>
      </c>
      <c r="AF312" s="74" t="str">
        <f t="shared" si="121"/>
        <v/>
      </c>
      <c r="AG312" s="74" t="str">
        <f t="shared" si="122"/>
        <v/>
      </c>
      <c r="AH312" s="74" t="str">
        <f t="shared" si="123"/>
        <v/>
      </c>
      <c r="AI312" s="74" t="str">
        <f t="shared" si="124"/>
        <v/>
      </c>
      <c r="AJ312" s="74" t="str">
        <f t="shared" si="125"/>
        <v/>
      </c>
      <c r="AK312" s="74" t="str">
        <f>IF(A312="","",1/Tabela1[[#This Row],[ODDC]])</f>
        <v/>
      </c>
      <c r="AL312" s="74" t="str">
        <f>IF(A312="","",1/Tabela1[[#This Row],[ODDE]])</f>
        <v/>
      </c>
      <c r="AM312" s="74" t="str">
        <f>IF(A312="","",1/Tabela1[[#This Row],[ODDV]])</f>
        <v/>
      </c>
      <c r="AN312" s="74" t="str">
        <f>IF(A312="","",1-(Tabela1[[#This Row],[p(H)]]+Tabela1[[#This Row],[p(D)]]+Tabela1[[#This Row],[p(A)]]))</f>
        <v/>
      </c>
      <c r="AO312" s="74" t="str">
        <f>IF(A312="","",IFERROR(Tabela1[[#This Row],[p(H)]]/Tabela1[[#This Row],[FTHG]],1))</f>
        <v/>
      </c>
      <c r="AP312" s="74" t="str">
        <f>IF(A312="","",IFERROR(Tabela1[[#This Row],[p(A)]]/Tabela1[[#This Row],[FTAG]],1))</f>
        <v/>
      </c>
      <c r="AQ312" s="107"/>
      <c r="AR312" s="107"/>
      <c r="AS312" s="107"/>
      <c r="AT312" s="107"/>
      <c r="AU312" s="107"/>
      <c r="AV312" s="107"/>
      <c r="AW312" s="107"/>
      <c r="AX312" s="107"/>
      <c r="AY312" s="107"/>
      <c r="AZ312" s="75"/>
      <c r="BA312" s="75"/>
      <c r="BB312" s="75"/>
      <c r="BC312" s="107"/>
      <c r="BD312" s="107"/>
      <c r="BE312" s="107"/>
      <c r="BF312" s="107"/>
      <c r="BG312" s="107"/>
      <c r="BH312" s="107"/>
      <c r="BI312" s="107"/>
      <c r="BJ312" s="107"/>
      <c r="BK312" s="107"/>
      <c r="BL312" s="107"/>
      <c r="BM312" s="107"/>
      <c r="BN312" s="107"/>
      <c r="BO312" s="107"/>
      <c r="BP312" s="107"/>
      <c r="BQ312" s="107"/>
      <c r="BR312" s="107"/>
      <c r="BS312" s="107"/>
      <c r="BT312" s="107"/>
      <c r="BU312" s="107"/>
      <c r="BV312" s="107"/>
      <c r="BW312" s="107"/>
      <c r="BX312" s="75"/>
      <c r="BY312" s="75"/>
      <c r="BZ312" s="75"/>
      <c r="CA312" s="75"/>
      <c r="CB312" s="75"/>
      <c r="CC312" s="75"/>
      <c r="CD312" s="75"/>
      <c r="CE312" s="102"/>
      <c r="CF312" s="102"/>
      <c r="CG312" s="102"/>
      <c r="CH312" s="102"/>
      <c r="CI312" s="102"/>
      <c r="CJ312" s="102"/>
      <c r="CK312" s="102"/>
      <c r="CL312" s="102"/>
      <c r="CM312" s="102"/>
      <c r="CN312" s="102"/>
      <c r="CO312" s="102"/>
      <c r="CP312" s="102"/>
      <c r="CQ312" s="102"/>
      <c r="CR312" s="102"/>
      <c r="CS312" s="102"/>
      <c r="CT312" s="102"/>
      <c r="CU312" s="102"/>
      <c r="CV312" s="102"/>
      <c r="CW312" s="102"/>
      <c r="CX312" s="102"/>
      <c r="CY312" s="102"/>
      <c r="CZ312" s="102"/>
      <c r="DA312" s="102"/>
      <c r="DB312" s="102"/>
      <c r="DC312" s="102"/>
      <c r="DD312" s="102"/>
      <c r="DE312" s="102"/>
      <c r="DF312" s="102"/>
      <c r="DG312" s="102"/>
      <c r="DH312" s="102"/>
      <c r="DI312" s="102"/>
      <c r="DJ312" s="102"/>
      <c r="DK312" s="102"/>
      <c r="DL312" s="102"/>
      <c r="DM312" s="102"/>
      <c r="DN312" s="102"/>
      <c r="DO312" s="102"/>
      <c r="DP312" s="102"/>
    </row>
    <row r="313" spans="1:120" x14ac:dyDescent="0.25">
      <c r="A313" s="4"/>
      <c r="D313"/>
      <c r="E313"/>
      <c r="F313"/>
      <c r="J313" s="68" t="str">
        <f t="shared" si="105"/>
        <v/>
      </c>
      <c r="K313" s="68" t="str">
        <f t="shared" si="106"/>
        <v/>
      </c>
      <c r="L313" s="69" t="str">
        <f t="shared" si="107"/>
        <v/>
      </c>
      <c r="M313" s="69" t="str">
        <f t="shared" si="108"/>
        <v/>
      </c>
      <c r="N313" s="69" t="str">
        <f>IF(A313="","",Tabela1[[#This Row],[PTC]]*Tabela1[[#This Row],[ODDC]])</f>
        <v/>
      </c>
      <c r="O313" s="69" t="str">
        <f>IF(A313="","",Tabela1[[#This Row],[PTV]]*Tabela1[[#This Row],[ODDV]])</f>
        <v/>
      </c>
      <c r="P313" s="68" t="str">
        <f t="shared" si="109"/>
        <v/>
      </c>
      <c r="Q313" s="68" t="str">
        <f t="shared" si="110"/>
        <v/>
      </c>
      <c r="R313" s="68" t="str">
        <f t="shared" si="111"/>
        <v/>
      </c>
      <c r="S313" s="68" t="str">
        <f t="shared" si="112"/>
        <v/>
      </c>
      <c r="T313" s="68" t="str">
        <f>IF(A313="","",IF(F313="D",Tabela1[[#This Row],[ODDE]]-1,-1))</f>
        <v/>
      </c>
      <c r="U313" s="70" t="str">
        <f>IF(A313="","",IF(AND(Tabela1[[#This Row],[FTHG]]&gt;3,F313="H"),1,0))</f>
        <v/>
      </c>
      <c r="V313" s="70" t="str">
        <f>IF(A313="","",IF(AND(Tabela1[[#This Row],[FTAG]]&gt;3,F313="A"),1,0))</f>
        <v/>
      </c>
      <c r="W313" s="70" t="str">
        <f t="shared" si="113"/>
        <v/>
      </c>
      <c r="X313" s="70" t="str">
        <f t="shared" si="114"/>
        <v/>
      </c>
      <c r="Y313" s="71" t="str">
        <f t="shared" si="115"/>
        <v/>
      </c>
      <c r="Z313" s="70" t="str">
        <f t="shared" si="116"/>
        <v/>
      </c>
      <c r="AA313" s="70" t="str">
        <f t="shared" si="117"/>
        <v/>
      </c>
      <c r="AB313" s="70" t="str">
        <f t="shared" si="118"/>
        <v/>
      </c>
      <c r="AC313" s="71" t="str">
        <f t="shared" si="119"/>
        <v/>
      </c>
      <c r="AD313" s="72" t="str">
        <f t="shared" si="120"/>
        <v/>
      </c>
      <c r="AE313" s="73" t="str">
        <f>IF(A313="","",COUNT($N$2:N313))</f>
        <v/>
      </c>
      <c r="AF313" s="74" t="str">
        <f t="shared" si="121"/>
        <v/>
      </c>
      <c r="AG313" s="74" t="str">
        <f t="shared" si="122"/>
        <v/>
      </c>
      <c r="AH313" s="74" t="str">
        <f t="shared" si="123"/>
        <v/>
      </c>
      <c r="AI313" s="74" t="str">
        <f t="shared" si="124"/>
        <v/>
      </c>
      <c r="AJ313" s="74" t="str">
        <f t="shared" si="125"/>
        <v/>
      </c>
      <c r="AK313" s="74" t="str">
        <f>IF(A313="","",1/Tabela1[[#This Row],[ODDC]])</f>
        <v/>
      </c>
      <c r="AL313" s="74" t="str">
        <f>IF(A313="","",1/Tabela1[[#This Row],[ODDE]])</f>
        <v/>
      </c>
      <c r="AM313" s="74" t="str">
        <f>IF(A313="","",1/Tabela1[[#This Row],[ODDV]])</f>
        <v/>
      </c>
      <c r="AN313" s="74" t="str">
        <f>IF(A313="","",1-(Tabela1[[#This Row],[p(H)]]+Tabela1[[#This Row],[p(D)]]+Tabela1[[#This Row],[p(A)]]))</f>
        <v/>
      </c>
      <c r="AO313" s="74" t="str">
        <f>IF(A313="","",IFERROR(Tabela1[[#This Row],[p(H)]]/Tabela1[[#This Row],[FTHG]],1))</f>
        <v/>
      </c>
      <c r="AP313" s="74" t="str">
        <f>IF(A313="","",IFERROR(Tabela1[[#This Row],[p(A)]]/Tabela1[[#This Row],[FTAG]],1))</f>
        <v/>
      </c>
      <c r="AQ313" s="107"/>
      <c r="AR313" s="107"/>
      <c r="AS313" s="107"/>
      <c r="AT313" s="107"/>
      <c r="AU313" s="107"/>
      <c r="AV313" s="107"/>
      <c r="AW313" s="107"/>
      <c r="AX313" s="107"/>
      <c r="AY313" s="107"/>
      <c r="AZ313" s="75"/>
      <c r="BA313" s="75"/>
      <c r="BB313" s="75"/>
      <c r="BC313" s="107"/>
      <c r="BD313" s="107"/>
      <c r="BE313" s="107"/>
      <c r="BF313" s="107"/>
      <c r="BG313" s="107"/>
      <c r="BH313" s="107"/>
      <c r="BI313" s="107"/>
      <c r="BJ313" s="107"/>
      <c r="BK313" s="107"/>
      <c r="BL313" s="107"/>
      <c r="BM313" s="107"/>
      <c r="BN313" s="107"/>
      <c r="BO313" s="107"/>
      <c r="BP313" s="107"/>
      <c r="BQ313" s="107"/>
      <c r="BR313" s="107"/>
      <c r="BS313" s="107"/>
      <c r="BT313" s="107"/>
      <c r="BU313" s="107"/>
      <c r="BV313" s="107"/>
      <c r="BW313" s="107"/>
      <c r="BX313" s="75"/>
      <c r="BY313" s="75"/>
      <c r="BZ313" s="75"/>
      <c r="CA313" s="75"/>
      <c r="CB313" s="75"/>
      <c r="CC313" s="75"/>
      <c r="CD313" s="75"/>
      <c r="CE313" s="102"/>
      <c r="CF313" s="102"/>
      <c r="CG313" s="102"/>
      <c r="CH313" s="102"/>
      <c r="CI313" s="102"/>
      <c r="CJ313" s="102"/>
      <c r="CK313" s="102"/>
      <c r="CL313" s="102"/>
      <c r="CM313" s="102"/>
      <c r="CN313" s="102"/>
      <c r="CO313" s="102"/>
      <c r="CP313" s="102"/>
      <c r="CQ313" s="102"/>
      <c r="CR313" s="102"/>
      <c r="CS313" s="102"/>
      <c r="CT313" s="102"/>
      <c r="CU313" s="102"/>
      <c r="CV313" s="102"/>
      <c r="CW313" s="102"/>
      <c r="CX313" s="102"/>
      <c r="CY313" s="102"/>
      <c r="CZ313" s="102"/>
      <c r="DA313" s="102"/>
      <c r="DB313" s="102"/>
      <c r="DC313" s="102"/>
      <c r="DD313" s="102"/>
      <c r="DE313" s="102"/>
      <c r="DF313" s="102"/>
      <c r="DG313" s="102"/>
      <c r="DH313" s="102"/>
      <c r="DI313" s="102"/>
      <c r="DJ313" s="102"/>
      <c r="DK313" s="102"/>
      <c r="DL313" s="102"/>
      <c r="DM313" s="102"/>
      <c r="DN313" s="102"/>
      <c r="DO313" s="102"/>
      <c r="DP313" s="102"/>
    </row>
    <row r="314" spans="1:120" x14ac:dyDescent="0.25">
      <c r="A314" s="4"/>
      <c r="D314"/>
      <c r="E314"/>
      <c r="F314"/>
      <c r="J314" s="68" t="str">
        <f t="shared" si="105"/>
        <v/>
      </c>
      <c r="K314" s="68" t="str">
        <f t="shared" si="106"/>
        <v/>
      </c>
      <c r="L314" s="69" t="str">
        <f t="shared" si="107"/>
        <v/>
      </c>
      <c r="M314" s="69" t="str">
        <f t="shared" si="108"/>
        <v/>
      </c>
      <c r="N314" s="69" t="str">
        <f>IF(A314="","",Tabela1[[#This Row],[PTC]]*Tabela1[[#This Row],[ODDC]])</f>
        <v/>
      </c>
      <c r="O314" s="69" t="str">
        <f>IF(A314="","",Tabela1[[#This Row],[PTV]]*Tabela1[[#This Row],[ODDV]])</f>
        <v/>
      </c>
      <c r="P314" s="68" t="str">
        <f t="shared" si="109"/>
        <v/>
      </c>
      <c r="Q314" s="68" t="str">
        <f t="shared" si="110"/>
        <v/>
      </c>
      <c r="R314" s="68" t="str">
        <f t="shared" si="111"/>
        <v/>
      </c>
      <c r="S314" s="68" t="str">
        <f t="shared" si="112"/>
        <v/>
      </c>
      <c r="T314" s="68" t="str">
        <f>IF(A314="","",IF(F314="D",Tabela1[[#This Row],[ODDE]]-1,-1))</f>
        <v/>
      </c>
      <c r="U314" s="70" t="str">
        <f>IF(A314="","",IF(AND(Tabela1[[#This Row],[FTHG]]&gt;3,F314="H"),1,0))</f>
        <v/>
      </c>
      <c r="V314" s="70" t="str">
        <f>IF(A314="","",IF(AND(Tabela1[[#This Row],[FTAG]]&gt;3,F314="A"),1,0))</f>
        <v/>
      </c>
      <c r="W314" s="70" t="str">
        <f t="shared" si="113"/>
        <v/>
      </c>
      <c r="X314" s="70" t="str">
        <f t="shared" si="114"/>
        <v/>
      </c>
      <c r="Y314" s="71" t="str">
        <f t="shared" si="115"/>
        <v/>
      </c>
      <c r="Z314" s="70" t="str">
        <f t="shared" si="116"/>
        <v/>
      </c>
      <c r="AA314" s="70" t="str">
        <f t="shared" si="117"/>
        <v/>
      </c>
      <c r="AB314" s="70" t="str">
        <f t="shared" si="118"/>
        <v/>
      </c>
      <c r="AC314" s="71" t="str">
        <f t="shared" si="119"/>
        <v/>
      </c>
      <c r="AD314" s="72" t="str">
        <f t="shared" si="120"/>
        <v/>
      </c>
      <c r="AE314" s="73" t="str">
        <f>IF(A314="","",COUNT($N$2:N314))</f>
        <v/>
      </c>
      <c r="AF314" s="74" t="str">
        <f t="shared" si="121"/>
        <v/>
      </c>
      <c r="AG314" s="74" t="str">
        <f t="shared" si="122"/>
        <v/>
      </c>
      <c r="AH314" s="74" t="str">
        <f t="shared" si="123"/>
        <v/>
      </c>
      <c r="AI314" s="74" t="str">
        <f t="shared" si="124"/>
        <v/>
      </c>
      <c r="AJ314" s="74" t="str">
        <f t="shared" si="125"/>
        <v/>
      </c>
      <c r="AK314" s="74" t="str">
        <f>IF(A314="","",1/Tabela1[[#This Row],[ODDC]])</f>
        <v/>
      </c>
      <c r="AL314" s="74" t="str">
        <f>IF(A314="","",1/Tabela1[[#This Row],[ODDE]])</f>
        <v/>
      </c>
      <c r="AM314" s="74" t="str">
        <f>IF(A314="","",1/Tabela1[[#This Row],[ODDV]])</f>
        <v/>
      </c>
      <c r="AN314" s="74" t="str">
        <f>IF(A314="","",1-(Tabela1[[#This Row],[p(H)]]+Tabela1[[#This Row],[p(D)]]+Tabela1[[#This Row],[p(A)]]))</f>
        <v/>
      </c>
      <c r="AO314" s="74" t="str">
        <f>IF(A314="","",IFERROR(Tabela1[[#This Row],[p(H)]]/Tabela1[[#This Row],[FTHG]],1))</f>
        <v/>
      </c>
      <c r="AP314" s="74" t="str">
        <f>IF(A314="","",IFERROR(Tabela1[[#This Row],[p(A)]]/Tabela1[[#This Row],[FTAG]],1))</f>
        <v/>
      </c>
      <c r="AQ314" s="107"/>
      <c r="AR314" s="107"/>
      <c r="AS314" s="107"/>
      <c r="AT314" s="107"/>
      <c r="AU314" s="107"/>
      <c r="AV314" s="107"/>
      <c r="AW314" s="107"/>
      <c r="AX314" s="107"/>
      <c r="AY314" s="107"/>
      <c r="AZ314" s="75"/>
      <c r="BA314" s="75"/>
      <c r="BB314" s="75"/>
      <c r="BC314" s="107"/>
      <c r="BD314" s="107"/>
      <c r="BE314" s="107"/>
      <c r="BF314" s="107"/>
      <c r="BG314" s="107"/>
      <c r="BH314" s="107"/>
      <c r="BI314" s="107"/>
      <c r="BJ314" s="107"/>
      <c r="BK314" s="107"/>
      <c r="BL314" s="107"/>
      <c r="BM314" s="107"/>
      <c r="BN314" s="107"/>
      <c r="BO314" s="107"/>
      <c r="BP314" s="107"/>
      <c r="BQ314" s="107"/>
      <c r="BR314" s="107"/>
      <c r="BS314" s="107"/>
      <c r="BT314" s="107"/>
      <c r="BU314" s="107"/>
      <c r="BV314" s="107"/>
      <c r="BW314" s="107"/>
      <c r="BX314" s="75"/>
      <c r="BY314" s="75"/>
      <c r="BZ314" s="75"/>
      <c r="CA314" s="75"/>
      <c r="CB314" s="75"/>
      <c r="CC314" s="75"/>
      <c r="CD314" s="75"/>
      <c r="CE314" s="102"/>
      <c r="CF314" s="102"/>
      <c r="CG314" s="102"/>
      <c r="CH314" s="102"/>
      <c r="CI314" s="102"/>
      <c r="CJ314" s="102"/>
      <c r="CK314" s="102"/>
      <c r="CL314" s="102"/>
      <c r="CM314" s="102"/>
      <c r="CN314" s="102"/>
      <c r="CO314" s="102"/>
      <c r="CP314" s="102"/>
      <c r="CQ314" s="102"/>
      <c r="CR314" s="102"/>
      <c r="CS314" s="102"/>
      <c r="CT314" s="102"/>
      <c r="CU314" s="102"/>
      <c r="CV314" s="102"/>
      <c r="CW314" s="102"/>
      <c r="CX314" s="102"/>
      <c r="CY314" s="102"/>
      <c r="CZ314" s="102"/>
      <c r="DA314" s="102"/>
      <c r="DB314" s="102"/>
      <c r="DC314" s="102"/>
      <c r="DD314" s="102"/>
      <c r="DE314" s="102"/>
      <c r="DF314" s="102"/>
      <c r="DG314" s="102"/>
      <c r="DH314" s="102"/>
      <c r="DI314" s="102"/>
      <c r="DJ314" s="102"/>
      <c r="DK314" s="102"/>
      <c r="DL314" s="102"/>
      <c r="DM314" s="102"/>
      <c r="DN314" s="102"/>
      <c r="DO314" s="102"/>
      <c r="DP314" s="102"/>
    </row>
    <row r="315" spans="1:120" x14ac:dyDescent="0.25">
      <c r="A315" s="4"/>
      <c r="D315"/>
      <c r="E315"/>
      <c r="F315"/>
      <c r="J315" s="68" t="str">
        <f t="shared" si="105"/>
        <v/>
      </c>
      <c r="K315" s="68" t="str">
        <f t="shared" si="106"/>
        <v/>
      </c>
      <c r="L315" s="69" t="str">
        <f t="shared" si="107"/>
        <v/>
      </c>
      <c r="M315" s="69" t="str">
        <f t="shared" si="108"/>
        <v/>
      </c>
      <c r="N315" s="69" t="str">
        <f>IF(A315="","",Tabela1[[#This Row],[PTC]]*Tabela1[[#This Row],[ODDC]])</f>
        <v/>
      </c>
      <c r="O315" s="69" t="str">
        <f>IF(A315="","",Tabela1[[#This Row],[PTV]]*Tabela1[[#This Row],[ODDV]])</f>
        <v/>
      </c>
      <c r="P315" s="68" t="str">
        <f t="shared" si="109"/>
        <v/>
      </c>
      <c r="Q315" s="68" t="str">
        <f t="shared" si="110"/>
        <v/>
      </c>
      <c r="R315" s="68" t="str">
        <f t="shared" si="111"/>
        <v/>
      </c>
      <c r="S315" s="68" t="str">
        <f t="shared" si="112"/>
        <v/>
      </c>
      <c r="T315" s="68" t="str">
        <f>IF(A315="","",IF(F315="D",Tabela1[[#This Row],[ODDE]]-1,-1))</f>
        <v/>
      </c>
      <c r="U315" s="70" t="str">
        <f>IF(A315="","",IF(AND(Tabela1[[#This Row],[FTHG]]&gt;3,F315="H"),1,0))</f>
        <v/>
      </c>
      <c r="V315" s="70" t="str">
        <f>IF(A315="","",IF(AND(Tabela1[[#This Row],[FTAG]]&gt;3,F315="A"),1,0))</f>
        <v/>
      </c>
      <c r="W315" s="70" t="str">
        <f t="shared" si="113"/>
        <v/>
      </c>
      <c r="X315" s="70" t="str">
        <f t="shared" si="114"/>
        <v/>
      </c>
      <c r="Y315" s="71" t="str">
        <f t="shared" si="115"/>
        <v/>
      </c>
      <c r="Z315" s="70" t="str">
        <f t="shared" si="116"/>
        <v/>
      </c>
      <c r="AA315" s="70" t="str">
        <f t="shared" si="117"/>
        <v/>
      </c>
      <c r="AB315" s="70" t="str">
        <f t="shared" si="118"/>
        <v/>
      </c>
      <c r="AC315" s="71" t="str">
        <f t="shared" si="119"/>
        <v/>
      </c>
      <c r="AD315" s="72" t="str">
        <f t="shared" si="120"/>
        <v/>
      </c>
      <c r="AE315" s="73" t="str">
        <f>IF(A315="","",COUNT($N$2:N315))</f>
        <v/>
      </c>
      <c r="AF315" s="74" t="str">
        <f t="shared" si="121"/>
        <v/>
      </c>
      <c r="AG315" s="74" t="str">
        <f t="shared" si="122"/>
        <v/>
      </c>
      <c r="AH315" s="74" t="str">
        <f t="shared" si="123"/>
        <v/>
      </c>
      <c r="AI315" s="74" t="str">
        <f t="shared" si="124"/>
        <v/>
      </c>
      <c r="AJ315" s="74" t="str">
        <f t="shared" si="125"/>
        <v/>
      </c>
      <c r="AK315" s="74" t="str">
        <f>IF(A315="","",1/Tabela1[[#This Row],[ODDC]])</f>
        <v/>
      </c>
      <c r="AL315" s="74" t="str">
        <f>IF(A315="","",1/Tabela1[[#This Row],[ODDE]])</f>
        <v/>
      </c>
      <c r="AM315" s="74" t="str">
        <f>IF(A315="","",1/Tabela1[[#This Row],[ODDV]])</f>
        <v/>
      </c>
      <c r="AN315" s="74" t="str">
        <f>IF(A315="","",1-(Tabela1[[#This Row],[p(H)]]+Tabela1[[#This Row],[p(D)]]+Tabela1[[#This Row],[p(A)]]))</f>
        <v/>
      </c>
      <c r="AO315" s="74" t="str">
        <f>IF(A315="","",IFERROR(Tabela1[[#This Row],[p(H)]]/Tabela1[[#This Row],[FTHG]],1))</f>
        <v/>
      </c>
      <c r="AP315" s="74" t="str">
        <f>IF(A315="","",IFERROR(Tabela1[[#This Row],[p(A)]]/Tabela1[[#This Row],[FTAG]],1))</f>
        <v/>
      </c>
      <c r="AQ315" s="107"/>
      <c r="AR315" s="107"/>
      <c r="AS315" s="107"/>
      <c r="AT315" s="107"/>
      <c r="AU315" s="107"/>
      <c r="AV315" s="107"/>
      <c r="AW315" s="107"/>
      <c r="AX315" s="107"/>
      <c r="AY315" s="107"/>
      <c r="AZ315" s="75"/>
      <c r="BA315" s="75"/>
      <c r="BB315" s="75"/>
      <c r="BC315" s="107"/>
      <c r="BD315" s="107"/>
      <c r="BE315" s="107"/>
      <c r="BF315" s="107"/>
      <c r="BG315" s="107"/>
      <c r="BH315" s="107"/>
      <c r="BI315" s="107"/>
      <c r="BJ315" s="107"/>
      <c r="BK315" s="107"/>
      <c r="BL315" s="107"/>
      <c r="BM315" s="107"/>
      <c r="BN315" s="107"/>
      <c r="BO315" s="107"/>
      <c r="BP315" s="107"/>
      <c r="BQ315" s="107"/>
      <c r="BR315" s="107"/>
      <c r="BS315" s="107"/>
      <c r="BT315" s="107"/>
      <c r="BU315" s="107"/>
      <c r="BV315" s="107"/>
      <c r="BW315" s="107"/>
      <c r="BX315" s="75"/>
      <c r="BY315" s="75"/>
      <c r="BZ315" s="75"/>
      <c r="CA315" s="75"/>
      <c r="CB315" s="75"/>
      <c r="CC315" s="75"/>
      <c r="CD315" s="75"/>
      <c r="CE315" s="102"/>
      <c r="CF315" s="102"/>
      <c r="CG315" s="102"/>
      <c r="CH315" s="102"/>
      <c r="CI315" s="102"/>
      <c r="CJ315" s="102"/>
      <c r="CK315" s="102"/>
      <c r="CL315" s="102"/>
      <c r="CM315" s="102"/>
      <c r="CN315" s="102"/>
      <c r="CO315" s="102"/>
      <c r="CP315" s="102"/>
      <c r="CQ315" s="102"/>
      <c r="CR315" s="102"/>
      <c r="CS315" s="102"/>
      <c r="CT315" s="102"/>
      <c r="CU315" s="102"/>
      <c r="CV315" s="102"/>
      <c r="CW315" s="102"/>
      <c r="CX315" s="102"/>
      <c r="CY315" s="102"/>
      <c r="CZ315" s="102"/>
      <c r="DA315" s="102"/>
      <c r="DB315" s="102"/>
      <c r="DC315" s="102"/>
      <c r="DD315" s="102"/>
      <c r="DE315" s="102"/>
      <c r="DF315" s="102"/>
      <c r="DG315" s="102"/>
      <c r="DH315" s="102"/>
      <c r="DI315" s="102"/>
      <c r="DJ315" s="102"/>
      <c r="DK315" s="102"/>
      <c r="DL315" s="102"/>
      <c r="DM315" s="102"/>
      <c r="DN315" s="102"/>
      <c r="DO315" s="102"/>
      <c r="DP315" s="102"/>
    </row>
    <row r="316" spans="1:120" x14ac:dyDescent="0.25">
      <c r="A316" s="4"/>
      <c r="D316"/>
      <c r="E316"/>
      <c r="F316"/>
      <c r="J316" s="68" t="str">
        <f t="shared" si="105"/>
        <v/>
      </c>
      <c r="K316" s="68" t="str">
        <f t="shared" si="106"/>
        <v/>
      </c>
      <c r="L316" s="69" t="str">
        <f t="shared" si="107"/>
        <v/>
      </c>
      <c r="M316" s="69" t="str">
        <f t="shared" si="108"/>
        <v/>
      </c>
      <c r="N316" s="69" t="str">
        <f>IF(A316="","",Tabela1[[#This Row],[PTC]]*Tabela1[[#This Row],[ODDC]])</f>
        <v/>
      </c>
      <c r="O316" s="69" t="str">
        <f>IF(A316="","",Tabela1[[#This Row],[PTV]]*Tabela1[[#This Row],[ODDV]])</f>
        <v/>
      </c>
      <c r="P316" s="68" t="str">
        <f t="shared" si="109"/>
        <v/>
      </c>
      <c r="Q316" s="68" t="str">
        <f t="shared" si="110"/>
        <v/>
      </c>
      <c r="R316" s="68" t="str">
        <f t="shared" si="111"/>
        <v/>
      </c>
      <c r="S316" s="68" t="str">
        <f t="shared" si="112"/>
        <v/>
      </c>
      <c r="T316" s="68" t="str">
        <f>IF(A316="","",IF(F316="D",Tabela1[[#This Row],[ODDE]]-1,-1))</f>
        <v/>
      </c>
      <c r="U316" s="70" t="str">
        <f>IF(A316="","",IF(AND(Tabela1[[#This Row],[FTHG]]&gt;3,F316="H"),1,0))</f>
        <v/>
      </c>
      <c r="V316" s="70" t="str">
        <f>IF(A316="","",IF(AND(Tabela1[[#This Row],[FTAG]]&gt;3,F316="A"),1,0))</f>
        <v/>
      </c>
      <c r="W316" s="70" t="str">
        <f t="shared" si="113"/>
        <v/>
      </c>
      <c r="X316" s="70" t="str">
        <f t="shared" si="114"/>
        <v/>
      </c>
      <c r="Y316" s="71" t="str">
        <f t="shared" si="115"/>
        <v/>
      </c>
      <c r="Z316" s="70" t="str">
        <f t="shared" si="116"/>
        <v/>
      </c>
      <c r="AA316" s="70" t="str">
        <f t="shared" si="117"/>
        <v/>
      </c>
      <c r="AB316" s="70" t="str">
        <f t="shared" si="118"/>
        <v/>
      </c>
      <c r="AC316" s="71" t="str">
        <f t="shared" si="119"/>
        <v/>
      </c>
      <c r="AD316" s="72" t="str">
        <f t="shared" si="120"/>
        <v/>
      </c>
      <c r="AE316" s="73" t="str">
        <f>IF(A316="","",COUNT($N$2:N316))</f>
        <v/>
      </c>
      <c r="AF316" s="74" t="str">
        <f t="shared" si="121"/>
        <v/>
      </c>
      <c r="AG316" s="74" t="str">
        <f t="shared" si="122"/>
        <v/>
      </c>
      <c r="AH316" s="74" t="str">
        <f t="shared" si="123"/>
        <v/>
      </c>
      <c r="AI316" s="74" t="str">
        <f t="shared" si="124"/>
        <v/>
      </c>
      <c r="AJ316" s="74" t="str">
        <f t="shared" si="125"/>
        <v/>
      </c>
      <c r="AK316" s="74" t="str">
        <f>IF(A316="","",1/Tabela1[[#This Row],[ODDC]])</f>
        <v/>
      </c>
      <c r="AL316" s="74" t="str">
        <f>IF(A316="","",1/Tabela1[[#This Row],[ODDE]])</f>
        <v/>
      </c>
      <c r="AM316" s="74" t="str">
        <f>IF(A316="","",1/Tabela1[[#This Row],[ODDV]])</f>
        <v/>
      </c>
      <c r="AN316" s="74" t="str">
        <f>IF(A316="","",1-(Tabela1[[#This Row],[p(H)]]+Tabela1[[#This Row],[p(D)]]+Tabela1[[#This Row],[p(A)]]))</f>
        <v/>
      </c>
      <c r="AO316" s="74" t="str">
        <f>IF(A316="","",IFERROR(Tabela1[[#This Row],[p(H)]]/Tabela1[[#This Row],[FTHG]],1))</f>
        <v/>
      </c>
      <c r="AP316" s="74" t="str">
        <f>IF(A316="","",IFERROR(Tabela1[[#This Row],[p(A)]]/Tabela1[[#This Row],[FTAG]],1))</f>
        <v/>
      </c>
      <c r="AQ316" s="107"/>
      <c r="AR316" s="107"/>
      <c r="AS316" s="107"/>
      <c r="AT316" s="107"/>
      <c r="AU316" s="107"/>
      <c r="AV316" s="107"/>
      <c r="AW316" s="107"/>
      <c r="AX316" s="107"/>
      <c r="AY316" s="107"/>
      <c r="AZ316" s="75"/>
      <c r="BA316" s="75"/>
      <c r="BB316" s="75"/>
      <c r="BC316" s="107"/>
      <c r="BD316" s="107"/>
      <c r="BE316" s="107"/>
      <c r="BF316" s="107"/>
      <c r="BG316" s="107"/>
      <c r="BH316" s="107"/>
      <c r="BI316" s="107"/>
      <c r="BJ316" s="107"/>
      <c r="BK316" s="107"/>
      <c r="BL316" s="107"/>
      <c r="BM316" s="107"/>
      <c r="BN316" s="107"/>
      <c r="BO316" s="107"/>
      <c r="BP316" s="107"/>
      <c r="BQ316" s="107"/>
      <c r="BR316" s="107"/>
      <c r="BS316" s="107"/>
      <c r="BT316" s="107"/>
      <c r="BU316" s="107"/>
      <c r="BV316" s="107"/>
      <c r="BW316" s="107"/>
      <c r="BX316" s="75"/>
      <c r="BY316" s="75"/>
      <c r="BZ316" s="75"/>
      <c r="CA316" s="75"/>
      <c r="CB316" s="75"/>
      <c r="CC316" s="75"/>
      <c r="CD316" s="75"/>
      <c r="CE316" s="102"/>
      <c r="CF316" s="102"/>
      <c r="CG316" s="102"/>
      <c r="CH316" s="102"/>
      <c r="CI316" s="102"/>
      <c r="CJ316" s="102"/>
      <c r="CK316" s="102"/>
      <c r="CL316" s="102"/>
      <c r="CM316" s="102"/>
      <c r="CN316" s="102"/>
      <c r="CO316" s="102"/>
      <c r="CP316" s="102"/>
      <c r="CQ316" s="102"/>
      <c r="CR316" s="102"/>
      <c r="CS316" s="102"/>
      <c r="CT316" s="102"/>
      <c r="CU316" s="102"/>
      <c r="CV316" s="102"/>
      <c r="CW316" s="102"/>
      <c r="CX316" s="102"/>
      <c r="CY316" s="102"/>
      <c r="CZ316" s="102"/>
      <c r="DA316" s="102"/>
      <c r="DB316" s="102"/>
      <c r="DC316" s="102"/>
      <c r="DD316" s="102"/>
      <c r="DE316" s="102"/>
      <c r="DF316" s="102"/>
      <c r="DG316" s="102"/>
      <c r="DH316" s="102"/>
      <c r="DI316" s="102"/>
      <c r="DJ316" s="102"/>
      <c r="DK316" s="102"/>
      <c r="DL316" s="102"/>
      <c r="DM316" s="102"/>
      <c r="DN316" s="102"/>
      <c r="DO316" s="102"/>
      <c r="DP316" s="102"/>
    </row>
    <row r="317" spans="1:120" x14ac:dyDescent="0.25">
      <c r="A317" s="4"/>
      <c r="D317"/>
      <c r="E317"/>
      <c r="F317"/>
      <c r="J317" s="68" t="str">
        <f t="shared" si="105"/>
        <v/>
      </c>
      <c r="K317" s="68" t="str">
        <f t="shared" si="106"/>
        <v/>
      </c>
      <c r="L317" s="69" t="str">
        <f t="shared" si="107"/>
        <v/>
      </c>
      <c r="M317" s="69" t="str">
        <f t="shared" si="108"/>
        <v/>
      </c>
      <c r="N317" s="69" t="str">
        <f>IF(A317="","",Tabela1[[#This Row],[PTC]]*Tabela1[[#This Row],[ODDC]])</f>
        <v/>
      </c>
      <c r="O317" s="69" t="str">
        <f>IF(A317="","",Tabela1[[#This Row],[PTV]]*Tabela1[[#This Row],[ODDV]])</f>
        <v/>
      </c>
      <c r="P317" s="68" t="str">
        <f t="shared" si="109"/>
        <v/>
      </c>
      <c r="Q317" s="68" t="str">
        <f t="shared" si="110"/>
        <v/>
      </c>
      <c r="R317" s="68" t="str">
        <f t="shared" si="111"/>
        <v/>
      </c>
      <c r="S317" s="68" t="str">
        <f t="shared" si="112"/>
        <v/>
      </c>
      <c r="T317" s="68" t="str">
        <f>IF(A317="","",IF(F317="D",Tabela1[[#This Row],[ODDE]]-1,-1))</f>
        <v/>
      </c>
      <c r="U317" s="70" t="str">
        <f>IF(A317="","",IF(AND(Tabela1[[#This Row],[FTHG]]&gt;3,F317="H"),1,0))</f>
        <v/>
      </c>
      <c r="V317" s="70" t="str">
        <f>IF(A317="","",IF(AND(Tabela1[[#This Row],[FTAG]]&gt;3,F317="A"),1,0))</f>
        <v/>
      </c>
      <c r="W317" s="70" t="str">
        <f t="shared" si="113"/>
        <v/>
      </c>
      <c r="X317" s="70" t="str">
        <f t="shared" si="114"/>
        <v/>
      </c>
      <c r="Y317" s="71" t="str">
        <f t="shared" si="115"/>
        <v/>
      </c>
      <c r="Z317" s="70" t="str">
        <f t="shared" si="116"/>
        <v/>
      </c>
      <c r="AA317" s="70" t="str">
        <f t="shared" si="117"/>
        <v/>
      </c>
      <c r="AB317" s="70" t="str">
        <f t="shared" si="118"/>
        <v/>
      </c>
      <c r="AC317" s="71" t="str">
        <f t="shared" si="119"/>
        <v/>
      </c>
      <c r="AD317" s="72" t="str">
        <f t="shared" si="120"/>
        <v/>
      </c>
      <c r="AE317" s="73" t="str">
        <f>IF(A317="","",COUNT($N$2:N317))</f>
        <v/>
      </c>
      <c r="AF317" s="74" t="str">
        <f t="shared" si="121"/>
        <v/>
      </c>
      <c r="AG317" s="74" t="str">
        <f t="shared" si="122"/>
        <v/>
      </c>
      <c r="AH317" s="74" t="str">
        <f t="shared" si="123"/>
        <v/>
      </c>
      <c r="AI317" s="74" t="str">
        <f t="shared" si="124"/>
        <v/>
      </c>
      <c r="AJ317" s="74" t="str">
        <f t="shared" si="125"/>
        <v/>
      </c>
      <c r="AK317" s="74" t="str">
        <f>IF(A317="","",1/Tabela1[[#This Row],[ODDC]])</f>
        <v/>
      </c>
      <c r="AL317" s="74" t="str">
        <f>IF(A317="","",1/Tabela1[[#This Row],[ODDE]])</f>
        <v/>
      </c>
      <c r="AM317" s="74" t="str">
        <f>IF(A317="","",1/Tabela1[[#This Row],[ODDV]])</f>
        <v/>
      </c>
      <c r="AN317" s="74" t="str">
        <f>IF(A317="","",1-(Tabela1[[#This Row],[p(H)]]+Tabela1[[#This Row],[p(D)]]+Tabela1[[#This Row],[p(A)]]))</f>
        <v/>
      </c>
      <c r="AO317" s="74" t="str">
        <f>IF(A317="","",IFERROR(Tabela1[[#This Row],[p(H)]]/Tabela1[[#This Row],[FTHG]],1))</f>
        <v/>
      </c>
      <c r="AP317" s="74" t="str">
        <f>IF(A317="","",IFERROR(Tabela1[[#This Row],[p(A)]]/Tabela1[[#This Row],[FTAG]],1))</f>
        <v/>
      </c>
      <c r="AQ317" s="107"/>
      <c r="AR317" s="107"/>
      <c r="AS317" s="107"/>
      <c r="AT317" s="107"/>
      <c r="AU317" s="107"/>
      <c r="AV317" s="107"/>
      <c r="AW317" s="107"/>
      <c r="AX317" s="107"/>
      <c r="AY317" s="107"/>
      <c r="AZ317" s="75"/>
      <c r="BA317" s="75"/>
      <c r="BB317" s="75"/>
      <c r="BC317" s="107"/>
      <c r="BD317" s="107"/>
      <c r="BE317" s="107"/>
      <c r="BF317" s="107"/>
      <c r="BG317" s="107"/>
      <c r="BH317" s="107"/>
      <c r="BI317" s="107"/>
      <c r="BJ317" s="107"/>
      <c r="BK317" s="107"/>
      <c r="BL317" s="107"/>
      <c r="BM317" s="107"/>
      <c r="BN317" s="107"/>
      <c r="BO317" s="107"/>
      <c r="BP317" s="107"/>
      <c r="BQ317" s="107"/>
      <c r="BR317" s="107"/>
      <c r="BS317" s="107"/>
      <c r="BT317" s="107"/>
      <c r="BU317" s="107"/>
      <c r="BV317" s="107"/>
      <c r="BW317" s="107"/>
      <c r="BX317" s="75"/>
      <c r="BY317" s="75"/>
      <c r="BZ317" s="75"/>
      <c r="CA317" s="75"/>
      <c r="CB317" s="75"/>
      <c r="CC317" s="75"/>
      <c r="CD317" s="75"/>
      <c r="CE317" s="102"/>
      <c r="CF317" s="102"/>
      <c r="CG317" s="102"/>
      <c r="CH317" s="102"/>
      <c r="CI317" s="102"/>
      <c r="CJ317" s="102"/>
      <c r="CK317" s="102"/>
      <c r="CL317" s="102"/>
      <c r="CM317" s="102"/>
      <c r="CN317" s="102"/>
      <c r="CO317" s="102"/>
      <c r="CP317" s="102"/>
      <c r="CQ317" s="102"/>
      <c r="CR317" s="102"/>
      <c r="CS317" s="102"/>
      <c r="CT317" s="102"/>
      <c r="CU317" s="102"/>
      <c r="CV317" s="102"/>
      <c r="CW317" s="102"/>
      <c r="CX317" s="102"/>
      <c r="CY317" s="102"/>
      <c r="CZ317" s="102"/>
      <c r="DA317" s="102"/>
      <c r="DB317" s="102"/>
      <c r="DC317" s="102"/>
      <c r="DD317" s="102"/>
      <c r="DE317" s="102"/>
      <c r="DF317" s="102"/>
      <c r="DG317" s="102"/>
      <c r="DH317" s="102"/>
      <c r="DI317" s="102"/>
      <c r="DJ317" s="102"/>
      <c r="DK317" s="102"/>
      <c r="DL317" s="102"/>
      <c r="DM317" s="102"/>
      <c r="DN317" s="102"/>
      <c r="DO317" s="102"/>
      <c r="DP317" s="102"/>
    </row>
    <row r="318" spans="1:120" x14ac:dyDescent="0.25">
      <c r="A318" s="4"/>
      <c r="D318"/>
      <c r="E318"/>
      <c r="F318"/>
      <c r="J318" s="68" t="str">
        <f t="shared" si="105"/>
        <v/>
      </c>
      <c r="K318" s="68" t="str">
        <f t="shared" si="106"/>
        <v/>
      </c>
      <c r="L318" s="69" t="str">
        <f t="shared" si="107"/>
        <v/>
      </c>
      <c r="M318" s="69" t="str">
        <f t="shared" si="108"/>
        <v/>
      </c>
      <c r="N318" s="69" t="str">
        <f>IF(A318="","",Tabela1[[#This Row],[PTC]]*Tabela1[[#This Row],[ODDC]])</f>
        <v/>
      </c>
      <c r="O318" s="69" t="str">
        <f>IF(A318="","",Tabela1[[#This Row],[PTV]]*Tabela1[[#This Row],[ODDV]])</f>
        <v/>
      </c>
      <c r="P318" s="68" t="str">
        <f t="shared" si="109"/>
        <v/>
      </c>
      <c r="Q318" s="68" t="str">
        <f t="shared" si="110"/>
        <v/>
      </c>
      <c r="R318" s="68" t="str">
        <f t="shared" si="111"/>
        <v/>
      </c>
      <c r="S318" s="68" t="str">
        <f t="shared" si="112"/>
        <v/>
      </c>
      <c r="T318" s="68" t="str">
        <f>IF(A318="","",IF(F318="D",Tabela1[[#This Row],[ODDE]]-1,-1))</f>
        <v/>
      </c>
      <c r="U318" s="70" t="str">
        <f>IF(A318="","",IF(AND(Tabela1[[#This Row],[FTHG]]&gt;3,F318="H"),1,0))</f>
        <v/>
      </c>
      <c r="V318" s="70" t="str">
        <f>IF(A318="","",IF(AND(Tabela1[[#This Row],[FTAG]]&gt;3,F318="A"),1,0))</f>
        <v/>
      </c>
      <c r="W318" s="70" t="str">
        <f t="shared" si="113"/>
        <v/>
      </c>
      <c r="X318" s="70" t="str">
        <f t="shared" si="114"/>
        <v/>
      </c>
      <c r="Y318" s="71" t="str">
        <f t="shared" si="115"/>
        <v/>
      </c>
      <c r="Z318" s="70" t="str">
        <f t="shared" si="116"/>
        <v/>
      </c>
      <c r="AA318" s="70" t="str">
        <f t="shared" si="117"/>
        <v/>
      </c>
      <c r="AB318" s="70" t="str">
        <f t="shared" si="118"/>
        <v/>
      </c>
      <c r="AC318" s="71" t="str">
        <f t="shared" si="119"/>
        <v/>
      </c>
      <c r="AD318" s="72" t="str">
        <f t="shared" si="120"/>
        <v/>
      </c>
      <c r="AE318" s="73" t="str">
        <f>IF(A318="","",COUNT($N$2:N318))</f>
        <v/>
      </c>
      <c r="AF318" s="74" t="str">
        <f t="shared" si="121"/>
        <v/>
      </c>
      <c r="AG318" s="74" t="str">
        <f t="shared" si="122"/>
        <v/>
      </c>
      <c r="AH318" s="74" t="str">
        <f t="shared" si="123"/>
        <v/>
      </c>
      <c r="AI318" s="74" t="str">
        <f t="shared" si="124"/>
        <v/>
      </c>
      <c r="AJ318" s="74" t="str">
        <f t="shared" si="125"/>
        <v/>
      </c>
      <c r="AK318" s="74" t="str">
        <f>IF(A318="","",1/Tabela1[[#This Row],[ODDC]])</f>
        <v/>
      </c>
      <c r="AL318" s="74" t="str">
        <f>IF(A318="","",1/Tabela1[[#This Row],[ODDE]])</f>
        <v/>
      </c>
      <c r="AM318" s="74" t="str">
        <f>IF(A318="","",1/Tabela1[[#This Row],[ODDV]])</f>
        <v/>
      </c>
      <c r="AN318" s="74" t="str">
        <f>IF(A318="","",1-(Tabela1[[#This Row],[p(H)]]+Tabela1[[#This Row],[p(D)]]+Tabela1[[#This Row],[p(A)]]))</f>
        <v/>
      </c>
      <c r="AO318" s="74" t="str">
        <f>IF(A318="","",IFERROR(Tabela1[[#This Row],[p(H)]]/Tabela1[[#This Row],[FTHG]],1))</f>
        <v/>
      </c>
      <c r="AP318" s="74" t="str">
        <f>IF(A318="","",IFERROR(Tabela1[[#This Row],[p(A)]]/Tabela1[[#This Row],[FTAG]],1))</f>
        <v/>
      </c>
      <c r="AQ318" s="107"/>
      <c r="AR318" s="107"/>
      <c r="AS318" s="107"/>
      <c r="AT318" s="107"/>
      <c r="AU318" s="107"/>
      <c r="AV318" s="107"/>
      <c r="AW318" s="107"/>
      <c r="AX318" s="107"/>
      <c r="AY318" s="107"/>
      <c r="AZ318" s="75"/>
      <c r="BA318" s="75"/>
      <c r="BB318" s="75"/>
      <c r="BC318" s="107"/>
      <c r="BD318" s="107"/>
      <c r="BE318" s="107"/>
      <c r="BF318" s="107"/>
      <c r="BG318" s="107"/>
      <c r="BH318" s="107"/>
      <c r="BI318" s="107"/>
      <c r="BJ318" s="107"/>
      <c r="BK318" s="107"/>
      <c r="BL318" s="107"/>
      <c r="BM318" s="107"/>
      <c r="BN318" s="107"/>
      <c r="BO318" s="107"/>
      <c r="BP318" s="107"/>
      <c r="BQ318" s="107"/>
      <c r="BR318" s="107"/>
      <c r="BS318" s="107"/>
      <c r="BT318" s="107"/>
      <c r="BU318" s="107"/>
      <c r="BV318" s="107"/>
      <c r="BW318" s="107"/>
      <c r="BX318" s="75"/>
      <c r="BY318" s="75"/>
      <c r="BZ318" s="75"/>
      <c r="CA318" s="75"/>
      <c r="CB318" s="75"/>
      <c r="CC318" s="75"/>
      <c r="CD318" s="75"/>
      <c r="CE318" s="102"/>
      <c r="CF318" s="102"/>
      <c r="CG318" s="102"/>
      <c r="CH318" s="102"/>
      <c r="CI318" s="102"/>
      <c r="CJ318" s="102"/>
      <c r="CK318" s="102"/>
      <c r="CL318" s="102"/>
      <c r="CM318" s="102"/>
      <c r="CN318" s="102"/>
      <c r="CO318" s="102"/>
      <c r="CP318" s="102"/>
      <c r="CQ318" s="102"/>
      <c r="CR318" s="102"/>
      <c r="CS318" s="102"/>
      <c r="CT318" s="102"/>
      <c r="CU318" s="102"/>
      <c r="CV318" s="102"/>
      <c r="CW318" s="102"/>
      <c r="CX318" s="102"/>
      <c r="CY318" s="102"/>
      <c r="CZ318" s="102"/>
      <c r="DA318" s="102"/>
      <c r="DB318" s="102"/>
      <c r="DC318" s="102"/>
      <c r="DD318" s="102"/>
      <c r="DE318" s="102"/>
      <c r="DF318" s="102"/>
      <c r="DG318" s="102"/>
      <c r="DH318" s="102"/>
      <c r="DI318" s="102"/>
      <c r="DJ318" s="102"/>
      <c r="DK318" s="102"/>
      <c r="DL318" s="102"/>
      <c r="DM318" s="102"/>
      <c r="DN318" s="102"/>
      <c r="DO318" s="102"/>
      <c r="DP318" s="102"/>
    </row>
    <row r="319" spans="1:120" x14ac:dyDescent="0.25">
      <c r="A319" s="4"/>
      <c r="D319"/>
      <c r="E319"/>
      <c r="F319"/>
      <c r="J319" s="68" t="str">
        <f t="shared" si="105"/>
        <v/>
      </c>
      <c r="K319" s="68" t="str">
        <f t="shared" si="106"/>
        <v/>
      </c>
      <c r="L319" s="69" t="str">
        <f t="shared" si="107"/>
        <v/>
      </c>
      <c r="M319" s="69" t="str">
        <f t="shared" si="108"/>
        <v/>
      </c>
      <c r="N319" s="69" t="str">
        <f>IF(A319="","",Tabela1[[#This Row],[PTC]]*Tabela1[[#This Row],[ODDC]])</f>
        <v/>
      </c>
      <c r="O319" s="69" t="str">
        <f>IF(A319="","",Tabela1[[#This Row],[PTV]]*Tabela1[[#This Row],[ODDV]])</f>
        <v/>
      </c>
      <c r="P319" s="68" t="str">
        <f t="shared" si="109"/>
        <v/>
      </c>
      <c r="Q319" s="68" t="str">
        <f t="shared" si="110"/>
        <v/>
      </c>
      <c r="R319" s="68" t="str">
        <f t="shared" si="111"/>
        <v/>
      </c>
      <c r="S319" s="68" t="str">
        <f t="shared" si="112"/>
        <v/>
      </c>
      <c r="T319" s="68" t="str">
        <f>IF(A319="","",IF(F319="D",Tabela1[[#This Row],[ODDE]]-1,-1))</f>
        <v/>
      </c>
      <c r="U319" s="70" t="str">
        <f>IF(A319="","",IF(AND(Tabela1[[#This Row],[FTHG]]&gt;3,F319="H"),1,0))</f>
        <v/>
      </c>
      <c r="V319" s="70" t="str">
        <f>IF(A319="","",IF(AND(Tabela1[[#This Row],[FTAG]]&gt;3,F319="A"),1,0))</f>
        <v/>
      </c>
      <c r="W319" s="70" t="str">
        <f t="shared" si="113"/>
        <v/>
      </c>
      <c r="X319" s="70" t="str">
        <f t="shared" si="114"/>
        <v/>
      </c>
      <c r="Y319" s="71" t="str">
        <f t="shared" si="115"/>
        <v/>
      </c>
      <c r="Z319" s="70" t="str">
        <f t="shared" si="116"/>
        <v/>
      </c>
      <c r="AA319" s="70" t="str">
        <f t="shared" si="117"/>
        <v/>
      </c>
      <c r="AB319" s="70" t="str">
        <f t="shared" si="118"/>
        <v/>
      </c>
      <c r="AC319" s="71" t="str">
        <f t="shared" si="119"/>
        <v/>
      </c>
      <c r="AD319" s="72" t="str">
        <f t="shared" si="120"/>
        <v/>
      </c>
      <c r="AE319" s="73" t="str">
        <f>IF(A319="","",COUNT($N$2:N319))</f>
        <v/>
      </c>
      <c r="AF319" s="74" t="str">
        <f t="shared" si="121"/>
        <v/>
      </c>
      <c r="AG319" s="74" t="str">
        <f t="shared" si="122"/>
        <v/>
      </c>
      <c r="AH319" s="74" t="str">
        <f t="shared" si="123"/>
        <v/>
      </c>
      <c r="AI319" s="74" t="str">
        <f t="shared" si="124"/>
        <v/>
      </c>
      <c r="AJ319" s="74" t="str">
        <f t="shared" si="125"/>
        <v/>
      </c>
      <c r="AK319" s="74" t="str">
        <f>IF(A319="","",1/Tabela1[[#This Row],[ODDC]])</f>
        <v/>
      </c>
      <c r="AL319" s="74" t="str">
        <f>IF(A319="","",1/Tabela1[[#This Row],[ODDE]])</f>
        <v/>
      </c>
      <c r="AM319" s="74" t="str">
        <f>IF(A319="","",1/Tabela1[[#This Row],[ODDV]])</f>
        <v/>
      </c>
      <c r="AN319" s="74" t="str">
        <f>IF(A319="","",1-(Tabela1[[#This Row],[p(H)]]+Tabela1[[#This Row],[p(D)]]+Tabela1[[#This Row],[p(A)]]))</f>
        <v/>
      </c>
      <c r="AO319" s="74" t="str">
        <f>IF(A319="","",IFERROR(Tabela1[[#This Row],[p(H)]]/Tabela1[[#This Row],[FTHG]],1))</f>
        <v/>
      </c>
      <c r="AP319" s="74" t="str">
        <f>IF(A319="","",IFERROR(Tabela1[[#This Row],[p(A)]]/Tabela1[[#This Row],[FTAG]],1))</f>
        <v/>
      </c>
      <c r="AQ319" s="107"/>
      <c r="AR319" s="107"/>
      <c r="AS319" s="107"/>
      <c r="AT319" s="107"/>
      <c r="AU319" s="107"/>
      <c r="AV319" s="107"/>
      <c r="AW319" s="107"/>
      <c r="AX319" s="107"/>
      <c r="AY319" s="107"/>
      <c r="AZ319" s="75"/>
      <c r="BA319" s="75"/>
      <c r="BB319" s="75"/>
      <c r="BC319" s="107"/>
      <c r="BD319" s="107"/>
      <c r="BE319" s="107"/>
      <c r="BF319" s="107"/>
      <c r="BG319" s="107"/>
      <c r="BH319" s="107"/>
      <c r="BI319" s="107"/>
      <c r="BJ319" s="107"/>
      <c r="BK319" s="107"/>
      <c r="BL319" s="107"/>
      <c r="BM319" s="107"/>
      <c r="BN319" s="107"/>
      <c r="BO319" s="107"/>
      <c r="BP319" s="107"/>
      <c r="BQ319" s="107"/>
      <c r="BR319" s="107"/>
      <c r="BS319" s="107"/>
      <c r="BT319" s="107"/>
      <c r="BU319" s="107"/>
      <c r="BV319" s="107"/>
      <c r="BW319" s="107"/>
      <c r="BX319" s="75"/>
      <c r="BY319" s="75"/>
      <c r="BZ319" s="75"/>
      <c r="CA319" s="75"/>
      <c r="CB319" s="75"/>
      <c r="CC319" s="75"/>
      <c r="CD319" s="75"/>
      <c r="CE319" s="102"/>
      <c r="CF319" s="102"/>
      <c r="CG319" s="102"/>
      <c r="CH319" s="102"/>
      <c r="CI319" s="102"/>
      <c r="CJ319" s="102"/>
      <c r="CK319" s="102"/>
      <c r="CL319" s="102"/>
      <c r="CM319" s="102"/>
      <c r="CN319" s="102"/>
      <c r="CO319" s="102"/>
      <c r="CP319" s="102"/>
      <c r="CQ319" s="102"/>
      <c r="CR319" s="102"/>
      <c r="CS319" s="102"/>
      <c r="CT319" s="102"/>
      <c r="CU319" s="102"/>
      <c r="CV319" s="102"/>
      <c r="CW319" s="102"/>
      <c r="CX319" s="102"/>
      <c r="CY319" s="102"/>
      <c r="CZ319" s="102"/>
      <c r="DA319" s="102"/>
      <c r="DB319" s="102"/>
      <c r="DC319" s="102"/>
      <c r="DD319" s="102"/>
      <c r="DE319" s="102"/>
      <c r="DF319" s="102"/>
      <c r="DG319" s="102"/>
      <c r="DH319" s="102"/>
      <c r="DI319" s="102"/>
      <c r="DJ319" s="102"/>
      <c r="DK319" s="102"/>
      <c r="DL319" s="102"/>
      <c r="DM319" s="102"/>
      <c r="DN319" s="102"/>
      <c r="DO319" s="102"/>
      <c r="DP319" s="102"/>
    </row>
    <row r="320" spans="1:120" x14ac:dyDescent="0.25">
      <c r="A320" s="4"/>
      <c r="D320"/>
      <c r="E320"/>
      <c r="F320"/>
      <c r="J320" s="68" t="str">
        <f t="shared" si="105"/>
        <v/>
      </c>
      <c r="K320" s="68" t="str">
        <f t="shared" si="106"/>
        <v/>
      </c>
      <c r="L320" s="69" t="str">
        <f t="shared" si="107"/>
        <v/>
      </c>
      <c r="M320" s="69" t="str">
        <f t="shared" si="108"/>
        <v/>
      </c>
      <c r="N320" s="69" t="str">
        <f>IF(A320="","",Tabela1[[#This Row],[PTC]]*Tabela1[[#This Row],[ODDC]])</f>
        <v/>
      </c>
      <c r="O320" s="69" t="str">
        <f>IF(A320="","",Tabela1[[#This Row],[PTV]]*Tabela1[[#This Row],[ODDV]])</f>
        <v/>
      </c>
      <c r="P320" s="68" t="str">
        <f t="shared" si="109"/>
        <v/>
      </c>
      <c r="Q320" s="68" t="str">
        <f t="shared" si="110"/>
        <v/>
      </c>
      <c r="R320" s="68" t="str">
        <f t="shared" si="111"/>
        <v/>
      </c>
      <c r="S320" s="68" t="str">
        <f t="shared" si="112"/>
        <v/>
      </c>
      <c r="T320" s="68" t="str">
        <f>IF(A320="","",IF(F320="D",Tabela1[[#This Row],[ODDE]]-1,-1))</f>
        <v/>
      </c>
      <c r="U320" s="70" t="str">
        <f>IF(A320="","",IF(AND(Tabela1[[#This Row],[FTHG]]&gt;3,F320="H"),1,0))</f>
        <v/>
      </c>
      <c r="V320" s="70" t="str">
        <f>IF(A320="","",IF(AND(Tabela1[[#This Row],[FTAG]]&gt;3,F320="A"),1,0))</f>
        <v/>
      </c>
      <c r="W320" s="70" t="str">
        <f t="shared" si="113"/>
        <v/>
      </c>
      <c r="X320" s="70" t="str">
        <f t="shared" si="114"/>
        <v/>
      </c>
      <c r="Y320" s="71" t="str">
        <f t="shared" si="115"/>
        <v/>
      </c>
      <c r="Z320" s="70" t="str">
        <f t="shared" si="116"/>
        <v/>
      </c>
      <c r="AA320" s="70" t="str">
        <f t="shared" si="117"/>
        <v/>
      </c>
      <c r="AB320" s="70" t="str">
        <f t="shared" si="118"/>
        <v/>
      </c>
      <c r="AC320" s="71" t="str">
        <f t="shared" si="119"/>
        <v/>
      </c>
      <c r="AD320" s="72" t="str">
        <f t="shared" si="120"/>
        <v/>
      </c>
      <c r="AE320" s="73" t="str">
        <f>IF(A320="","",COUNT($N$2:N320))</f>
        <v/>
      </c>
      <c r="AF320" s="74" t="str">
        <f t="shared" si="121"/>
        <v/>
      </c>
      <c r="AG320" s="74" t="str">
        <f t="shared" si="122"/>
        <v/>
      </c>
      <c r="AH320" s="74" t="str">
        <f t="shared" si="123"/>
        <v/>
      </c>
      <c r="AI320" s="74" t="str">
        <f t="shared" si="124"/>
        <v/>
      </c>
      <c r="AJ320" s="74" t="str">
        <f t="shared" si="125"/>
        <v/>
      </c>
      <c r="AK320" s="74" t="str">
        <f>IF(A320="","",1/Tabela1[[#This Row],[ODDC]])</f>
        <v/>
      </c>
      <c r="AL320" s="74" t="str">
        <f>IF(A320="","",1/Tabela1[[#This Row],[ODDE]])</f>
        <v/>
      </c>
      <c r="AM320" s="74" t="str">
        <f>IF(A320="","",1/Tabela1[[#This Row],[ODDV]])</f>
        <v/>
      </c>
      <c r="AN320" s="74" t="str">
        <f>IF(A320="","",1-(Tabela1[[#This Row],[p(H)]]+Tabela1[[#This Row],[p(D)]]+Tabela1[[#This Row],[p(A)]]))</f>
        <v/>
      </c>
      <c r="AO320" s="74" t="str">
        <f>IF(A320="","",IFERROR(Tabela1[[#This Row],[p(H)]]/Tabela1[[#This Row],[FTHG]],1))</f>
        <v/>
      </c>
      <c r="AP320" s="74" t="str">
        <f>IF(A320="","",IFERROR(Tabela1[[#This Row],[p(A)]]/Tabela1[[#This Row],[FTAG]],1))</f>
        <v/>
      </c>
      <c r="AQ320" s="107"/>
      <c r="AR320" s="107"/>
      <c r="AS320" s="107"/>
      <c r="AT320" s="107"/>
      <c r="AU320" s="107"/>
      <c r="AV320" s="107"/>
      <c r="AW320" s="107"/>
      <c r="AX320" s="107"/>
      <c r="AY320" s="107"/>
      <c r="AZ320" s="75"/>
      <c r="BA320" s="75"/>
      <c r="BB320" s="75"/>
      <c r="BC320" s="107"/>
      <c r="BD320" s="107"/>
      <c r="BE320" s="107"/>
      <c r="BF320" s="107"/>
      <c r="BG320" s="107"/>
      <c r="BH320" s="107"/>
      <c r="BI320" s="107"/>
      <c r="BJ320" s="107"/>
      <c r="BK320" s="107"/>
      <c r="BL320" s="107"/>
      <c r="BM320" s="107"/>
      <c r="BN320" s="107"/>
      <c r="BO320" s="107"/>
      <c r="BP320" s="107"/>
      <c r="BQ320" s="107"/>
      <c r="BR320" s="107"/>
      <c r="BS320" s="107"/>
      <c r="BT320" s="107"/>
      <c r="BU320" s="107"/>
      <c r="BV320" s="107"/>
      <c r="BW320" s="107"/>
      <c r="BX320" s="75"/>
      <c r="BY320" s="75"/>
      <c r="BZ320" s="75"/>
      <c r="CA320" s="75"/>
      <c r="CB320" s="75"/>
      <c r="CC320" s="75"/>
      <c r="CD320" s="75"/>
      <c r="CE320" s="102"/>
      <c r="CF320" s="102"/>
      <c r="CG320" s="102"/>
      <c r="CH320" s="102"/>
      <c r="CI320" s="102"/>
      <c r="CJ320" s="102"/>
      <c r="CK320" s="102"/>
      <c r="CL320" s="102"/>
      <c r="CM320" s="102"/>
      <c r="CN320" s="102"/>
      <c r="CO320" s="102"/>
      <c r="CP320" s="102"/>
      <c r="CQ320" s="102"/>
      <c r="CR320" s="102"/>
      <c r="CS320" s="102"/>
      <c r="CT320" s="102"/>
      <c r="CU320" s="102"/>
      <c r="CV320" s="102"/>
      <c r="CW320" s="102"/>
      <c r="CX320" s="102"/>
      <c r="CY320" s="102"/>
      <c r="CZ320" s="102"/>
      <c r="DA320" s="102"/>
      <c r="DB320" s="102"/>
      <c r="DC320" s="102"/>
      <c r="DD320" s="102"/>
      <c r="DE320" s="102"/>
      <c r="DF320" s="102"/>
      <c r="DG320" s="102"/>
      <c r="DH320" s="102"/>
      <c r="DI320" s="102"/>
      <c r="DJ320" s="102"/>
      <c r="DK320" s="102"/>
      <c r="DL320" s="102"/>
      <c r="DM320" s="102"/>
      <c r="DN320" s="102"/>
      <c r="DO320" s="102"/>
      <c r="DP320" s="102"/>
    </row>
    <row r="321" spans="1:120" x14ac:dyDescent="0.25">
      <c r="A321" s="4"/>
      <c r="D321"/>
      <c r="E321"/>
      <c r="F321"/>
      <c r="J321" s="68" t="str">
        <f t="shared" si="105"/>
        <v/>
      </c>
      <c r="K321" s="68" t="str">
        <f t="shared" si="106"/>
        <v/>
      </c>
      <c r="L321" s="69" t="str">
        <f t="shared" si="107"/>
        <v/>
      </c>
      <c r="M321" s="69" t="str">
        <f t="shared" si="108"/>
        <v/>
      </c>
      <c r="N321" s="69" t="str">
        <f>IF(A321="","",Tabela1[[#This Row],[PTC]]*Tabela1[[#This Row],[ODDC]])</f>
        <v/>
      </c>
      <c r="O321" s="69" t="str">
        <f>IF(A321="","",Tabela1[[#This Row],[PTV]]*Tabela1[[#This Row],[ODDV]])</f>
        <v/>
      </c>
      <c r="P321" s="68" t="str">
        <f t="shared" si="109"/>
        <v/>
      </c>
      <c r="Q321" s="68" t="str">
        <f t="shared" si="110"/>
        <v/>
      </c>
      <c r="R321" s="68" t="str">
        <f t="shared" si="111"/>
        <v/>
      </c>
      <c r="S321" s="68" t="str">
        <f t="shared" si="112"/>
        <v/>
      </c>
      <c r="T321" s="68" t="str">
        <f>IF(A321="","",IF(F321="D",Tabela1[[#This Row],[ODDE]]-1,-1))</f>
        <v/>
      </c>
      <c r="U321" s="70" t="str">
        <f>IF(A321="","",IF(AND(Tabela1[[#This Row],[FTHG]]&gt;3,F321="H"),1,0))</f>
        <v/>
      </c>
      <c r="V321" s="70" t="str">
        <f>IF(A321="","",IF(AND(Tabela1[[#This Row],[FTAG]]&gt;3,F321="A"),1,0))</f>
        <v/>
      </c>
      <c r="W321" s="70" t="str">
        <f t="shared" si="113"/>
        <v/>
      </c>
      <c r="X321" s="70" t="str">
        <f t="shared" si="114"/>
        <v/>
      </c>
      <c r="Y321" s="71" t="str">
        <f t="shared" si="115"/>
        <v/>
      </c>
      <c r="Z321" s="70" t="str">
        <f t="shared" si="116"/>
        <v/>
      </c>
      <c r="AA321" s="70" t="str">
        <f t="shared" si="117"/>
        <v/>
      </c>
      <c r="AB321" s="70" t="str">
        <f t="shared" si="118"/>
        <v/>
      </c>
      <c r="AC321" s="71" t="str">
        <f t="shared" si="119"/>
        <v/>
      </c>
      <c r="AD321" s="72" t="str">
        <f t="shared" si="120"/>
        <v/>
      </c>
      <c r="AE321" s="73" t="str">
        <f>IF(A321="","",COUNT($N$2:N321))</f>
        <v/>
      </c>
      <c r="AF321" s="74" t="str">
        <f t="shared" si="121"/>
        <v/>
      </c>
      <c r="AG321" s="74" t="str">
        <f t="shared" si="122"/>
        <v/>
      </c>
      <c r="AH321" s="74" t="str">
        <f t="shared" si="123"/>
        <v/>
      </c>
      <c r="AI321" s="74" t="str">
        <f t="shared" si="124"/>
        <v/>
      </c>
      <c r="AJ321" s="74" t="str">
        <f t="shared" si="125"/>
        <v/>
      </c>
      <c r="AK321" s="74" t="str">
        <f>IF(A321="","",1/Tabela1[[#This Row],[ODDC]])</f>
        <v/>
      </c>
      <c r="AL321" s="74" t="str">
        <f>IF(A321="","",1/Tabela1[[#This Row],[ODDE]])</f>
        <v/>
      </c>
      <c r="AM321" s="74" t="str">
        <f>IF(A321="","",1/Tabela1[[#This Row],[ODDV]])</f>
        <v/>
      </c>
      <c r="AN321" s="74" t="str">
        <f>IF(A321="","",1-(Tabela1[[#This Row],[p(H)]]+Tabela1[[#This Row],[p(D)]]+Tabela1[[#This Row],[p(A)]]))</f>
        <v/>
      </c>
      <c r="AO321" s="74" t="str">
        <f>IF(A321="","",IFERROR(Tabela1[[#This Row],[p(H)]]/Tabela1[[#This Row],[FTHG]],1))</f>
        <v/>
      </c>
      <c r="AP321" s="74" t="str">
        <f>IF(A321="","",IFERROR(Tabela1[[#This Row],[p(A)]]/Tabela1[[#This Row],[FTAG]],1))</f>
        <v/>
      </c>
      <c r="AQ321" s="107"/>
      <c r="AR321" s="107"/>
      <c r="AS321" s="107"/>
      <c r="AT321" s="107"/>
      <c r="AU321" s="107"/>
      <c r="AV321" s="107"/>
      <c r="AW321" s="107"/>
      <c r="AX321" s="107"/>
      <c r="AY321" s="107"/>
      <c r="AZ321" s="75"/>
      <c r="BA321" s="75"/>
      <c r="BB321" s="75"/>
      <c r="BC321" s="107"/>
      <c r="BD321" s="107"/>
      <c r="BE321" s="107"/>
      <c r="BF321" s="107"/>
      <c r="BG321" s="107"/>
      <c r="BH321" s="107"/>
      <c r="BI321" s="107"/>
      <c r="BJ321" s="107"/>
      <c r="BK321" s="107"/>
      <c r="BL321" s="107"/>
      <c r="BM321" s="107"/>
      <c r="BN321" s="107"/>
      <c r="BO321" s="107"/>
      <c r="BP321" s="107"/>
      <c r="BQ321" s="107"/>
      <c r="BR321" s="107"/>
      <c r="BS321" s="107"/>
      <c r="BT321" s="107"/>
      <c r="BU321" s="107"/>
      <c r="BV321" s="107"/>
      <c r="BW321" s="107"/>
      <c r="BX321" s="75"/>
      <c r="BY321" s="75"/>
      <c r="BZ321" s="75"/>
      <c r="CA321" s="75"/>
      <c r="CB321" s="75"/>
      <c r="CC321" s="75"/>
      <c r="CD321" s="75"/>
      <c r="CE321" s="102"/>
      <c r="CF321" s="102"/>
      <c r="CG321" s="102"/>
      <c r="CH321" s="102"/>
      <c r="CI321" s="102"/>
      <c r="CJ321" s="102"/>
      <c r="CK321" s="102"/>
      <c r="CL321" s="102"/>
      <c r="CM321" s="102"/>
      <c r="CN321" s="102"/>
      <c r="CO321" s="102"/>
      <c r="CP321" s="102"/>
      <c r="CQ321" s="102"/>
      <c r="CR321" s="102"/>
      <c r="CS321" s="102"/>
      <c r="CT321" s="102"/>
      <c r="CU321" s="102"/>
      <c r="CV321" s="102"/>
      <c r="CW321" s="102"/>
      <c r="CX321" s="102"/>
      <c r="CY321" s="102"/>
      <c r="CZ321" s="102"/>
      <c r="DA321" s="102"/>
      <c r="DB321" s="102"/>
      <c r="DC321" s="102"/>
      <c r="DD321" s="102"/>
      <c r="DE321" s="102"/>
      <c r="DF321" s="102"/>
      <c r="DG321" s="102"/>
      <c r="DH321" s="102"/>
      <c r="DI321" s="102"/>
      <c r="DJ321" s="102"/>
      <c r="DK321" s="102"/>
      <c r="DL321" s="102"/>
      <c r="DM321" s="102"/>
      <c r="DN321" s="102"/>
      <c r="DO321" s="102"/>
      <c r="DP321" s="102"/>
    </row>
    <row r="322" spans="1:120" x14ac:dyDescent="0.25">
      <c r="A322" s="4"/>
      <c r="D322"/>
      <c r="E322"/>
      <c r="F322"/>
      <c r="J322" s="68" t="str">
        <f t="shared" si="105"/>
        <v/>
      </c>
      <c r="K322" s="68" t="str">
        <f t="shared" si="106"/>
        <v/>
      </c>
      <c r="L322" s="69" t="str">
        <f t="shared" si="107"/>
        <v/>
      </c>
      <c r="M322" s="69" t="str">
        <f t="shared" si="108"/>
        <v/>
      </c>
      <c r="N322" s="69" t="str">
        <f>IF(A322="","",Tabela1[[#This Row],[PTC]]*Tabela1[[#This Row],[ODDC]])</f>
        <v/>
      </c>
      <c r="O322" s="69" t="str">
        <f>IF(A322="","",Tabela1[[#This Row],[PTV]]*Tabela1[[#This Row],[ODDV]])</f>
        <v/>
      </c>
      <c r="P322" s="68" t="str">
        <f t="shared" si="109"/>
        <v/>
      </c>
      <c r="Q322" s="68" t="str">
        <f t="shared" si="110"/>
        <v/>
      </c>
      <c r="R322" s="68" t="str">
        <f t="shared" si="111"/>
        <v/>
      </c>
      <c r="S322" s="68" t="str">
        <f t="shared" si="112"/>
        <v/>
      </c>
      <c r="T322" s="68" t="str">
        <f>IF(A322="","",IF(F322="D",Tabela1[[#This Row],[ODDE]]-1,-1))</f>
        <v/>
      </c>
      <c r="U322" s="70" t="str">
        <f>IF(A322="","",IF(AND(Tabela1[[#This Row],[FTHG]]&gt;3,F322="H"),1,0))</f>
        <v/>
      </c>
      <c r="V322" s="70" t="str">
        <f>IF(A322="","",IF(AND(Tabela1[[#This Row],[FTAG]]&gt;3,F322="A"),1,0))</f>
        <v/>
      </c>
      <c r="W322" s="70" t="str">
        <f t="shared" si="113"/>
        <v/>
      </c>
      <c r="X322" s="70" t="str">
        <f t="shared" si="114"/>
        <v/>
      </c>
      <c r="Y322" s="71" t="str">
        <f t="shared" si="115"/>
        <v/>
      </c>
      <c r="Z322" s="70" t="str">
        <f t="shared" si="116"/>
        <v/>
      </c>
      <c r="AA322" s="70" t="str">
        <f t="shared" si="117"/>
        <v/>
      </c>
      <c r="AB322" s="70" t="str">
        <f t="shared" si="118"/>
        <v/>
      </c>
      <c r="AC322" s="71" t="str">
        <f t="shared" si="119"/>
        <v/>
      </c>
      <c r="AD322" s="72" t="str">
        <f t="shared" si="120"/>
        <v/>
      </c>
      <c r="AE322" s="73" t="str">
        <f>IF(A322="","",COUNT($N$2:N322))</f>
        <v/>
      </c>
      <c r="AF322" s="74" t="str">
        <f t="shared" si="121"/>
        <v/>
      </c>
      <c r="AG322" s="74" t="str">
        <f t="shared" si="122"/>
        <v/>
      </c>
      <c r="AH322" s="74" t="str">
        <f t="shared" si="123"/>
        <v/>
      </c>
      <c r="AI322" s="74" t="str">
        <f t="shared" si="124"/>
        <v/>
      </c>
      <c r="AJ322" s="74" t="str">
        <f t="shared" si="125"/>
        <v/>
      </c>
      <c r="AK322" s="74" t="str">
        <f>IF(A322="","",1/Tabela1[[#This Row],[ODDC]])</f>
        <v/>
      </c>
      <c r="AL322" s="74" t="str">
        <f>IF(A322="","",1/Tabela1[[#This Row],[ODDE]])</f>
        <v/>
      </c>
      <c r="AM322" s="74" t="str">
        <f>IF(A322="","",1/Tabela1[[#This Row],[ODDV]])</f>
        <v/>
      </c>
      <c r="AN322" s="74" t="str">
        <f>IF(A322="","",1-(Tabela1[[#This Row],[p(H)]]+Tabela1[[#This Row],[p(D)]]+Tabela1[[#This Row],[p(A)]]))</f>
        <v/>
      </c>
      <c r="AO322" s="74" t="str">
        <f>IF(A322="","",IFERROR(Tabela1[[#This Row],[p(H)]]/Tabela1[[#This Row],[FTHG]],1))</f>
        <v/>
      </c>
      <c r="AP322" s="74" t="str">
        <f>IF(A322="","",IFERROR(Tabela1[[#This Row],[p(A)]]/Tabela1[[#This Row],[FTAG]],1))</f>
        <v/>
      </c>
      <c r="AQ322" s="107"/>
      <c r="AR322" s="107"/>
      <c r="AS322" s="107"/>
      <c r="AT322" s="107"/>
      <c r="AU322" s="107"/>
      <c r="AV322" s="107"/>
      <c r="AW322" s="107"/>
      <c r="AX322" s="107"/>
      <c r="AY322" s="107"/>
      <c r="AZ322" s="75"/>
      <c r="BA322" s="75"/>
      <c r="BB322" s="75"/>
      <c r="BC322" s="107"/>
      <c r="BD322" s="107"/>
      <c r="BE322" s="107"/>
      <c r="BF322" s="107"/>
      <c r="BG322" s="107"/>
      <c r="BH322" s="107"/>
      <c r="BI322" s="107"/>
      <c r="BJ322" s="107"/>
      <c r="BK322" s="107"/>
      <c r="BL322" s="107"/>
      <c r="BM322" s="107"/>
      <c r="BN322" s="107"/>
      <c r="BO322" s="107"/>
      <c r="BP322" s="107"/>
      <c r="BQ322" s="107"/>
      <c r="BR322" s="107"/>
      <c r="BS322" s="107"/>
      <c r="BT322" s="107"/>
      <c r="BU322" s="107"/>
      <c r="BV322" s="107"/>
      <c r="BW322" s="107"/>
      <c r="BX322" s="75"/>
      <c r="BY322" s="75"/>
      <c r="BZ322" s="75"/>
      <c r="CA322" s="75"/>
      <c r="CB322" s="75"/>
      <c r="CC322" s="75"/>
      <c r="CD322" s="75"/>
      <c r="CE322" s="102"/>
      <c r="CF322" s="102"/>
      <c r="CG322" s="102"/>
      <c r="CH322" s="102"/>
      <c r="CI322" s="102"/>
      <c r="CJ322" s="102"/>
      <c r="CK322" s="102"/>
      <c r="CL322" s="102"/>
      <c r="CM322" s="102"/>
      <c r="CN322" s="102"/>
      <c r="CO322" s="102"/>
      <c r="CP322" s="102"/>
      <c r="CQ322" s="102"/>
      <c r="CR322" s="102"/>
      <c r="CS322" s="102"/>
      <c r="CT322" s="102"/>
      <c r="CU322" s="102"/>
      <c r="CV322" s="102"/>
      <c r="CW322" s="102"/>
      <c r="CX322" s="102"/>
      <c r="CY322" s="102"/>
      <c r="CZ322" s="102"/>
      <c r="DA322" s="102"/>
      <c r="DB322" s="102"/>
      <c r="DC322" s="102"/>
      <c r="DD322" s="102"/>
      <c r="DE322" s="102"/>
      <c r="DF322" s="102"/>
      <c r="DG322" s="102"/>
      <c r="DH322" s="102"/>
      <c r="DI322" s="102"/>
      <c r="DJ322" s="102"/>
      <c r="DK322" s="102"/>
      <c r="DL322" s="102"/>
      <c r="DM322" s="102"/>
      <c r="DN322" s="102"/>
      <c r="DO322" s="102"/>
      <c r="DP322" s="102"/>
    </row>
    <row r="323" spans="1:120" x14ac:dyDescent="0.25">
      <c r="A323" s="4"/>
      <c r="D323"/>
      <c r="E323"/>
      <c r="F323"/>
      <c r="J323" s="68" t="str">
        <f t="shared" ref="J323:J386" si="126">IF(A323="","",IF(F323="H",3,IF(F323="D",1,0)))</f>
        <v/>
      </c>
      <c r="K323" s="68" t="str">
        <f t="shared" ref="K323:K386" si="127">IF(A323="","",IF(F323="H",0,IF(F323="D",1,3)))</f>
        <v/>
      </c>
      <c r="L323" s="69" t="str">
        <f t="shared" ref="L323:L386" si="128">IF(A323="","",D323/I323)</f>
        <v/>
      </c>
      <c r="M323" s="69" t="str">
        <f t="shared" ref="M323:M386" si="129">IF(A323="","",E323/G323)</f>
        <v/>
      </c>
      <c r="N323" s="69" t="str">
        <f>IF(A323="","",Tabela1[[#This Row],[PTC]]*Tabela1[[#This Row],[ODDC]])</f>
        <v/>
      </c>
      <c r="O323" s="69" t="str">
        <f>IF(A323="","",Tabela1[[#This Row],[PTV]]*Tabela1[[#This Row],[ODDV]])</f>
        <v/>
      </c>
      <c r="P323" s="68" t="str">
        <f t="shared" ref="P323:P386" si="130">IF(A323="","",D323-E323)</f>
        <v/>
      </c>
      <c r="Q323" s="68" t="str">
        <f t="shared" ref="Q323:Q386" si="131">IF(A323="","",E323-D323)</f>
        <v/>
      </c>
      <c r="R323" s="68" t="str">
        <f t="shared" ref="R323:R386" si="132">IF(A323="","",IF(F323="H",G323-1,-1))</f>
        <v/>
      </c>
      <c r="S323" s="68" t="str">
        <f t="shared" ref="S323:S386" si="133">IF(A323="","",IF(F323="A",I323-1,-1))</f>
        <v/>
      </c>
      <c r="T323" s="68" t="str">
        <f>IF(A323="","",IF(F323="D",Tabela1[[#This Row],[ODDE]]-1,-1))</f>
        <v/>
      </c>
      <c r="U323" s="70" t="str">
        <f>IF(A323="","",IF(AND(Tabela1[[#This Row],[FTHG]]&gt;3,F323="H"),1,0))</f>
        <v/>
      </c>
      <c r="V323" s="70" t="str">
        <f>IF(A323="","",IF(AND(Tabela1[[#This Row],[FTAG]]&gt;3,F323="A"),1,0))</f>
        <v/>
      </c>
      <c r="W323" s="70" t="str">
        <f t="shared" ref="W323:W386" si="134">IF(A323="","",IF(D323+E323&gt;0,1,0))</f>
        <v/>
      </c>
      <c r="X323" s="70" t="str">
        <f t="shared" ref="X323:X386" si="135">IF(A323="","",IF(D323+E323&gt;1,1,0))</f>
        <v/>
      </c>
      <c r="Y323" s="71" t="str">
        <f t="shared" ref="Y323:Y386" si="136">IF(A323="","",IF(D323+E323&gt;2,1,0))</f>
        <v/>
      </c>
      <c r="Z323" s="70" t="str">
        <f t="shared" ref="Z323:Z386" si="137">IF(A323="","",IF(D323+E323&gt;3,1,0))</f>
        <v/>
      </c>
      <c r="AA323" s="70" t="str">
        <f t="shared" ref="AA323:AA386" si="138">IF(A323="","",IF(D323+E323&gt;4,1,0))</f>
        <v/>
      </c>
      <c r="AB323" s="70" t="str">
        <f t="shared" ref="AB323:AB386" si="139">IF(A323="","",IF(D323+E323&gt;5,1,0))</f>
        <v/>
      </c>
      <c r="AC323" s="71" t="str">
        <f t="shared" ref="AC323:AC386" si="140">IF(A323="","",IFERROR(IF(AND(D323&gt;0,E323&gt;0),1,0),0))</f>
        <v/>
      </c>
      <c r="AD323" s="72" t="str">
        <f t="shared" ref="AD323:AD386" si="141">IF(A323="","",UPPER(TEXT(A323,"MMM")))</f>
        <v/>
      </c>
      <c r="AE323" s="73" t="str">
        <f>IF(A323="","",COUNT($N$2:N323))</f>
        <v/>
      </c>
      <c r="AF323" s="74" t="str">
        <f t="shared" ref="AF323:AF386" si="142">IF(A323="","",IF(F323="H",1,0))</f>
        <v/>
      </c>
      <c r="AG323" s="74" t="str">
        <f t="shared" ref="AG323:AG386" si="143">IF(A323="","",IF(F323="D",1,0))</f>
        <v/>
      </c>
      <c r="AH323" s="74" t="str">
        <f t="shared" ref="AH323:AH386" si="144">IF(A323="","",IF(F323="A",1,0))</f>
        <v/>
      </c>
      <c r="AI323" s="74" t="str">
        <f t="shared" ref="AI323:AI386" si="145">IF(A323="","",IF(G323&lt;1.21,"1,01-1,2",IF(G323&lt;1.41,"1,21-1,4",IF(G323&lt;1.71,"1,41-1,7",IF(G323&lt;2.01,"1,71-2,0",IF(G323&lt;2.41,"2,01-2,4",IF(G323&lt;3.01,"2,41-3,0",IF(G323&lt;4.01,"3,01-4.0",IF(G323&lt;5.51,"4,01-5,5",IF(G323&lt;9.01,"5,51-9,0",IF(G323&lt;16.01,"9,01-16","Z16-99")))))))))))</f>
        <v/>
      </c>
      <c r="AJ323" s="74" t="str">
        <f t="shared" ref="AJ323:AJ386" si="146">IF(A323="","",IF(I323&lt;1.21,"1,01-1,2",IF(I323&lt;1.41,"1,21-1,4",IF(I323&lt;1.71,"1,41-1,7",IF(I323&lt;2.01,"1,71-2,0",IF(I323&lt;2.41,"2,01-2,4",IF(I323&lt;3.01,"2,41-3,0",IF(I323&lt;4.01,"3,01-4.0",IF(I323&lt;5.51,"4,01-5,5",IF(I323&lt;9.01,"5,51-9,0",IF(I323&lt;16.01,"9,01-16","Z16-99")))))))))))</f>
        <v/>
      </c>
      <c r="AK323" s="74" t="str">
        <f>IF(A323="","",1/Tabela1[[#This Row],[ODDC]])</f>
        <v/>
      </c>
      <c r="AL323" s="74" t="str">
        <f>IF(A323="","",1/Tabela1[[#This Row],[ODDE]])</f>
        <v/>
      </c>
      <c r="AM323" s="74" t="str">
        <f>IF(A323="","",1/Tabela1[[#This Row],[ODDV]])</f>
        <v/>
      </c>
      <c r="AN323" s="74" t="str">
        <f>IF(A323="","",1-(Tabela1[[#This Row],[p(H)]]+Tabela1[[#This Row],[p(D)]]+Tabela1[[#This Row],[p(A)]]))</f>
        <v/>
      </c>
      <c r="AO323" s="74" t="str">
        <f>IF(A323="","",IFERROR(Tabela1[[#This Row],[p(H)]]/Tabela1[[#This Row],[FTHG]],1))</f>
        <v/>
      </c>
      <c r="AP323" s="74" t="str">
        <f>IF(A323="","",IFERROR(Tabela1[[#This Row],[p(A)]]/Tabela1[[#This Row],[FTAG]],1))</f>
        <v/>
      </c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75"/>
      <c r="BA323" s="75"/>
      <c r="BB323" s="75"/>
      <c r="BC323" s="107"/>
      <c r="BD323" s="107"/>
      <c r="BE323" s="107"/>
      <c r="BF323" s="107"/>
      <c r="BG323" s="107"/>
      <c r="BH323" s="107"/>
      <c r="BI323" s="107"/>
      <c r="BJ323" s="107"/>
      <c r="BK323" s="107"/>
      <c r="BL323" s="107"/>
      <c r="BM323" s="107"/>
      <c r="BN323" s="107"/>
      <c r="BO323" s="107"/>
      <c r="BP323" s="107"/>
      <c r="BQ323" s="107"/>
      <c r="BR323" s="107"/>
      <c r="BS323" s="107"/>
      <c r="BT323" s="107"/>
      <c r="BU323" s="107"/>
      <c r="BV323" s="107"/>
      <c r="BW323" s="107"/>
      <c r="BX323" s="75"/>
      <c r="BY323" s="75"/>
      <c r="BZ323" s="75"/>
      <c r="CA323" s="75"/>
      <c r="CB323" s="75"/>
      <c r="CC323" s="75"/>
      <c r="CD323" s="75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2"/>
      <c r="CR323" s="102"/>
      <c r="CS323" s="102"/>
      <c r="CT323" s="102"/>
      <c r="CU323" s="102"/>
      <c r="CV323" s="102"/>
      <c r="CW323" s="102"/>
      <c r="CX323" s="102"/>
      <c r="CY323" s="102"/>
      <c r="CZ323" s="102"/>
      <c r="DA323" s="102"/>
      <c r="DB323" s="102"/>
      <c r="DC323" s="102"/>
      <c r="DD323" s="102"/>
      <c r="DE323" s="102"/>
      <c r="DF323" s="102"/>
      <c r="DG323" s="102"/>
      <c r="DH323" s="102"/>
      <c r="DI323" s="102"/>
      <c r="DJ323" s="102"/>
      <c r="DK323" s="102"/>
      <c r="DL323" s="102"/>
      <c r="DM323" s="102"/>
      <c r="DN323" s="102"/>
      <c r="DO323" s="102"/>
      <c r="DP323" s="102"/>
    </row>
    <row r="324" spans="1:120" x14ac:dyDescent="0.25">
      <c r="A324" s="4"/>
      <c r="D324"/>
      <c r="E324"/>
      <c r="F324"/>
      <c r="J324" s="68" t="str">
        <f t="shared" si="126"/>
        <v/>
      </c>
      <c r="K324" s="68" t="str">
        <f t="shared" si="127"/>
        <v/>
      </c>
      <c r="L324" s="69" t="str">
        <f t="shared" si="128"/>
        <v/>
      </c>
      <c r="M324" s="69" t="str">
        <f t="shared" si="129"/>
        <v/>
      </c>
      <c r="N324" s="69" t="str">
        <f>IF(A324="","",Tabela1[[#This Row],[PTC]]*Tabela1[[#This Row],[ODDC]])</f>
        <v/>
      </c>
      <c r="O324" s="69" t="str">
        <f>IF(A324="","",Tabela1[[#This Row],[PTV]]*Tabela1[[#This Row],[ODDV]])</f>
        <v/>
      </c>
      <c r="P324" s="68" t="str">
        <f t="shared" si="130"/>
        <v/>
      </c>
      <c r="Q324" s="68" t="str">
        <f t="shared" si="131"/>
        <v/>
      </c>
      <c r="R324" s="68" t="str">
        <f t="shared" si="132"/>
        <v/>
      </c>
      <c r="S324" s="68" t="str">
        <f t="shared" si="133"/>
        <v/>
      </c>
      <c r="T324" s="68" t="str">
        <f>IF(A324="","",IF(F324="D",Tabela1[[#This Row],[ODDE]]-1,-1))</f>
        <v/>
      </c>
      <c r="U324" s="70" t="str">
        <f>IF(A324="","",IF(AND(Tabela1[[#This Row],[FTHG]]&gt;3,F324="H"),1,0))</f>
        <v/>
      </c>
      <c r="V324" s="70" t="str">
        <f>IF(A324="","",IF(AND(Tabela1[[#This Row],[FTAG]]&gt;3,F324="A"),1,0))</f>
        <v/>
      </c>
      <c r="W324" s="70" t="str">
        <f t="shared" si="134"/>
        <v/>
      </c>
      <c r="X324" s="70" t="str">
        <f t="shared" si="135"/>
        <v/>
      </c>
      <c r="Y324" s="71" t="str">
        <f t="shared" si="136"/>
        <v/>
      </c>
      <c r="Z324" s="70" t="str">
        <f t="shared" si="137"/>
        <v/>
      </c>
      <c r="AA324" s="70" t="str">
        <f t="shared" si="138"/>
        <v/>
      </c>
      <c r="AB324" s="70" t="str">
        <f t="shared" si="139"/>
        <v/>
      </c>
      <c r="AC324" s="71" t="str">
        <f t="shared" si="140"/>
        <v/>
      </c>
      <c r="AD324" s="72" t="str">
        <f t="shared" si="141"/>
        <v/>
      </c>
      <c r="AE324" s="73" t="str">
        <f>IF(A324="","",COUNT($N$2:N324))</f>
        <v/>
      </c>
      <c r="AF324" s="74" t="str">
        <f t="shared" si="142"/>
        <v/>
      </c>
      <c r="AG324" s="74" t="str">
        <f t="shared" si="143"/>
        <v/>
      </c>
      <c r="AH324" s="74" t="str">
        <f t="shared" si="144"/>
        <v/>
      </c>
      <c r="AI324" s="74" t="str">
        <f t="shared" si="145"/>
        <v/>
      </c>
      <c r="AJ324" s="74" t="str">
        <f t="shared" si="146"/>
        <v/>
      </c>
      <c r="AK324" s="74" t="str">
        <f>IF(A324="","",1/Tabela1[[#This Row],[ODDC]])</f>
        <v/>
      </c>
      <c r="AL324" s="74" t="str">
        <f>IF(A324="","",1/Tabela1[[#This Row],[ODDE]])</f>
        <v/>
      </c>
      <c r="AM324" s="74" t="str">
        <f>IF(A324="","",1/Tabela1[[#This Row],[ODDV]])</f>
        <v/>
      </c>
      <c r="AN324" s="74" t="str">
        <f>IF(A324="","",1-(Tabela1[[#This Row],[p(H)]]+Tabela1[[#This Row],[p(D)]]+Tabela1[[#This Row],[p(A)]]))</f>
        <v/>
      </c>
      <c r="AO324" s="74" t="str">
        <f>IF(A324="","",IFERROR(Tabela1[[#This Row],[p(H)]]/Tabela1[[#This Row],[FTHG]],1))</f>
        <v/>
      </c>
      <c r="AP324" s="74" t="str">
        <f>IF(A324="","",IFERROR(Tabela1[[#This Row],[p(A)]]/Tabela1[[#This Row],[FTAG]],1))</f>
        <v/>
      </c>
      <c r="AQ324" s="107"/>
      <c r="AR324" s="107"/>
      <c r="AS324" s="107"/>
      <c r="AT324" s="107"/>
      <c r="AU324" s="107"/>
      <c r="AV324" s="107"/>
      <c r="AW324" s="107"/>
      <c r="AX324" s="107"/>
      <c r="AY324" s="107"/>
      <c r="AZ324" s="75"/>
      <c r="BA324" s="75"/>
      <c r="BB324" s="75"/>
      <c r="BC324" s="107"/>
      <c r="BD324" s="107"/>
      <c r="BE324" s="107"/>
      <c r="BF324" s="107"/>
      <c r="BG324" s="107"/>
      <c r="BH324" s="107"/>
      <c r="BI324" s="107"/>
      <c r="BJ324" s="107"/>
      <c r="BK324" s="107"/>
      <c r="BL324" s="107"/>
      <c r="BM324" s="107"/>
      <c r="BN324" s="107"/>
      <c r="BO324" s="107"/>
      <c r="BP324" s="107"/>
      <c r="BQ324" s="107"/>
      <c r="BR324" s="107"/>
      <c r="BS324" s="107"/>
      <c r="BT324" s="107"/>
      <c r="BU324" s="107"/>
      <c r="BV324" s="107"/>
      <c r="BW324" s="107"/>
      <c r="BX324" s="75"/>
      <c r="BY324" s="75"/>
      <c r="BZ324" s="75"/>
      <c r="CA324" s="75"/>
      <c r="CB324" s="75"/>
      <c r="CC324" s="75"/>
      <c r="CD324" s="75"/>
      <c r="CE324" s="102"/>
      <c r="CF324" s="102"/>
      <c r="CG324" s="102"/>
      <c r="CH324" s="102"/>
      <c r="CI324" s="102"/>
      <c r="CJ324" s="102"/>
      <c r="CK324" s="102"/>
      <c r="CL324" s="102"/>
      <c r="CM324" s="102"/>
      <c r="CN324" s="102"/>
      <c r="CO324" s="102"/>
      <c r="CP324" s="102"/>
      <c r="CQ324" s="102"/>
      <c r="CR324" s="102"/>
      <c r="CS324" s="102"/>
      <c r="CT324" s="102"/>
      <c r="CU324" s="102"/>
      <c r="CV324" s="102"/>
      <c r="CW324" s="102"/>
      <c r="CX324" s="102"/>
      <c r="CY324" s="102"/>
      <c r="CZ324" s="102"/>
      <c r="DA324" s="102"/>
      <c r="DB324" s="102"/>
      <c r="DC324" s="102"/>
      <c r="DD324" s="102"/>
      <c r="DE324" s="102"/>
      <c r="DF324" s="102"/>
      <c r="DG324" s="102"/>
      <c r="DH324" s="102"/>
      <c r="DI324" s="102"/>
      <c r="DJ324" s="102"/>
      <c r="DK324" s="102"/>
      <c r="DL324" s="102"/>
      <c r="DM324" s="102"/>
      <c r="DN324" s="102"/>
      <c r="DO324" s="102"/>
      <c r="DP324" s="102"/>
    </row>
    <row r="325" spans="1:120" x14ac:dyDescent="0.25">
      <c r="A325" s="4"/>
      <c r="D325"/>
      <c r="E325"/>
      <c r="F325"/>
      <c r="J325" s="68" t="str">
        <f t="shared" si="126"/>
        <v/>
      </c>
      <c r="K325" s="68" t="str">
        <f t="shared" si="127"/>
        <v/>
      </c>
      <c r="L325" s="69" t="str">
        <f t="shared" si="128"/>
        <v/>
      </c>
      <c r="M325" s="69" t="str">
        <f t="shared" si="129"/>
        <v/>
      </c>
      <c r="N325" s="69" t="str">
        <f>IF(A325="","",Tabela1[[#This Row],[PTC]]*Tabela1[[#This Row],[ODDC]])</f>
        <v/>
      </c>
      <c r="O325" s="69" t="str">
        <f>IF(A325="","",Tabela1[[#This Row],[PTV]]*Tabela1[[#This Row],[ODDV]])</f>
        <v/>
      </c>
      <c r="P325" s="68" t="str">
        <f t="shared" si="130"/>
        <v/>
      </c>
      <c r="Q325" s="68" t="str">
        <f t="shared" si="131"/>
        <v/>
      </c>
      <c r="R325" s="68" t="str">
        <f t="shared" si="132"/>
        <v/>
      </c>
      <c r="S325" s="68" t="str">
        <f t="shared" si="133"/>
        <v/>
      </c>
      <c r="T325" s="68" t="str">
        <f>IF(A325="","",IF(F325="D",Tabela1[[#This Row],[ODDE]]-1,-1))</f>
        <v/>
      </c>
      <c r="U325" s="70" t="str">
        <f>IF(A325="","",IF(AND(Tabela1[[#This Row],[FTHG]]&gt;3,F325="H"),1,0))</f>
        <v/>
      </c>
      <c r="V325" s="70" t="str">
        <f>IF(A325="","",IF(AND(Tabela1[[#This Row],[FTAG]]&gt;3,F325="A"),1,0))</f>
        <v/>
      </c>
      <c r="W325" s="70" t="str">
        <f t="shared" si="134"/>
        <v/>
      </c>
      <c r="X325" s="70" t="str">
        <f t="shared" si="135"/>
        <v/>
      </c>
      <c r="Y325" s="71" t="str">
        <f t="shared" si="136"/>
        <v/>
      </c>
      <c r="Z325" s="70" t="str">
        <f t="shared" si="137"/>
        <v/>
      </c>
      <c r="AA325" s="70" t="str">
        <f t="shared" si="138"/>
        <v/>
      </c>
      <c r="AB325" s="70" t="str">
        <f t="shared" si="139"/>
        <v/>
      </c>
      <c r="AC325" s="71" t="str">
        <f t="shared" si="140"/>
        <v/>
      </c>
      <c r="AD325" s="72" t="str">
        <f t="shared" si="141"/>
        <v/>
      </c>
      <c r="AE325" s="73" t="str">
        <f>IF(A325="","",COUNT($N$2:N325))</f>
        <v/>
      </c>
      <c r="AF325" s="74" t="str">
        <f t="shared" si="142"/>
        <v/>
      </c>
      <c r="AG325" s="74" t="str">
        <f t="shared" si="143"/>
        <v/>
      </c>
      <c r="AH325" s="74" t="str">
        <f t="shared" si="144"/>
        <v/>
      </c>
      <c r="AI325" s="74" t="str">
        <f t="shared" si="145"/>
        <v/>
      </c>
      <c r="AJ325" s="74" t="str">
        <f t="shared" si="146"/>
        <v/>
      </c>
      <c r="AK325" s="74" t="str">
        <f>IF(A325="","",1/Tabela1[[#This Row],[ODDC]])</f>
        <v/>
      </c>
      <c r="AL325" s="74" t="str">
        <f>IF(A325="","",1/Tabela1[[#This Row],[ODDE]])</f>
        <v/>
      </c>
      <c r="AM325" s="74" t="str">
        <f>IF(A325="","",1/Tabela1[[#This Row],[ODDV]])</f>
        <v/>
      </c>
      <c r="AN325" s="74" t="str">
        <f>IF(A325="","",1-(Tabela1[[#This Row],[p(H)]]+Tabela1[[#This Row],[p(D)]]+Tabela1[[#This Row],[p(A)]]))</f>
        <v/>
      </c>
      <c r="AO325" s="74" t="str">
        <f>IF(A325="","",IFERROR(Tabela1[[#This Row],[p(H)]]/Tabela1[[#This Row],[FTHG]],1))</f>
        <v/>
      </c>
      <c r="AP325" s="74" t="str">
        <f>IF(A325="","",IFERROR(Tabela1[[#This Row],[p(A)]]/Tabela1[[#This Row],[FTAG]],1))</f>
        <v/>
      </c>
      <c r="AQ325" s="107"/>
      <c r="AR325" s="107"/>
      <c r="AS325" s="107"/>
      <c r="AT325" s="107"/>
      <c r="AU325" s="107"/>
      <c r="AV325" s="107"/>
      <c r="AW325" s="107"/>
      <c r="AX325" s="107"/>
      <c r="AY325" s="107"/>
      <c r="AZ325" s="75"/>
      <c r="BA325" s="75"/>
      <c r="BB325" s="75"/>
      <c r="BC325" s="107"/>
      <c r="BD325" s="107"/>
      <c r="BE325" s="107"/>
      <c r="BF325" s="107"/>
      <c r="BG325" s="107"/>
      <c r="BH325" s="107"/>
      <c r="BI325" s="107"/>
      <c r="BJ325" s="107"/>
      <c r="BK325" s="107"/>
      <c r="BL325" s="107"/>
      <c r="BM325" s="107"/>
      <c r="BN325" s="107"/>
      <c r="BO325" s="107"/>
      <c r="BP325" s="107"/>
      <c r="BQ325" s="107"/>
      <c r="BR325" s="107"/>
      <c r="BS325" s="107"/>
      <c r="BT325" s="107"/>
      <c r="BU325" s="107"/>
      <c r="BV325" s="107"/>
      <c r="BW325" s="107"/>
      <c r="BX325" s="75"/>
      <c r="BY325" s="75"/>
      <c r="BZ325" s="75"/>
      <c r="CA325" s="75"/>
      <c r="CB325" s="75"/>
      <c r="CC325" s="75"/>
      <c r="CD325" s="75"/>
      <c r="CE325" s="102"/>
      <c r="CF325" s="102"/>
      <c r="CG325" s="102"/>
      <c r="CH325" s="102"/>
      <c r="CI325" s="102"/>
      <c r="CJ325" s="102"/>
      <c r="CK325" s="102"/>
      <c r="CL325" s="102"/>
      <c r="CM325" s="102"/>
      <c r="CN325" s="102"/>
      <c r="CO325" s="102"/>
      <c r="CP325" s="102"/>
      <c r="CQ325" s="102"/>
      <c r="CR325" s="102"/>
      <c r="CS325" s="102"/>
      <c r="CT325" s="102"/>
      <c r="CU325" s="102"/>
      <c r="CV325" s="102"/>
      <c r="CW325" s="102"/>
      <c r="CX325" s="102"/>
      <c r="CY325" s="102"/>
      <c r="CZ325" s="102"/>
      <c r="DA325" s="102"/>
      <c r="DB325" s="102"/>
      <c r="DC325" s="102"/>
      <c r="DD325" s="102"/>
      <c r="DE325" s="102"/>
      <c r="DF325" s="102"/>
      <c r="DG325" s="102"/>
      <c r="DH325" s="102"/>
      <c r="DI325" s="102"/>
      <c r="DJ325" s="102"/>
      <c r="DK325" s="102"/>
      <c r="DL325" s="102"/>
      <c r="DM325" s="102"/>
      <c r="DN325" s="102"/>
      <c r="DO325" s="102"/>
      <c r="DP325" s="102"/>
    </row>
    <row r="326" spans="1:120" x14ac:dyDescent="0.25">
      <c r="A326" s="4"/>
      <c r="D326"/>
      <c r="E326"/>
      <c r="F326"/>
      <c r="J326" s="68" t="str">
        <f t="shared" si="126"/>
        <v/>
      </c>
      <c r="K326" s="68" t="str">
        <f t="shared" si="127"/>
        <v/>
      </c>
      <c r="L326" s="69" t="str">
        <f t="shared" si="128"/>
        <v/>
      </c>
      <c r="M326" s="69" t="str">
        <f t="shared" si="129"/>
        <v/>
      </c>
      <c r="N326" s="69" t="str">
        <f>IF(A326="","",Tabela1[[#This Row],[PTC]]*Tabela1[[#This Row],[ODDC]])</f>
        <v/>
      </c>
      <c r="O326" s="69" t="str">
        <f>IF(A326="","",Tabela1[[#This Row],[PTV]]*Tabela1[[#This Row],[ODDV]])</f>
        <v/>
      </c>
      <c r="P326" s="68" t="str">
        <f t="shared" si="130"/>
        <v/>
      </c>
      <c r="Q326" s="68" t="str">
        <f t="shared" si="131"/>
        <v/>
      </c>
      <c r="R326" s="68" t="str">
        <f t="shared" si="132"/>
        <v/>
      </c>
      <c r="S326" s="68" t="str">
        <f t="shared" si="133"/>
        <v/>
      </c>
      <c r="T326" s="68" t="str">
        <f>IF(A326="","",IF(F326="D",Tabela1[[#This Row],[ODDE]]-1,-1))</f>
        <v/>
      </c>
      <c r="U326" s="70" t="str">
        <f>IF(A326="","",IF(AND(Tabela1[[#This Row],[FTHG]]&gt;3,F326="H"),1,0))</f>
        <v/>
      </c>
      <c r="V326" s="70" t="str">
        <f>IF(A326="","",IF(AND(Tabela1[[#This Row],[FTAG]]&gt;3,F326="A"),1,0))</f>
        <v/>
      </c>
      <c r="W326" s="70" t="str">
        <f t="shared" si="134"/>
        <v/>
      </c>
      <c r="X326" s="70" t="str">
        <f t="shared" si="135"/>
        <v/>
      </c>
      <c r="Y326" s="71" t="str">
        <f t="shared" si="136"/>
        <v/>
      </c>
      <c r="Z326" s="70" t="str">
        <f t="shared" si="137"/>
        <v/>
      </c>
      <c r="AA326" s="70" t="str">
        <f t="shared" si="138"/>
        <v/>
      </c>
      <c r="AB326" s="70" t="str">
        <f t="shared" si="139"/>
        <v/>
      </c>
      <c r="AC326" s="71" t="str">
        <f t="shared" si="140"/>
        <v/>
      </c>
      <c r="AD326" s="72" t="str">
        <f t="shared" si="141"/>
        <v/>
      </c>
      <c r="AE326" s="73" t="str">
        <f>IF(A326="","",COUNT($N$2:N326))</f>
        <v/>
      </c>
      <c r="AF326" s="74" t="str">
        <f t="shared" si="142"/>
        <v/>
      </c>
      <c r="AG326" s="74" t="str">
        <f t="shared" si="143"/>
        <v/>
      </c>
      <c r="AH326" s="74" t="str">
        <f t="shared" si="144"/>
        <v/>
      </c>
      <c r="AI326" s="74" t="str">
        <f t="shared" si="145"/>
        <v/>
      </c>
      <c r="AJ326" s="74" t="str">
        <f t="shared" si="146"/>
        <v/>
      </c>
      <c r="AK326" s="74" t="str">
        <f>IF(A326="","",1/Tabela1[[#This Row],[ODDC]])</f>
        <v/>
      </c>
      <c r="AL326" s="74" t="str">
        <f>IF(A326="","",1/Tabela1[[#This Row],[ODDE]])</f>
        <v/>
      </c>
      <c r="AM326" s="74" t="str">
        <f>IF(A326="","",1/Tabela1[[#This Row],[ODDV]])</f>
        <v/>
      </c>
      <c r="AN326" s="74" t="str">
        <f>IF(A326="","",1-(Tabela1[[#This Row],[p(H)]]+Tabela1[[#This Row],[p(D)]]+Tabela1[[#This Row],[p(A)]]))</f>
        <v/>
      </c>
      <c r="AO326" s="74" t="str">
        <f>IF(A326="","",IFERROR(Tabela1[[#This Row],[p(H)]]/Tabela1[[#This Row],[FTHG]],1))</f>
        <v/>
      </c>
      <c r="AP326" s="74" t="str">
        <f>IF(A326="","",IFERROR(Tabela1[[#This Row],[p(A)]]/Tabela1[[#This Row],[FTAG]],1))</f>
        <v/>
      </c>
      <c r="AQ326" s="107"/>
      <c r="AR326" s="107"/>
      <c r="AS326" s="107"/>
      <c r="AT326" s="107"/>
      <c r="AU326" s="107"/>
      <c r="AV326" s="107"/>
      <c r="AW326" s="107"/>
      <c r="AX326" s="107"/>
      <c r="AY326" s="107"/>
      <c r="AZ326" s="75"/>
      <c r="BA326" s="75"/>
      <c r="BB326" s="75"/>
      <c r="BC326" s="107"/>
      <c r="BD326" s="107"/>
      <c r="BE326" s="107"/>
      <c r="BF326" s="107"/>
      <c r="BG326" s="107"/>
      <c r="BH326" s="107"/>
      <c r="BI326" s="107"/>
      <c r="BJ326" s="107"/>
      <c r="BK326" s="107"/>
      <c r="BL326" s="107"/>
      <c r="BM326" s="107"/>
      <c r="BN326" s="107"/>
      <c r="BO326" s="107"/>
      <c r="BP326" s="107"/>
      <c r="BQ326" s="107"/>
      <c r="BR326" s="107"/>
      <c r="BS326" s="107"/>
      <c r="BT326" s="107"/>
      <c r="BU326" s="107"/>
      <c r="BV326" s="107"/>
      <c r="BW326" s="107"/>
      <c r="BX326" s="75"/>
      <c r="BY326" s="75"/>
      <c r="BZ326" s="75"/>
      <c r="CA326" s="75"/>
      <c r="CB326" s="75"/>
      <c r="CC326" s="75"/>
      <c r="CD326" s="75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2"/>
      <c r="CR326" s="102"/>
      <c r="CS326" s="102"/>
      <c r="CT326" s="102"/>
      <c r="CU326" s="102"/>
      <c r="CV326" s="102"/>
      <c r="CW326" s="102"/>
      <c r="CX326" s="102"/>
      <c r="CY326" s="102"/>
      <c r="CZ326" s="102"/>
      <c r="DA326" s="102"/>
      <c r="DB326" s="102"/>
      <c r="DC326" s="102"/>
      <c r="DD326" s="102"/>
      <c r="DE326" s="102"/>
      <c r="DF326" s="102"/>
      <c r="DG326" s="102"/>
      <c r="DH326" s="102"/>
      <c r="DI326" s="102"/>
      <c r="DJ326" s="102"/>
      <c r="DK326" s="102"/>
      <c r="DL326" s="102"/>
      <c r="DM326" s="102"/>
      <c r="DN326" s="102"/>
      <c r="DO326" s="102"/>
      <c r="DP326" s="102"/>
    </row>
    <row r="327" spans="1:120" x14ac:dyDescent="0.25">
      <c r="A327" s="4"/>
      <c r="D327"/>
      <c r="E327"/>
      <c r="F327"/>
      <c r="J327" s="68" t="str">
        <f t="shared" si="126"/>
        <v/>
      </c>
      <c r="K327" s="68" t="str">
        <f t="shared" si="127"/>
        <v/>
      </c>
      <c r="L327" s="69" t="str">
        <f t="shared" si="128"/>
        <v/>
      </c>
      <c r="M327" s="69" t="str">
        <f t="shared" si="129"/>
        <v/>
      </c>
      <c r="N327" s="69" t="str">
        <f>IF(A327="","",Tabela1[[#This Row],[PTC]]*Tabela1[[#This Row],[ODDC]])</f>
        <v/>
      </c>
      <c r="O327" s="69" t="str">
        <f>IF(A327="","",Tabela1[[#This Row],[PTV]]*Tabela1[[#This Row],[ODDV]])</f>
        <v/>
      </c>
      <c r="P327" s="68" t="str">
        <f t="shared" si="130"/>
        <v/>
      </c>
      <c r="Q327" s="68" t="str">
        <f t="shared" si="131"/>
        <v/>
      </c>
      <c r="R327" s="68" t="str">
        <f t="shared" si="132"/>
        <v/>
      </c>
      <c r="S327" s="68" t="str">
        <f t="shared" si="133"/>
        <v/>
      </c>
      <c r="T327" s="68" t="str">
        <f>IF(A327="","",IF(F327="D",Tabela1[[#This Row],[ODDE]]-1,-1))</f>
        <v/>
      </c>
      <c r="U327" s="70" t="str">
        <f>IF(A327="","",IF(AND(Tabela1[[#This Row],[FTHG]]&gt;3,F327="H"),1,0))</f>
        <v/>
      </c>
      <c r="V327" s="70" t="str">
        <f>IF(A327="","",IF(AND(Tabela1[[#This Row],[FTAG]]&gt;3,F327="A"),1,0))</f>
        <v/>
      </c>
      <c r="W327" s="70" t="str">
        <f t="shared" si="134"/>
        <v/>
      </c>
      <c r="X327" s="70" t="str">
        <f t="shared" si="135"/>
        <v/>
      </c>
      <c r="Y327" s="71" t="str">
        <f t="shared" si="136"/>
        <v/>
      </c>
      <c r="Z327" s="70" t="str">
        <f t="shared" si="137"/>
        <v/>
      </c>
      <c r="AA327" s="70" t="str">
        <f t="shared" si="138"/>
        <v/>
      </c>
      <c r="AB327" s="70" t="str">
        <f t="shared" si="139"/>
        <v/>
      </c>
      <c r="AC327" s="71" t="str">
        <f t="shared" si="140"/>
        <v/>
      </c>
      <c r="AD327" s="72" t="str">
        <f t="shared" si="141"/>
        <v/>
      </c>
      <c r="AE327" s="73" t="str">
        <f>IF(A327="","",COUNT($N$2:N327))</f>
        <v/>
      </c>
      <c r="AF327" s="74" t="str">
        <f t="shared" si="142"/>
        <v/>
      </c>
      <c r="AG327" s="74" t="str">
        <f t="shared" si="143"/>
        <v/>
      </c>
      <c r="AH327" s="74" t="str">
        <f t="shared" si="144"/>
        <v/>
      </c>
      <c r="AI327" s="74" t="str">
        <f t="shared" si="145"/>
        <v/>
      </c>
      <c r="AJ327" s="74" t="str">
        <f t="shared" si="146"/>
        <v/>
      </c>
      <c r="AK327" s="74" t="str">
        <f>IF(A327="","",1/Tabela1[[#This Row],[ODDC]])</f>
        <v/>
      </c>
      <c r="AL327" s="74" t="str">
        <f>IF(A327="","",1/Tabela1[[#This Row],[ODDE]])</f>
        <v/>
      </c>
      <c r="AM327" s="74" t="str">
        <f>IF(A327="","",1/Tabela1[[#This Row],[ODDV]])</f>
        <v/>
      </c>
      <c r="AN327" s="74" t="str">
        <f>IF(A327="","",1-(Tabela1[[#This Row],[p(H)]]+Tabela1[[#This Row],[p(D)]]+Tabela1[[#This Row],[p(A)]]))</f>
        <v/>
      </c>
      <c r="AO327" s="74" t="str">
        <f>IF(A327="","",IFERROR(Tabela1[[#This Row],[p(H)]]/Tabela1[[#This Row],[FTHG]],1))</f>
        <v/>
      </c>
      <c r="AP327" s="74" t="str">
        <f>IF(A327="","",IFERROR(Tabela1[[#This Row],[p(A)]]/Tabela1[[#This Row],[FTAG]],1))</f>
        <v/>
      </c>
      <c r="AQ327" s="107"/>
      <c r="AR327" s="107"/>
      <c r="AS327" s="107"/>
      <c r="AT327" s="107"/>
      <c r="AU327" s="107"/>
      <c r="AV327" s="107"/>
      <c r="AW327" s="107"/>
      <c r="AX327" s="107"/>
      <c r="AY327" s="107"/>
      <c r="AZ327" s="75"/>
      <c r="BA327" s="75"/>
      <c r="BB327" s="75"/>
      <c r="BC327" s="107"/>
      <c r="BD327" s="107"/>
      <c r="BE327" s="107"/>
      <c r="BF327" s="107"/>
      <c r="BG327" s="107"/>
      <c r="BH327" s="107"/>
      <c r="BI327" s="107"/>
      <c r="BJ327" s="107"/>
      <c r="BK327" s="107"/>
      <c r="BL327" s="107"/>
      <c r="BM327" s="107"/>
      <c r="BN327" s="107"/>
      <c r="BO327" s="107"/>
      <c r="BP327" s="107"/>
      <c r="BQ327" s="107"/>
      <c r="BR327" s="107"/>
      <c r="BS327" s="107"/>
      <c r="BT327" s="107"/>
      <c r="BU327" s="107"/>
      <c r="BV327" s="107"/>
      <c r="BW327" s="107"/>
      <c r="BX327" s="75"/>
      <c r="BY327" s="75"/>
      <c r="BZ327" s="75"/>
      <c r="CA327" s="75"/>
      <c r="CB327" s="75"/>
      <c r="CC327" s="75"/>
      <c r="CD327" s="75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2"/>
      <c r="CR327" s="102"/>
      <c r="CS327" s="102"/>
      <c r="CT327" s="102"/>
      <c r="CU327" s="102"/>
      <c r="CV327" s="102"/>
      <c r="CW327" s="102"/>
      <c r="CX327" s="102"/>
      <c r="CY327" s="102"/>
      <c r="CZ327" s="102"/>
      <c r="DA327" s="102"/>
      <c r="DB327" s="102"/>
      <c r="DC327" s="102"/>
      <c r="DD327" s="102"/>
      <c r="DE327" s="102"/>
      <c r="DF327" s="102"/>
      <c r="DG327" s="102"/>
      <c r="DH327" s="102"/>
      <c r="DI327" s="102"/>
      <c r="DJ327" s="102"/>
      <c r="DK327" s="102"/>
      <c r="DL327" s="102"/>
      <c r="DM327" s="102"/>
      <c r="DN327" s="102"/>
      <c r="DO327" s="102"/>
      <c r="DP327" s="102"/>
    </row>
    <row r="328" spans="1:120" x14ac:dyDescent="0.25">
      <c r="A328" s="4"/>
      <c r="D328"/>
      <c r="E328"/>
      <c r="F328"/>
      <c r="J328" s="68" t="str">
        <f t="shared" si="126"/>
        <v/>
      </c>
      <c r="K328" s="68" t="str">
        <f t="shared" si="127"/>
        <v/>
      </c>
      <c r="L328" s="69" t="str">
        <f t="shared" si="128"/>
        <v/>
      </c>
      <c r="M328" s="69" t="str">
        <f t="shared" si="129"/>
        <v/>
      </c>
      <c r="N328" s="69" t="str">
        <f>IF(A328="","",Tabela1[[#This Row],[PTC]]*Tabela1[[#This Row],[ODDC]])</f>
        <v/>
      </c>
      <c r="O328" s="69" t="str">
        <f>IF(A328="","",Tabela1[[#This Row],[PTV]]*Tabela1[[#This Row],[ODDV]])</f>
        <v/>
      </c>
      <c r="P328" s="68" t="str">
        <f t="shared" si="130"/>
        <v/>
      </c>
      <c r="Q328" s="68" t="str">
        <f t="shared" si="131"/>
        <v/>
      </c>
      <c r="R328" s="68" t="str">
        <f t="shared" si="132"/>
        <v/>
      </c>
      <c r="S328" s="68" t="str">
        <f t="shared" si="133"/>
        <v/>
      </c>
      <c r="T328" s="68" t="str">
        <f>IF(A328="","",IF(F328="D",Tabela1[[#This Row],[ODDE]]-1,-1))</f>
        <v/>
      </c>
      <c r="U328" s="70" t="str">
        <f>IF(A328="","",IF(AND(Tabela1[[#This Row],[FTHG]]&gt;3,F328="H"),1,0))</f>
        <v/>
      </c>
      <c r="V328" s="70" t="str">
        <f>IF(A328="","",IF(AND(Tabela1[[#This Row],[FTAG]]&gt;3,F328="A"),1,0))</f>
        <v/>
      </c>
      <c r="W328" s="70" t="str">
        <f t="shared" si="134"/>
        <v/>
      </c>
      <c r="X328" s="70" t="str">
        <f t="shared" si="135"/>
        <v/>
      </c>
      <c r="Y328" s="71" t="str">
        <f t="shared" si="136"/>
        <v/>
      </c>
      <c r="Z328" s="70" t="str">
        <f t="shared" si="137"/>
        <v/>
      </c>
      <c r="AA328" s="70" t="str">
        <f t="shared" si="138"/>
        <v/>
      </c>
      <c r="AB328" s="70" t="str">
        <f t="shared" si="139"/>
        <v/>
      </c>
      <c r="AC328" s="71" t="str">
        <f t="shared" si="140"/>
        <v/>
      </c>
      <c r="AD328" s="72" t="str">
        <f t="shared" si="141"/>
        <v/>
      </c>
      <c r="AE328" s="73" t="str">
        <f>IF(A328="","",COUNT($N$2:N328))</f>
        <v/>
      </c>
      <c r="AF328" s="74" t="str">
        <f t="shared" si="142"/>
        <v/>
      </c>
      <c r="AG328" s="74" t="str">
        <f t="shared" si="143"/>
        <v/>
      </c>
      <c r="AH328" s="74" t="str">
        <f t="shared" si="144"/>
        <v/>
      </c>
      <c r="AI328" s="74" t="str">
        <f t="shared" si="145"/>
        <v/>
      </c>
      <c r="AJ328" s="74" t="str">
        <f t="shared" si="146"/>
        <v/>
      </c>
      <c r="AK328" s="74" t="str">
        <f>IF(A328="","",1/Tabela1[[#This Row],[ODDC]])</f>
        <v/>
      </c>
      <c r="AL328" s="74" t="str">
        <f>IF(A328="","",1/Tabela1[[#This Row],[ODDE]])</f>
        <v/>
      </c>
      <c r="AM328" s="74" t="str">
        <f>IF(A328="","",1/Tabela1[[#This Row],[ODDV]])</f>
        <v/>
      </c>
      <c r="AN328" s="74" t="str">
        <f>IF(A328="","",1-(Tabela1[[#This Row],[p(H)]]+Tabela1[[#This Row],[p(D)]]+Tabela1[[#This Row],[p(A)]]))</f>
        <v/>
      </c>
      <c r="AO328" s="74" t="str">
        <f>IF(A328="","",IFERROR(Tabela1[[#This Row],[p(H)]]/Tabela1[[#This Row],[FTHG]],1))</f>
        <v/>
      </c>
      <c r="AP328" s="74" t="str">
        <f>IF(A328="","",IFERROR(Tabela1[[#This Row],[p(A)]]/Tabela1[[#This Row],[FTAG]],1))</f>
        <v/>
      </c>
      <c r="AQ328" s="107"/>
      <c r="AR328" s="107"/>
      <c r="AS328" s="107"/>
      <c r="AT328" s="107"/>
      <c r="AU328" s="107"/>
      <c r="AV328" s="107"/>
      <c r="AW328" s="107"/>
      <c r="AX328" s="107"/>
      <c r="AY328" s="107"/>
      <c r="AZ328" s="75"/>
      <c r="BA328" s="75"/>
      <c r="BB328" s="75"/>
      <c r="BC328" s="107"/>
      <c r="BD328" s="107"/>
      <c r="BE328" s="107"/>
      <c r="BF328" s="107"/>
      <c r="BG328" s="107"/>
      <c r="BH328" s="107"/>
      <c r="BI328" s="107"/>
      <c r="BJ328" s="107"/>
      <c r="BK328" s="107"/>
      <c r="BL328" s="107"/>
      <c r="BM328" s="107"/>
      <c r="BN328" s="107"/>
      <c r="BO328" s="107"/>
      <c r="BP328" s="107"/>
      <c r="BQ328" s="107"/>
      <c r="BR328" s="107"/>
      <c r="BS328" s="107"/>
      <c r="BT328" s="107"/>
      <c r="BU328" s="107"/>
      <c r="BV328" s="107"/>
      <c r="BW328" s="107"/>
      <c r="BX328" s="75"/>
      <c r="BY328" s="75"/>
      <c r="BZ328" s="75"/>
      <c r="CA328" s="75"/>
      <c r="CB328" s="75"/>
      <c r="CC328" s="75"/>
      <c r="CD328" s="75"/>
      <c r="CE328" s="102"/>
      <c r="CF328" s="102"/>
      <c r="CG328" s="102"/>
      <c r="CH328" s="102"/>
      <c r="CI328" s="102"/>
      <c r="CJ328" s="102"/>
      <c r="CK328" s="102"/>
      <c r="CL328" s="102"/>
      <c r="CM328" s="102"/>
      <c r="CN328" s="102"/>
      <c r="CO328" s="102"/>
      <c r="CP328" s="102"/>
      <c r="CQ328" s="102"/>
      <c r="CR328" s="102"/>
      <c r="CS328" s="102"/>
      <c r="CT328" s="102"/>
      <c r="CU328" s="102"/>
      <c r="CV328" s="102"/>
      <c r="CW328" s="102"/>
      <c r="CX328" s="102"/>
      <c r="CY328" s="102"/>
      <c r="CZ328" s="102"/>
      <c r="DA328" s="102"/>
      <c r="DB328" s="102"/>
      <c r="DC328" s="102"/>
      <c r="DD328" s="102"/>
      <c r="DE328" s="102"/>
      <c r="DF328" s="102"/>
      <c r="DG328" s="102"/>
      <c r="DH328" s="102"/>
      <c r="DI328" s="102"/>
      <c r="DJ328" s="102"/>
      <c r="DK328" s="102"/>
      <c r="DL328" s="102"/>
      <c r="DM328" s="102"/>
      <c r="DN328" s="102"/>
      <c r="DO328" s="102"/>
      <c r="DP328" s="102"/>
    </row>
    <row r="329" spans="1:120" x14ac:dyDescent="0.25">
      <c r="A329" s="4"/>
      <c r="D329"/>
      <c r="E329"/>
      <c r="F329"/>
      <c r="J329" s="68" t="str">
        <f t="shared" si="126"/>
        <v/>
      </c>
      <c r="K329" s="68" t="str">
        <f t="shared" si="127"/>
        <v/>
      </c>
      <c r="L329" s="69" t="str">
        <f t="shared" si="128"/>
        <v/>
      </c>
      <c r="M329" s="69" t="str">
        <f t="shared" si="129"/>
        <v/>
      </c>
      <c r="N329" s="69" t="str">
        <f>IF(A329="","",Tabela1[[#This Row],[PTC]]*Tabela1[[#This Row],[ODDC]])</f>
        <v/>
      </c>
      <c r="O329" s="69" t="str">
        <f>IF(A329="","",Tabela1[[#This Row],[PTV]]*Tabela1[[#This Row],[ODDV]])</f>
        <v/>
      </c>
      <c r="P329" s="68" t="str">
        <f t="shared" si="130"/>
        <v/>
      </c>
      <c r="Q329" s="68" t="str">
        <f t="shared" si="131"/>
        <v/>
      </c>
      <c r="R329" s="68" t="str">
        <f t="shared" si="132"/>
        <v/>
      </c>
      <c r="S329" s="68" t="str">
        <f t="shared" si="133"/>
        <v/>
      </c>
      <c r="T329" s="68" t="str">
        <f>IF(A329="","",IF(F329="D",Tabela1[[#This Row],[ODDE]]-1,-1))</f>
        <v/>
      </c>
      <c r="U329" s="70" t="str">
        <f>IF(A329="","",IF(AND(Tabela1[[#This Row],[FTHG]]&gt;3,F329="H"),1,0))</f>
        <v/>
      </c>
      <c r="V329" s="70" t="str">
        <f>IF(A329="","",IF(AND(Tabela1[[#This Row],[FTAG]]&gt;3,F329="A"),1,0))</f>
        <v/>
      </c>
      <c r="W329" s="70" t="str">
        <f t="shared" si="134"/>
        <v/>
      </c>
      <c r="X329" s="70" t="str">
        <f t="shared" si="135"/>
        <v/>
      </c>
      <c r="Y329" s="71" t="str">
        <f t="shared" si="136"/>
        <v/>
      </c>
      <c r="Z329" s="70" t="str">
        <f t="shared" si="137"/>
        <v/>
      </c>
      <c r="AA329" s="70" t="str">
        <f t="shared" si="138"/>
        <v/>
      </c>
      <c r="AB329" s="70" t="str">
        <f t="shared" si="139"/>
        <v/>
      </c>
      <c r="AC329" s="71" t="str">
        <f t="shared" si="140"/>
        <v/>
      </c>
      <c r="AD329" s="72" t="str">
        <f t="shared" si="141"/>
        <v/>
      </c>
      <c r="AE329" s="73" t="str">
        <f>IF(A329="","",COUNT($N$2:N329))</f>
        <v/>
      </c>
      <c r="AF329" s="74" t="str">
        <f t="shared" si="142"/>
        <v/>
      </c>
      <c r="AG329" s="74" t="str">
        <f t="shared" si="143"/>
        <v/>
      </c>
      <c r="AH329" s="74" t="str">
        <f t="shared" si="144"/>
        <v/>
      </c>
      <c r="AI329" s="74" t="str">
        <f t="shared" si="145"/>
        <v/>
      </c>
      <c r="AJ329" s="74" t="str">
        <f t="shared" si="146"/>
        <v/>
      </c>
      <c r="AK329" s="74" t="str">
        <f>IF(A329="","",1/Tabela1[[#This Row],[ODDC]])</f>
        <v/>
      </c>
      <c r="AL329" s="74" t="str">
        <f>IF(A329="","",1/Tabela1[[#This Row],[ODDE]])</f>
        <v/>
      </c>
      <c r="AM329" s="74" t="str">
        <f>IF(A329="","",1/Tabela1[[#This Row],[ODDV]])</f>
        <v/>
      </c>
      <c r="AN329" s="74" t="str">
        <f>IF(A329="","",1-(Tabela1[[#This Row],[p(H)]]+Tabela1[[#This Row],[p(D)]]+Tabela1[[#This Row],[p(A)]]))</f>
        <v/>
      </c>
      <c r="AO329" s="74" t="str">
        <f>IF(A329="","",IFERROR(Tabela1[[#This Row],[p(H)]]/Tabela1[[#This Row],[FTHG]],1))</f>
        <v/>
      </c>
      <c r="AP329" s="74" t="str">
        <f>IF(A329="","",IFERROR(Tabela1[[#This Row],[p(A)]]/Tabela1[[#This Row],[FTAG]],1))</f>
        <v/>
      </c>
      <c r="AQ329" s="107"/>
      <c r="AR329" s="107"/>
      <c r="AS329" s="107"/>
      <c r="AT329" s="107"/>
      <c r="AU329" s="107"/>
      <c r="AV329" s="107"/>
      <c r="AW329" s="107"/>
      <c r="AX329" s="107"/>
      <c r="AY329" s="107"/>
      <c r="AZ329" s="75"/>
      <c r="BA329" s="75"/>
      <c r="BB329" s="75"/>
      <c r="BC329" s="107"/>
      <c r="BD329" s="107"/>
      <c r="BE329" s="107"/>
      <c r="BF329" s="107"/>
      <c r="BG329" s="107"/>
      <c r="BH329" s="107"/>
      <c r="BI329" s="107"/>
      <c r="BJ329" s="107"/>
      <c r="BK329" s="107"/>
      <c r="BL329" s="107"/>
      <c r="BM329" s="107"/>
      <c r="BN329" s="107"/>
      <c r="BO329" s="107"/>
      <c r="BP329" s="107"/>
      <c r="BQ329" s="107"/>
      <c r="BR329" s="107"/>
      <c r="BS329" s="107"/>
      <c r="BT329" s="107"/>
      <c r="BU329" s="107"/>
      <c r="BV329" s="107"/>
      <c r="BW329" s="107"/>
      <c r="BX329" s="75"/>
      <c r="BY329" s="75"/>
      <c r="BZ329" s="75"/>
      <c r="CA329" s="75"/>
      <c r="CB329" s="75"/>
      <c r="CC329" s="75"/>
      <c r="CD329" s="75"/>
      <c r="CE329" s="102"/>
      <c r="CF329" s="102"/>
      <c r="CG329" s="102"/>
      <c r="CH329" s="102"/>
      <c r="CI329" s="102"/>
      <c r="CJ329" s="102"/>
      <c r="CK329" s="102"/>
      <c r="CL329" s="102"/>
      <c r="CM329" s="102"/>
      <c r="CN329" s="102"/>
      <c r="CO329" s="102"/>
      <c r="CP329" s="102"/>
      <c r="CQ329" s="102"/>
      <c r="CR329" s="102"/>
      <c r="CS329" s="102"/>
      <c r="CT329" s="102"/>
      <c r="CU329" s="102"/>
      <c r="CV329" s="102"/>
      <c r="CW329" s="102"/>
      <c r="CX329" s="102"/>
      <c r="CY329" s="102"/>
      <c r="CZ329" s="102"/>
      <c r="DA329" s="102"/>
      <c r="DB329" s="102"/>
      <c r="DC329" s="102"/>
      <c r="DD329" s="102"/>
      <c r="DE329" s="102"/>
      <c r="DF329" s="102"/>
      <c r="DG329" s="102"/>
      <c r="DH329" s="102"/>
      <c r="DI329" s="102"/>
      <c r="DJ329" s="102"/>
      <c r="DK329" s="102"/>
      <c r="DL329" s="102"/>
      <c r="DM329" s="102"/>
      <c r="DN329" s="102"/>
      <c r="DO329" s="102"/>
      <c r="DP329" s="102"/>
    </row>
    <row r="330" spans="1:120" x14ac:dyDescent="0.25">
      <c r="A330" s="4"/>
      <c r="D330"/>
      <c r="E330"/>
      <c r="F330"/>
      <c r="J330" s="68" t="str">
        <f t="shared" si="126"/>
        <v/>
      </c>
      <c r="K330" s="68" t="str">
        <f t="shared" si="127"/>
        <v/>
      </c>
      <c r="L330" s="69" t="str">
        <f t="shared" si="128"/>
        <v/>
      </c>
      <c r="M330" s="69" t="str">
        <f t="shared" si="129"/>
        <v/>
      </c>
      <c r="N330" s="69" t="str">
        <f>IF(A330="","",Tabela1[[#This Row],[PTC]]*Tabela1[[#This Row],[ODDC]])</f>
        <v/>
      </c>
      <c r="O330" s="69" t="str">
        <f>IF(A330="","",Tabela1[[#This Row],[PTV]]*Tabela1[[#This Row],[ODDV]])</f>
        <v/>
      </c>
      <c r="P330" s="68" t="str">
        <f t="shared" si="130"/>
        <v/>
      </c>
      <c r="Q330" s="68" t="str">
        <f t="shared" si="131"/>
        <v/>
      </c>
      <c r="R330" s="68" t="str">
        <f t="shared" si="132"/>
        <v/>
      </c>
      <c r="S330" s="68" t="str">
        <f t="shared" si="133"/>
        <v/>
      </c>
      <c r="T330" s="68" t="str">
        <f>IF(A330="","",IF(F330="D",Tabela1[[#This Row],[ODDE]]-1,-1))</f>
        <v/>
      </c>
      <c r="U330" s="70" t="str">
        <f>IF(A330="","",IF(AND(Tabela1[[#This Row],[FTHG]]&gt;3,F330="H"),1,0))</f>
        <v/>
      </c>
      <c r="V330" s="70" t="str">
        <f>IF(A330="","",IF(AND(Tabela1[[#This Row],[FTAG]]&gt;3,F330="A"),1,0))</f>
        <v/>
      </c>
      <c r="W330" s="70" t="str">
        <f t="shared" si="134"/>
        <v/>
      </c>
      <c r="X330" s="70" t="str">
        <f t="shared" si="135"/>
        <v/>
      </c>
      <c r="Y330" s="71" t="str">
        <f t="shared" si="136"/>
        <v/>
      </c>
      <c r="Z330" s="70" t="str">
        <f t="shared" si="137"/>
        <v/>
      </c>
      <c r="AA330" s="70" t="str">
        <f t="shared" si="138"/>
        <v/>
      </c>
      <c r="AB330" s="70" t="str">
        <f t="shared" si="139"/>
        <v/>
      </c>
      <c r="AC330" s="71" t="str">
        <f t="shared" si="140"/>
        <v/>
      </c>
      <c r="AD330" s="72" t="str">
        <f t="shared" si="141"/>
        <v/>
      </c>
      <c r="AE330" s="73" t="str">
        <f>IF(A330="","",COUNT($N$2:N330))</f>
        <v/>
      </c>
      <c r="AF330" s="74" t="str">
        <f t="shared" si="142"/>
        <v/>
      </c>
      <c r="AG330" s="74" t="str">
        <f t="shared" si="143"/>
        <v/>
      </c>
      <c r="AH330" s="74" t="str">
        <f t="shared" si="144"/>
        <v/>
      </c>
      <c r="AI330" s="74" t="str">
        <f t="shared" si="145"/>
        <v/>
      </c>
      <c r="AJ330" s="74" t="str">
        <f t="shared" si="146"/>
        <v/>
      </c>
      <c r="AK330" s="74" t="str">
        <f>IF(A330="","",1/Tabela1[[#This Row],[ODDC]])</f>
        <v/>
      </c>
      <c r="AL330" s="74" t="str">
        <f>IF(A330="","",1/Tabela1[[#This Row],[ODDE]])</f>
        <v/>
      </c>
      <c r="AM330" s="74" t="str">
        <f>IF(A330="","",1/Tabela1[[#This Row],[ODDV]])</f>
        <v/>
      </c>
      <c r="AN330" s="74" t="str">
        <f>IF(A330="","",1-(Tabela1[[#This Row],[p(H)]]+Tabela1[[#This Row],[p(D)]]+Tabela1[[#This Row],[p(A)]]))</f>
        <v/>
      </c>
      <c r="AO330" s="74" t="str">
        <f>IF(A330="","",IFERROR(Tabela1[[#This Row],[p(H)]]/Tabela1[[#This Row],[FTHG]],1))</f>
        <v/>
      </c>
      <c r="AP330" s="74" t="str">
        <f>IF(A330="","",IFERROR(Tabela1[[#This Row],[p(A)]]/Tabela1[[#This Row],[FTAG]],1))</f>
        <v/>
      </c>
      <c r="AQ330" s="107"/>
      <c r="AR330" s="107"/>
      <c r="AS330" s="107"/>
      <c r="AT330" s="107"/>
      <c r="AU330" s="107"/>
      <c r="AV330" s="107"/>
      <c r="AW330" s="107"/>
      <c r="AX330" s="107"/>
      <c r="AY330" s="107"/>
      <c r="AZ330" s="75"/>
      <c r="BA330" s="75"/>
      <c r="BB330" s="75"/>
      <c r="BC330" s="107"/>
      <c r="BD330" s="107"/>
      <c r="BE330" s="107"/>
      <c r="BF330" s="107"/>
      <c r="BG330" s="107"/>
      <c r="BH330" s="107"/>
      <c r="BI330" s="107"/>
      <c r="BJ330" s="107"/>
      <c r="BK330" s="107"/>
      <c r="BL330" s="107"/>
      <c r="BM330" s="107"/>
      <c r="BN330" s="107"/>
      <c r="BO330" s="107"/>
      <c r="BP330" s="107"/>
      <c r="BQ330" s="107"/>
      <c r="BR330" s="107"/>
      <c r="BS330" s="107"/>
      <c r="BT330" s="107"/>
      <c r="BU330" s="107"/>
      <c r="BV330" s="107"/>
      <c r="BW330" s="107"/>
      <c r="BX330" s="75"/>
      <c r="BY330" s="75"/>
      <c r="BZ330" s="75"/>
      <c r="CA330" s="75"/>
      <c r="CB330" s="75"/>
      <c r="CC330" s="75"/>
      <c r="CD330" s="75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2"/>
      <c r="CR330" s="102"/>
      <c r="CS330" s="102"/>
      <c r="CT330" s="102"/>
      <c r="CU330" s="102"/>
      <c r="CV330" s="102"/>
      <c r="CW330" s="102"/>
      <c r="CX330" s="102"/>
      <c r="CY330" s="102"/>
      <c r="CZ330" s="102"/>
      <c r="DA330" s="102"/>
      <c r="DB330" s="102"/>
      <c r="DC330" s="102"/>
      <c r="DD330" s="102"/>
      <c r="DE330" s="102"/>
      <c r="DF330" s="102"/>
      <c r="DG330" s="102"/>
      <c r="DH330" s="102"/>
      <c r="DI330" s="102"/>
      <c r="DJ330" s="102"/>
      <c r="DK330" s="102"/>
      <c r="DL330" s="102"/>
      <c r="DM330" s="102"/>
      <c r="DN330" s="102"/>
      <c r="DO330" s="102"/>
      <c r="DP330" s="102"/>
    </row>
    <row r="331" spans="1:120" x14ac:dyDescent="0.25">
      <c r="A331" s="4"/>
      <c r="D331"/>
      <c r="E331"/>
      <c r="F331"/>
      <c r="J331" s="68" t="str">
        <f t="shared" si="126"/>
        <v/>
      </c>
      <c r="K331" s="68" t="str">
        <f t="shared" si="127"/>
        <v/>
      </c>
      <c r="L331" s="69" t="str">
        <f t="shared" si="128"/>
        <v/>
      </c>
      <c r="M331" s="69" t="str">
        <f t="shared" si="129"/>
        <v/>
      </c>
      <c r="N331" s="69" t="str">
        <f>IF(A331="","",Tabela1[[#This Row],[PTC]]*Tabela1[[#This Row],[ODDC]])</f>
        <v/>
      </c>
      <c r="O331" s="69" t="str">
        <f>IF(A331="","",Tabela1[[#This Row],[PTV]]*Tabela1[[#This Row],[ODDV]])</f>
        <v/>
      </c>
      <c r="P331" s="68" t="str">
        <f t="shared" si="130"/>
        <v/>
      </c>
      <c r="Q331" s="68" t="str">
        <f t="shared" si="131"/>
        <v/>
      </c>
      <c r="R331" s="68" t="str">
        <f t="shared" si="132"/>
        <v/>
      </c>
      <c r="S331" s="68" t="str">
        <f t="shared" si="133"/>
        <v/>
      </c>
      <c r="T331" s="68" t="str">
        <f>IF(A331="","",IF(F331="D",Tabela1[[#This Row],[ODDE]]-1,-1))</f>
        <v/>
      </c>
      <c r="U331" s="70" t="str">
        <f>IF(A331="","",IF(AND(Tabela1[[#This Row],[FTHG]]&gt;3,F331="H"),1,0))</f>
        <v/>
      </c>
      <c r="V331" s="70" t="str">
        <f>IF(A331="","",IF(AND(Tabela1[[#This Row],[FTAG]]&gt;3,F331="A"),1,0))</f>
        <v/>
      </c>
      <c r="W331" s="70" t="str">
        <f t="shared" si="134"/>
        <v/>
      </c>
      <c r="X331" s="70" t="str">
        <f t="shared" si="135"/>
        <v/>
      </c>
      <c r="Y331" s="71" t="str">
        <f t="shared" si="136"/>
        <v/>
      </c>
      <c r="Z331" s="70" t="str">
        <f t="shared" si="137"/>
        <v/>
      </c>
      <c r="AA331" s="70" t="str">
        <f t="shared" si="138"/>
        <v/>
      </c>
      <c r="AB331" s="70" t="str">
        <f t="shared" si="139"/>
        <v/>
      </c>
      <c r="AC331" s="71" t="str">
        <f t="shared" si="140"/>
        <v/>
      </c>
      <c r="AD331" s="72" t="str">
        <f t="shared" si="141"/>
        <v/>
      </c>
      <c r="AE331" s="73" t="str">
        <f>IF(A331="","",COUNT($N$2:N331))</f>
        <v/>
      </c>
      <c r="AF331" s="74" t="str">
        <f t="shared" si="142"/>
        <v/>
      </c>
      <c r="AG331" s="74" t="str">
        <f t="shared" si="143"/>
        <v/>
      </c>
      <c r="AH331" s="74" t="str">
        <f t="shared" si="144"/>
        <v/>
      </c>
      <c r="AI331" s="74" t="str">
        <f t="shared" si="145"/>
        <v/>
      </c>
      <c r="AJ331" s="74" t="str">
        <f t="shared" si="146"/>
        <v/>
      </c>
      <c r="AK331" s="74" t="str">
        <f>IF(A331="","",1/Tabela1[[#This Row],[ODDC]])</f>
        <v/>
      </c>
      <c r="AL331" s="74" t="str">
        <f>IF(A331="","",1/Tabela1[[#This Row],[ODDE]])</f>
        <v/>
      </c>
      <c r="AM331" s="74" t="str">
        <f>IF(A331="","",1/Tabela1[[#This Row],[ODDV]])</f>
        <v/>
      </c>
      <c r="AN331" s="74" t="str">
        <f>IF(A331="","",1-(Tabela1[[#This Row],[p(H)]]+Tabela1[[#This Row],[p(D)]]+Tabela1[[#This Row],[p(A)]]))</f>
        <v/>
      </c>
      <c r="AO331" s="74" t="str">
        <f>IF(A331="","",IFERROR(Tabela1[[#This Row],[p(H)]]/Tabela1[[#This Row],[FTHG]],1))</f>
        <v/>
      </c>
      <c r="AP331" s="74" t="str">
        <f>IF(A331="","",IFERROR(Tabela1[[#This Row],[p(A)]]/Tabela1[[#This Row],[FTAG]],1))</f>
        <v/>
      </c>
      <c r="AQ331" s="107"/>
      <c r="AR331" s="107"/>
      <c r="AS331" s="107"/>
      <c r="AT331" s="107"/>
      <c r="AU331" s="107"/>
      <c r="AV331" s="107"/>
      <c r="AW331" s="107"/>
      <c r="AX331" s="107"/>
      <c r="AY331" s="107"/>
      <c r="AZ331" s="75"/>
      <c r="BA331" s="75"/>
      <c r="BB331" s="75"/>
      <c r="BC331" s="107"/>
      <c r="BD331" s="107"/>
      <c r="BE331" s="107"/>
      <c r="BF331" s="107"/>
      <c r="BG331" s="107"/>
      <c r="BH331" s="107"/>
      <c r="BI331" s="107"/>
      <c r="BJ331" s="107"/>
      <c r="BK331" s="107"/>
      <c r="BL331" s="107"/>
      <c r="BM331" s="107"/>
      <c r="BN331" s="107"/>
      <c r="BO331" s="107"/>
      <c r="BP331" s="107"/>
      <c r="BQ331" s="107"/>
      <c r="BR331" s="107"/>
      <c r="BS331" s="107"/>
      <c r="BT331" s="107"/>
      <c r="BU331" s="107"/>
      <c r="BV331" s="107"/>
      <c r="BW331" s="107"/>
      <c r="BX331" s="75"/>
      <c r="BY331" s="75"/>
      <c r="BZ331" s="75"/>
      <c r="CA331" s="75"/>
      <c r="CB331" s="75"/>
      <c r="CC331" s="75"/>
      <c r="CD331" s="75"/>
      <c r="CE331" s="102"/>
      <c r="CF331" s="102"/>
      <c r="CG331" s="102"/>
      <c r="CH331" s="102"/>
      <c r="CI331" s="102"/>
      <c r="CJ331" s="102"/>
      <c r="CK331" s="102"/>
      <c r="CL331" s="102"/>
      <c r="CM331" s="102"/>
      <c r="CN331" s="102"/>
      <c r="CO331" s="102"/>
      <c r="CP331" s="102"/>
      <c r="CQ331" s="102"/>
      <c r="CR331" s="102"/>
      <c r="CS331" s="102"/>
      <c r="CT331" s="102"/>
      <c r="CU331" s="102"/>
      <c r="CV331" s="102"/>
      <c r="CW331" s="102"/>
      <c r="CX331" s="102"/>
      <c r="CY331" s="102"/>
      <c r="CZ331" s="102"/>
      <c r="DA331" s="102"/>
      <c r="DB331" s="102"/>
      <c r="DC331" s="102"/>
      <c r="DD331" s="102"/>
      <c r="DE331" s="102"/>
      <c r="DF331" s="102"/>
      <c r="DG331" s="102"/>
      <c r="DH331" s="102"/>
      <c r="DI331" s="102"/>
      <c r="DJ331" s="102"/>
      <c r="DK331" s="102"/>
      <c r="DL331" s="102"/>
      <c r="DM331" s="102"/>
      <c r="DN331" s="102"/>
      <c r="DO331" s="102"/>
      <c r="DP331" s="102"/>
    </row>
    <row r="332" spans="1:120" x14ac:dyDescent="0.25">
      <c r="A332" s="4"/>
      <c r="D332"/>
      <c r="E332"/>
      <c r="F332"/>
      <c r="J332" s="68" t="str">
        <f t="shared" si="126"/>
        <v/>
      </c>
      <c r="K332" s="68" t="str">
        <f t="shared" si="127"/>
        <v/>
      </c>
      <c r="L332" s="69" t="str">
        <f t="shared" si="128"/>
        <v/>
      </c>
      <c r="M332" s="69" t="str">
        <f t="shared" si="129"/>
        <v/>
      </c>
      <c r="N332" s="69" t="str">
        <f>IF(A332="","",Tabela1[[#This Row],[PTC]]*Tabela1[[#This Row],[ODDC]])</f>
        <v/>
      </c>
      <c r="O332" s="69" t="str">
        <f>IF(A332="","",Tabela1[[#This Row],[PTV]]*Tabela1[[#This Row],[ODDV]])</f>
        <v/>
      </c>
      <c r="P332" s="68" t="str">
        <f t="shared" si="130"/>
        <v/>
      </c>
      <c r="Q332" s="68" t="str">
        <f t="shared" si="131"/>
        <v/>
      </c>
      <c r="R332" s="68" t="str">
        <f t="shared" si="132"/>
        <v/>
      </c>
      <c r="S332" s="68" t="str">
        <f t="shared" si="133"/>
        <v/>
      </c>
      <c r="T332" s="68" t="str">
        <f>IF(A332="","",IF(F332="D",Tabela1[[#This Row],[ODDE]]-1,-1))</f>
        <v/>
      </c>
      <c r="U332" s="70" t="str">
        <f>IF(A332="","",IF(AND(Tabela1[[#This Row],[FTHG]]&gt;3,F332="H"),1,0))</f>
        <v/>
      </c>
      <c r="V332" s="70" t="str">
        <f>IF(A332="","",IF(AND(Tabela1[[#This Row],[FTAG]]&gt;3,F332="A"),1,0))</f>
        <v/>
      </c>
      <c r="W332" s="70" t="str">
        <f t="shared" si="134"/>
        <v/>
      </c>
      <c r="X332" s="70" t="str">
        <f t="shared" si="135"/>
        <v/>
      </c>
      <c r="Y332" s="71" t="str">
        <f t="shared" si="136"/>
        <v/>
      </c>
      <c r="Z332" s="70" t="str">
        <f t="shared" si="137"/>
        <v/>
      </c>
      <c r="AA332" s="70" t="str">
        <f t="shared" si="138"/>
        <v/>
      </c>
      <c r="AB332" s="70" t="str">
        <f t="shared" si="139"/>
        <v/>
      </c>
      <c r="AC332" s="71" t="str">
        <f t="shared" si="140"/>
        <v/>
      </c>
      <c r="AD332" s="72" t="str">
        <f t="shared" si="141"/>
        <v/>
      </c>
      <c r="AE332" s="73" t="str">
        <f>IF(A332="","",COUNT($N$2:N332))</f>
        <v/>
      </c>
      <c r="AF332" s="74" t="str">
        <f t="shared" si="142"/>
        <v/>
      </c>
      <c r="AG332" s="74" t="str">
        <f t="shared" si="143"/>
        <v/>
      </c>
      <c r="AH332" s="74" t="str">
        <f t="shared" si="144"/>
        <v/>
      </c>
      <c r="AI332" s="74" t="str">
        <f t="shared" si="145"/>
        <v/>
      </c>
      <c r="AJ332" s="74" t="str">
        <f t="shared" si="146"/>
        <v/>
      </c>
      <c r="AK332" s="74" t="str">
        <f>IF(A332="","",1/Tabela1[[#This Row],[ODDC]])</f>
        <v/>
      </c>
      <c r="AL332" s="74" t="str">
        <f>IF(A332="","",1/Tabela1[[#This Row],[ODDE]])</f>
        <v/>
      </c>
      <c r="AM332" s="74" t="str">
        <f>IF(A332="","",1/Tabela1[[#This Row],[ODDV]])</f>
        <v/>
      </c>
      <c r="AN332" s="74" t="str">
        <f>IF(A332="","",1-(Tabela1[[#This Row],[p(H)]]+Tabela1[[#This Row],[p(D)]]+Tabela1[[#This Row],[p(A)]]))</f>
        <v/>
      </c>
      <c r="AO332" s="74" t="str">
        <f>IF(A332="","",IFERROR(Tabela1[[#This Row],[p(H)]]/Tabela1[[#This Row],[FTHG]],1))</f>
        <v/>
      </c>
      <c r="AP332" s="74" t="str">
        <f>IF(A332="","",IFERROR(Tabela1[[#This Row],[p(A)]]/Tabela1[[#This Row],[FTAG]],1))</f>
        <v/>
      </c>
      <c r="AQ332" s="107"/>
      <c r="AR332" s="107"/>
      <c r="AS332" s="107"/>
      <c r="AT332" s="107"/>
      <c r="AU332" s="107"/>
      <c r="AV332" s="107"/>
      <c r="AW332" s="107"/>
      <c r="AX332" s="107"/>
      <c r="AY332" s="107"/>
      <c r="AZ332" s="75"/>
      <c r="BA332" s="75"/>
      <c r="BB332" s="75"/>
      <c r="BC332" s="107"/>
      <c r="BD332" s="107"/>
      <c r="BE332" s="107"/>
      <c r="BF332" s="107"/>
      <c r="BG332" s="107"/>
      <c r="BH332" s="107"/>
      <c r="BI332" s="107"/>
      <c r="BJ332" s="107"/>
      <c r="BK332" s="107"/>
      <c r="BL332" s="107"/>
      <c r="BM332" s="107"/>
      <c r="BN332" s="107"/>
      <c r="BO332" s="107"/>
      <c r="BP332" s="107"/>
      <c r="BQ332" s="107"/>
      <c r="BR332" s="107"/>
      <c r="BS332" s="107"/>
      <c r="BT332" s="107"/>
      <c r="BU332" s="107"/>
      <c r="BV332" s="107"/>
      <c r="BW332" s="107"/>
      <c r="BX332" s="75"/>
      <c r="BY332" s="75"/>
      <c r="BZ332" s="75"/>
      <c r="CA332" s="75"/>
      <c r="CB332" s="75"/>
      <c r="CC332" s="75"/>
      <c r="CD332" s="75"/>
      <c r="CE332" s="102"/>
      <c r="CF332" s="102"/>
      <c r="CG332" s="102"/>
      <c r="CH332" s="102"/>
      <c r="CI332" s="102"/>
      <c r="CJ332" s="102"/>
      <c r="CK332" s="102"/>
      <c r="CL332" s="102"/>
      <c r="CM332" s="102"/>
      <c r="CN332" s="102"/>
      <c r="CO332" s="102"/>
      <c r="CP332" s="102"/>
      <c r="CQ332" s="102"/>
      <c r="CR332" s="102"/>
      <c r="CS332" s="102"/>
      <c r="CT332" s="102"/>
      <c r="CU332" s="102"/>
      <c r="CV332" s="102"/>
      <c r="CW332" s="102"/>
      <c r="CX332" s="102"/>
      <c r="CY332" s="102"/>
      <c r="CZ332" s="102"/>
      <c r="DA332" s="102"/>
      <c r="DB332" s="102"/>
      <c r="DC332" s="102"/>
      <c r="DD332" s="102"/>
      <c r="DE332" s="102"/>
      <c r="DF332" s="102"/>
      <c r="DG332" s="102"/>
      <c r="DH332" s="102"/>
      <c r="DI332" s="102"/>
      <c r="DJ332" s="102"/>
      <c r="DK332" s="102"/>
      <c r="DL332" s="102"/>
      <c r="DM332" s="102"/>
      <c r="DN332" s="102"/>
      <c r="DO332" s="102"/>
      <c r="DP332" s="102"/>
    </row>
    <row r="333" spans="1:120" x14ac:dyDescent="0.25">
      <c r="A333" s="4"/>
      <c r="D333"/>
      <c r="E333"/>
      <c r="F333"/>
      <c r="J333" s="68" t="str">
        <f t="shared" si="126"/>
        <v/>
      </c>
      <c r="K333" s="68" t="str">
        <f t="shared" si="127"/>
        <v/>
      </c>
      <c r="L333" s="69" t="str">
        <f t="shared" si="128"/>
        <v/>
      </c>
      <c r="M333" s="69" t="str">
        <f t="shared" si="129"/>
        <v/>
      </c>
      <c r="N333" s="69" t="str">
        <f>IF(A333="","",Tabela1[[#This Row],[PTC]]*Tabela1[[#This Row],[ODDC]])</f>
        <v/>
      </c>
      <c r="O333" s="69" t="str">
        <f>IF(A333="","",Tabela1[[#This Row],[PTV]]*Tabela1[[#This Row],[ODDV]])</f>
        <v/>
      </c>
      <c r="P333" s="68" t="str">
        <f t="shared" si="130"/>
        <v/>
      </c>
      <c r="Q333" s="68" t="str">
        <f t="shared" si="131"/>
        <v/>
      </c>
      <c r="R333" s="68" t="str">
        <f t="shared" si="132"/>
        <v/>
      </c>
      <c r="S333" s="68" t="str">
        <f t="shared" si="133"/>
        <v/>
      </c>
      <c r="T333" s="68" t="str">
        <f>IF(A333="","",IF(F333="D",Tabela1[[#This Row],[ODDE]]-1,-1))</f>
        <v/>
      </c>
      <c r="U333" s="70" t="str">
        <f>IF(A333="","",IF(AND(Tabela1[[#This Row],[FTHG]]&gt;3,F333="H"),1,0))</f>
        <v/>
      </c>
      <c r="V333" s="70" t="str">
        <f>IF(A333="","",IF(AND(Tabela1[[#This Row],[FTAG]]&gt;3,F333="A"),1,0))</f>
        <v/>
      </c>
      <c r="W333" s="70" t="str">
        <f t="shared" si="134"/>
        <v/>
      </c>
      <c r="X333" s="70" t="str">
        <f t="shared" si="135"/>
        <v/>
      </c>
      <c r="Y333" s="71" t="str">
        <f t="shared" si="136"/>
        <v/>
      </c>
      <c r="Z333" s="70" t="str">
        <f t="shared" si="137"/>
        <v/>
      </c>
      <c r="AA333" s="70" t="str">
        <f t="shared" si="138"/>
        <v/>
      </c>
      <c r="AB333" s="70" t="str">
        <f t="shared" si="139"/>
        <v/>
      </c>
      <c r="AC333" s="71" t="str">
        <f t="shared" si="140"/>
        <v/>
      </c>
      <c r="AD333" s="72" t="str">
        <f t="shared" si="141"/>
        <v/>
      </c>
      <c r="AE333" s="73" t="str">
        <f>IF(A333="","",COUNT($N$2:N333))</f>
        <v/>
      </c>
      <c r="AF333" s="74" t="str">
        <f t="shared" si="142"/>
        <v/>
      </c>
      <c r="AG333" s="74" t="str">
        <f t="shared" si="143"/>
        <v/>
      </c>
      <c r="AH333" s="74" t="str">
        <f t="shared" si="144"/>
        <v/>
      </c>
      <c r="AI333" s="74" t="str">
        <f t="shared" si="145"/>
        <v/>
      </c>
      <c r="AJ333" s="74" t="str">
        <f t="shared" si="146"/>
        <v/>
      </c>
      <c r="AK333" s="74" t="str">
        <f>IF(A333="","",1/Tabela1[[#This Row],[ODDC]])</f>
        <v/>
      </c>
      <c r="AL333" s="74" t="str">
        <f>IF(A333="","",1/Tabela1[[#This Row],[ODDE]])</f>
        <v/>
      </c>
      <c r="AM333" s="74" t="str">
        <f>IF(A333="","",1/Tabela1[[#This Row],[ODDV]])</f>
        <v/>
      </c>
      <c r="AN333" s="74" t="str">
        <f>IF(A333="","",1-(Tabela1[[#This Row],[p(H)]]+Tabela1[[#This Row],[p(D)]]+Tabela1[[#This Row],[p(A)]]))</f>
        <v/>
      </c>
      <c r="AO333" s="74" t="str">
        <f>IF(A333="","",IFERROR(Tabela1[[#This Row],[p(H)]]/Tabela1[[#This Row],[FTHG]],1))</f>
        <v/>
      </c>
      <c r="AP333" s="74" t="str">
        <f>IF(A333="","",IFERROR(Tabela1[[#This Row],[p(A)]]/Tabela1[[#This Row],[FTAG]],1))</f>
        <v/>
      </c>
      <c r="AQ333" s="107"/>
      <c r="AR333" s="107"/>
      <c r="AS333" s="107"/>
      <c r="AT333" s="107"/>
      <c r="AU333" s="107"/>
      <c r="AV333" s="107"/>
      <c r="AW333" s="107"/>
      <c r="AX333" s="107"/>
      <c r="AY333" s="107"/>
      <c r="AZ333" s="75"/>
      <c r="BA333" s="75"/>
      <c r="BB333" s="75"/>
      <c r="BC333" s="107"/>
      <c r="BD333" s="107"/>
      <c r="BE333" s="107"/>
      <c r="BF333" s="107"/>
      <c r="BG333" s="107"/>
      <c r="BH333" s="107"/>
      <c r="BI333" s="107"/>
      <c r="BJ333" s="107"/>
      <c r="BK333" s="107"/>
      <c r="BL333" s="107"/>
      <c r="BM333" s="107"/>
      <c r="BN333" s="107"/>
      <c r="BO333" s="107"/>
      <c r="BP333" s="107"/>
      <c r="BQ333" s="107"/>
      <c r="BR333" s="107"/>
      <c r="BS333" s="107"/>
      <c r="BT333" s="107"/>
      <c r="BU333" s="107"/>
      <c r="BV333" s="107"/>
      <c r="BW333" s="107"/>
      <c r="BX333" s="75"/>
      <c r="BY333" s="75"/>
      <c r="BZ333" s="75"/>
      <c r="CA333" s="75"/>
      <c r="CB333" s="75"/>
      <c r="CC333" s="75"/>
      <c r="CD333" s="75"/>
      <c r="CE333" s="102"/>
      <c r="CF333" s="102"/>
      <c r="CG333" s="102"/>
      <c r="CH333" s="102"/>
      <c r="CI333" s="102"/>
      <c r="CJ333" s="102"/>
      <c r="CK333" s="102"/>
      <c r="CL333" s="102"/>
      <c r="CM333" s="102"/>
      <c r="CN333" s="102"/>
      <c r="CO333" s="102"/>
      <c r="CP333" s="102"/>
      <c r="CQ333" s="102"/>
      <c r="CR333" s="102"/>
      <c r="CS333" s="102"/>
      <c r="CT333" s="102"/>
      <c r="CU333" s="102"/>
      <c r="CV333" s="102"/>
      <c r="CW333" s="102"/>
      <c r="CX333" s="102"/>
      <c r="CY333" s="102"/>
      <c r="CZ333" s="102"/>
      <c r="DA333" s="102"/>
      <c r="DB333" s="102"/>
      <c r="DC333" s="102"/>
      <c r="DD333" s="102"/>
      <c r="DE333" s="102"/>
      <c r="DF333" s="102"/>
      <c r="DG333" s="102"/>
      <c r="DH333" s="102"/>
      <c r="DI333" s="102"/>
      <c r="DJ333" s="102"/>
      <c r="DK333" s="102"/>
      <c r="DL333" s="102"/>
      <c r="DM333" s="102"/>
      <c r="DN333" s="102"/>
      <c r="DO333" s="102"/>
      <c r="DP333" s="102"/>
    </row>
    <row r="334" spans="1:120" x14ac:dyDescent="0.25">
      <c r="A334" s="4"/>
      <c r="D334"/>
      <c r="E334"/>
      <c r="F334"/>
      <c r="J334" s="68" t="str">
        <f t="shared" si="126"/>
        <v/>
      </c>
      <c r="K334" s="68" t="str">
        <f t="shared" si="127"/>
        <v/>
      </c>
      <c r="L334" s="69" t="str">
        <f t="shared" si="128"/>
        <v/>
      </c>
      <c r="M334" s="69" t="str">
        <f t="shared" si="129"/>
        <v/>
      </c>
      <c r="N334" s="69" t="str">
        <f>IF(A334="","",Tabela1[[#This Row],[PTC]]*Tabela1[[#This Row],[ODDC]])</f>
        <v/>
      </c>
      <c r="O334" s="69" t="str">
        <f>IF(A334="","",Tabela1[[#This Row],[PTV]]*Tabela1[[#This Row],[ODDV]])</f>
        <v/>
      </c>
      <c r="P334" s="68" t="str">
        <f t="shared" si="130"/>
        <v/>
      </c>
      <c r="Q334" s="68" t="str">
        <f t="shared" si="131"/>
        <v/>
      </c>
      <c r="R334" s="68" t="str">
        <f t="shared" si="132"/>
        <v/>
      </c>
      <c r="S334" s="68" t="str">
        <f t="shared" si="133"/>
        <v/>
      </c>
      <c r="T334" s="68" t="str">
        <f>IF(A334="","",IF(F334="D",Tabela1[[#This Row],[ODDE]]-1,-1))</f>
        <v/>
      </c>
      <c r="U334" s="70" t="str">
        <f>IF(A334="","",IF(AND(Tabela1[[#This Row],[FTHG]]&gt;3,F334="H"),1,0))</f>
        <v/>
      </c>
      <c r="V334" s="70" t="str">
        <f>IF(A334="","",IF(AND(Tabela1[[#This Row],[FTAG]]&gt;3,F334="A"),1,0))</f>
        <v/>
      </c>
      <c r="W334" s="70" t="str">
        <f t="shared" si="134"/>
        <v/>
      </c>
      <c r="X334" s="70" t="str">
        <f t="shared" si="135"/>
        <v/>
      </c>
      <c r="Y334" s="71" t="str">
        <f t="shared" si="136"/>
        <v/>
      </c>
      <c r="Z334" s="70" t="str">
        <f t="shared" si="137"/>
        <v/>
      </c>
      <c r="AA334" s="70" t="str">
        <f t="shared" si="138"/>
        <v/>
      </c>
      <c r="AB334" s="70" t="str">
        <f t="shared" si="139"/>
        <v/>
      </c>
      <c r="AC334" s="71" t="str">
        <f t="shared" si="140"/>
        <v/>
      </c>
      <c r="AD334" s="72" t="str">
        <f t="shared" si="141"/>
        <v/>
      </c>
      <c r="AE334" s="73" t="str">
        <f>IF(A334="","",COUNT($N$2:N334))</f>
        <v/>
      </c>
      <c r="AF334" s="74" t="str">
        <f t="shared" si="142"/>
        <v/>
      </c>
      <c r="AG334" s="74" t="str">
        <f t="shared" si="143"/>
        <v/>
      </c>
      <c r="AH334" s="74" t="str">
        <f t="shared" si="144"/>
        <v/>
      </c>
      <c r="AI334" s="74" t="str">
        <f t="shared" si="145"/>
        <v/>
      </c>
      <c r="AJ334" s="74" t="str">
        <f t="shared" si="146"/>
        <v/>
      </c>
      <c r="AK334" s="74" t="str">
        <f>IF(A334="","",1/Tabela1[[#This Row],[ODDC]])</f>
        <v/>
      </c>
      <c r="AL334" s="74" t="str">
        <f>IF(A334="","",1/Tabela1[[#This Row],[ODDE]])</f>
        <v/>
      </c>
      <c r="AM334" s="74" t="str">
        <f>IF(A334="","",1/Tabela1[[#This Row],[ODDV]])</f>
        <v/>
      </c>
      <c r="AN334" s="74" t="str">
        <f>IF(A334="","",1-(Tabela1[[#This Row],[p(H)]]+Tabela1[[#This Row],[p(D)]]+Tabela1[[#This Row],[p(A)]]))</f>
        <v/>
      </c>
      <c r="AO334" s="74" t="str">
        <f>IF(A334="","",IFERROR(Tabela1[[#This Row],[p(H)]]/Tabela1[[#This Row],[FTHG]],1))</f>
        <v/>
      </c>
      <c r="AP334" s="74" t="str">
        <f>IF(A334="","",IFERROR(Tabela1[[#This Row],[p(A)]]/Tabela1[[#This Row],[FTAG]],1))</f>
        <v/>
      </c>
      <c r="AQ334" s="107"/>
      <c r="AR334" s="107"/>
      <c r="AS334" s="107"/>
      <c r="AT334" s="107"/>
      <c r="AU334" s="107"/>
      <c r="AV334" s="107"/>
      <c r="AW334" s="107"/>
      <c r="AX334" s="107"/>
      <c r="AY334" s="107"/>
      <c r="AZ334" s="75"/>
      <c r="BA334" s="75"/>
      <c r="BB334" s="75"/>
      <c r="BC334" s="107"/>
      <c r="BD334" s="107"/>
      <c r="BE334" s="107"/>
      <c r="BF334" s="107"/>
      <c r="BG334" s="107"/>
      <c r="BH334" s="107"/>
      <c r="BI334" s="107"/>
      <c r="BJ334" s="107"/>
      <c r="BK334" s="107"/>
      <c r="BL334" s="107"/>
      <c r="BM334" s="107"/>
      <c r="BN334" s="107"/>
      <c r="BO334" s="107"/>
      <c r="BP334" s="107"/>
      <c r="BQ334" s="107"/>
      <c r="BR334" s="107"/>
      <c r="BS334" s="107"/>
      <c r="BT334" s="107"/>
      <c r="BU334" s="107"/>
      <c r="BV334" s="107"/>
      <c r="BW334" s="107"/>
      <c r="BX334" s="75"/>
      <c r="BY334" s="75"/>
      <c r="BZ334" s="75"/>
      <c r="CA334" s="75"/>
      <c r="CB334" s="75"/>
      <c r="CC334" s="75"/>
      <c r="CD334" s="75"/>
      <c r="CE334" s="102"/>
      <c r="CF334" s="102"/>
      <c r="CG334" s="102"/>
      <c r="CH334" s="102"/>
      <c r="CI334" s="102"/>
      <c r="CJ334" s="102"/>
      <c r="CK334" s="102"/>
      <c r="CL334" s="102"/>
      <c r="CM334" s="102"/>
      <c r="CN334" s="102"/>
      <c r="CO334" s="102"/>
      <c r="CP334" s="102"/>
      <c r="CQ334" s="102"/>
      <c r="CR334" s="102"/>
      <c r="CS334" s="102"/>
      <c r="CT334" s="102"/>
      <c r="CU334" s="102"/>
      <c r="CV334" s="102"/>
      <c r="CW334" s="102"/>
      <c r="CX334" s="102"/>
      <c r="CY334" s="102"/>
      <c r="CZ334" s="102"/>
      <c r="DA334" s="102"/>
      <c r="DB334" s="102"/>
      <c r="DC334" s="102"/>
      <c r="DD334" s="102"/>
      <c r="DE334" s="102"/>
      <c r="DF334" s="102"/>
      <c r="DG334" s="102"/>
      <c r="DH334" s="102"/>
      <c r="DI334" s="102"/>
      <c r="DJ334" s="102"/>
      <c r="DK334" s="102"/>
      <c r="DL334" s="102"/>
      <c r="DM334" s="102"/>
      <c r="DN334" s="102"/>
      <c r="DO334" s="102"/>
      <c r="DP334" s="102"/>
    </row>
    <row r="335" spans="1:120" x14ac:dyDescent="0.25">
      <c r="A335" s="4"/>
      <c r="D335"/>
      <c r="E335"/>
      <c r="F335"/>
      <c r="J335" s="68" t="str">
        <f t="shared" si="126"/>
        <v/>
      </c>
      <c r="K335" s="68" t="str">
        <f t="shared" si="127"/>
        <v/>
      </c>
      <c r="L335" s="69" t="str">
        <f t="shared" si="128"/>
        <v/>
      </c>
      <c r="M335" s="69" t="str">
        <f t="shared" si="129"/>
        <v/>
      </c>
      <c r="N335" s="69" t="str">
        <f>IF(A335="","",Tabela1[[#This Row],[PTC]]*Tabela1[[#This Row],[ODDC]])</f>
        <v/>
      </c>
      <c r="O335" s="69" t="str">
        <f>IF(A335="","",Tabela1[[#This Row],[PTV]]*Tabela1[[#This Row],[ODDV]])</f>
        <v/>
      </c>
      <c r="P335" s="68" t="str">
        <f t="shared" si="130"/>
        <v/>
      </c>
      <c r="Q335" s="68" t="str">
        <f t="shared" si="131"/>
        <v/>
      </c>
      <c r="R335" s="68" t="str">
        <f t="shared" si="132"/>
        <v/>
      </c>
      <c r="S335" s="68" t="str">
        <f t="shared" si="133"/>
        <v/>
      </c>
      <c r="T335" s="68" t="str">
        <f>IF(A335="","",IF(F335="D",Tabela1[[#This Row],[ODDE]]-1,-1))</f>
        <v/>
      </c>
      <c r="U335" s="70" t="str">
        <f>IF(A335="","",IF(AND(Tabela1[[#This Row],[FTHG]]&gt;3,F335="H"),1,0))</f>
        <v/>
      </c>
      <c r="V335" s="70" t="str">
        <f>IF(A335="","",IF(AND(Tabela1[[#This Row],[FTAG]]&gt;3,F335="A"),1,0))</f>
        <v/>
      </c>
      <c r="W335" s="70" t="str">
        <f t="shared" si="134"/>
        <v/>
      </c>
      <c r="X335" s="70" t="str">
        <f t="shared" si="135"/>
        <v/>
      </c>
      <c r="Y335" s="71" t="str">
        <f t="shared" si="136"/>
        <v/>
      </c>
      <c r="Z335" s="70" t="str">
        <f t="shared" si="137"/>
        <v/>
      </c>
      <c r="AA335" s="70" t="str">
        <f t="shared" si="138"/>
        <v/>
      </c>
      <c r="AB335" s="70" t="str">
        <f t="shared" si="139"/>
        <v/>
      </c>
      <c r="AC335" s="71" t="str">
        <f t="shared" si="140"/>
        <v/>
      </c>
      <c r="AD335" s="72" t="str">
        <f t="shared" si="141"/>
        <v/>
      </c>
      <c r="AE335" s="73" t="str">
        <f>IF(A335="","",COUNT($N$2:N335))</f>
        <v/>
      </c>
      <c r="AF335" s="74" t="str">
        <f t="shared" si="142"/>
        <v/>
      </c>
      <c r="AG335" s="74" t="str">
        <f t="shared" si="143"/>
        <v/>
      </c>
      <c r="AH335" s="74" t="str">
        <f t="shared" si="144"/>
        <v/>
      </c>
      <c r="AI335" s="74" t="str">
        <f t="shared" si="145"/>
        <v/>
      </c>
      <c r="AJ335" s="74" t="str">
        <f t="shared" si="146"/>
        <v/>
      </c>
      <c r="AK335" s="74" t="str">
        <f>IF(A335="","",1/Tabela1[[#This Row],[ODDC]])</f>
        <v/>
      </c>
      <c r="AL335" s="74" t="str">
        <f>IF(A335="","",1/Tabela1[[#This Row],[ODDE]])</f>
        <v/>
      </c>
      <c r="AM335" s="74" t="str">
        <f>IF(A335="","",1/Tabela1[[#This Row],[ODDV]])</f>
        <v/>
      </c>
      <c r="AN335" s="74" t="str">
        <f>IF(A335="","",1-(Tabela1[[#This Row],[p(H)]]+Tabela1[[#This Row],[p(D)]]+Tabela1[[#This Row],[p(A)]]))</f>
        <v/>
      </c>
      <c r="AO335" s="74" t="str">
        <f>IF(A335="","",IFERROR(Tabela1[[#This Row],[p(H)]]/Tabela1[[#This Row],[FTHG]],1))</f>
        <v/>
      </c>
      <c r="AP335" s="74" t="str">
        <f>IF(A335="","",IFERROR(Tabela1[[#This Row],[p(A)]]/Tabela1[[#This Row],[FTAG]],1))</f>
        <v/>
      </c>
      <c r="AQ335" s="107"/>
      <c r="AR335" s="107"/>
      <c r="AS335" s="107"/>
      <c r="AT335" s="107"/>
      <c r="AU335" s="107"/>
      <c r="AV335" s="107"/>
      <c r="AW335" s="107"/>
      <c r="AX335" s="107"/>
      <c r="AY335" s="107"/>
      <c r="AZ335" s="75"/>
      <c r="BA335" s="75"/>
      <c r="BB335" s="75"/>
      <c r="BC335" s="107"/>
      <c r="BD335" s="107"/>
      <c r="BE335" s="107"/>
      <c r="BF335" s="107"/>
      <c r="BG335" s="107"/>
      <c r="BH335" s="107"/>
      <c r="BI335" s="107"/>
      <c r="BJ335" s="107"/>
      <c r="BK335" s="107"/>
      <c r="BL335" s="107"/>
      <c r="BM335" s="107"/>
      <c r="BN335" s="107"/>
      <c r="BO335" s="107"/>
      <c r="BP335" s="107"/>
      <c r="BQ335" s="107"/>
      <c r="BR335" s="107"/>
      <c r="BS335" s="107"/>
      <c r="BT335" s="107"/>
      <c r="BU335" s="107"/>
      <c r="BV335" s="107"/>
      <c r="BW335" s="107"/>
      <c r="BX335" s="75"/>
      <c r="BY335" s="75"/>
      <c r="BZ335" s="75"/>
      <c r="CA335" s="75"/>
      <c r="CB335" s="75"/>
      <c r="CC335" s="75"/>
      <c r="CD335" s="75"/>
      <c r="CE335" s="102"/>
      <c r="CF335" s="102"/>
      <c r="CG335" s="102"/>
      <c r="CH335" s="102"/>
      <c r="CI335" s="102"/>
      <c r="CJ335" s="102"/>
      <c r="CK335" s="102"/>
      <c r="CL335" s="102"/>
      <c r="CM335" s="102"/>
      <c r="CN335" s="102"/>
      <c r="CO335" s="102"/>
      <c r="CP335" s="102"/>
      <c r="CQ335" s="102"/>
      <c r="CR335" s="102"/>
      <c r="CS335" s="102"/>
      <c r="CT335" s="102"/>
      <c r="CU335" s="102"/>
      <c r="CV335" s="102"/>
      <c r="CW335" s="102"/>
      <c r="CX335" s="102"/>
      <c r="CY335" s="102"/>
      <c r="CZ335" s="102"/>
      <c r="DA335" s="102"/>
      <c r="DB335" s="102"/>
      <c r="DC335" s="102"/>
      <c r="DD335" s="102"/>
      <c r="DE335" s="102"/>
      <c r="DF335" s="102"/>
      <c r="DG335" s="102"/>
      <c r="DH335" s="102"/>
      <c r="DI335" s="102"/>
      <c r="DJ335" s="102"/>
      <c r="DK335" s="102"/>
      <c r="DL335" s="102"/>
      <c r="DM335" s="102"/>
      <c r="DN335" s="102"/>
      <c r="DO335" s="102"/>
      <c r="DP335" s="102"/>
    </row>
    <row r="336" spans="1:120" x14ac:dyDescent="0.25">
      <c r="A336" s="4"/>
      <c r="D336"/>
      <c r="E336"/>
      <c r="F336"/>
      <c r="J336" s="68" t="str">
        <f t="shared" si="126"/>
        <v/>
      </c>
      <c r="K336" s="68" t="str">
        <f t="shared" si="127"/>
        <v/>
      </c>
      <c r="L336" s="69" t="str">
        <f t="shared" si="128"/>
        <v/>
      </c>
      <c r="M336" s="69" t="str">
        <f t="shared" si="129"/>
        <v/>
      </c>
      <c r="N336" s="69" t="str">
        <f>IF(A336="","",Tabela1[[#This Row],[PTC]]*Tabela1[[#This Row],[ODDC]])</f>
        <v/>
      </c>
      <c r="O336" s="69" t="str">
        <f>IF(A336="","",Tabela1[[#This Row],[PTV]]*Tabela1[[#This Row],[ODDV]])</f>
        <v/>
      </c>
      <c r="P336" s="68" t="str">
        <f t="shared" si="130"/>
        <v/>
      </c>
      <c r="Q336" s="68" t="str">
        <f t="shared" si="131"/>
        <v/>
      </c>
      <c r="R336" s="68" t="str">
        <f t="shared" si="132"/>
        <v/>
      </c>
      <c r="S336" s="68" t="str">
        <f t="shared" si="133"/>
        <v/>
      </c>
      <c r="T336" s="68" t="str">
        <f>IF(A336="","",IF(F336="D",Tabela1[[#This Row],[ODDE]]-1,-1))</f>
        <v/>
      </c>
      <c r="U336" s="70" t="str">
        <f>IF(A336="","",IF(AND(Tabela1[[#This Row],[FTHG]]&gt;3,F336="H"),1,0))</f>
        <v/>
      </c>
      <c r="V336" s="70" t="str">
        <f>IF(A336="","",IF(AND(Tabela1[[#This Row],[FTAG]]&gt;3,F336="A"),1,0))</f>
        <v/>
      </c>
      <c r="W336" s="70" t="str">
        <f t="shared" si="134"/>
        <v/>
      </c>
      <c r="X336" s="70" t="str">
        <f t="shared" si="135"/>
        <v/>
      </c>
      <c r="Y336" s="71" t="str">
        <f t="shared" si="136"/>
        <v/>
      </c>
      <c r="Z336" s="70" t="str">
        <f t="shared" si="137"/>
        <v/>
      </c>
      <c r="AA336" s="70" t="str">
        <f t="shared" si="138"/>
        <v/>
      </c>
      <c r="AB336" s="70" t="str">
        <f t="shared" si="139"/>
        <v/>
      </c>
      <c r="AC336" s="71" t="str">
        <f t="shared" si="140"/>
        <v/>
      </c>
      <c r="AD336" s="72" t="str">
        <f t="shared" si="141"/>
        <v/>
      </c>
      <c r="AE336" s="73" t="str">
        <f>IF(A336="","",COUNT($N$2:N336))</f>
        <v/>
      </c>
      <c r="AF336" s="74" t="str">
        <f t="shared" si="142"/>
        <v/>
      </c>
      <c r="AG336" s="74" t="str">
        <f t="shared" si="143"/>
        <v/>
      </c>
      <c r="AH336" s="74" t="str">
        <f t="shared" si="144"/>
        <v/>
      </c>
      <c r="AI336" s="74" t="str">
        <f t="shared" si="145"/>
        <v/>
      </c>
      <c r="AJ336" s="74" t="str">
        <f t="shared" si="146"/>
        <v/>
      </c>
      <c r="AK336" s="74" t="str">
        <f>IF(A336="","",1/Tabela1[[#This Row],[ODDC]])</f>
        <v/>
      </c>
      <c r="AL336" s="74" t="str">
        <f>IF(A336="","",1/Tabela1[[#This Row],[ODDE]])</f>
        <v/>
      </c>
      <c r="AM336" s="74" t="str">
        <f>IF(A336="","",1/Tabela1[[#This Row],[ODDV]])</f>
        <v/>
      </c>
      <c r="AN336" s="74" t="str">
        <f>IF(A336="","",1-(Tabela1[[#This Row],[p(H)]]+Tabela1[[#This Row],[p(D)]]+Tabela1[[#This Row],[p(A)]]))</f>
        <v/>
      </c>
      <c r="AO336" s="74" t="str">
        <f>IF(A336="","",IFERROR(Tabela1[[#This Row],[p(H)]]/Tabela1[[#This Row],[FTHG]],1))</f>
        <v/>
      </c>
      <c r="AP336" s="74" t="str">
        <f>IF(A336="","",IFERROR(Tabela1[[#This Row],[p(A)]]/Tabela1[[#This Row],[FTAG]],1))</f>
        <v/>
      </c>
      <c r="AQ336" s="107"/>
      <c r="AR336" s="107"/>
      <c r="AS336" s="107"/>
      <c r="AT336" s="107"/>
      <c r="AU336" s="107"/>
      <c r="AV336" s="107"/>
      <c r="AW336" s="107"/>
      <c r="AX336" s="107"/>
      <c r="AY336" s="107"/>
      <c r="AZ336" s="75"/>
      <c r="BA336" s="75"/>
      <c r="BB336" s="75"/>
      <c r="BC336" s="107"/>
      <c r="BD336" s="107"/>
      <c r="BE336" s="107"/>
      <c r="BF336" s="107"/>
      <c r="BG336" s="107"/>
      <c r="BH336" s="107"/>
      <c r="BI336" s="107"/>
      <c r="BJ336" s="107"/>
      <c r="BK336" s="107"/>
      <c r="BL336" s="107"/>
      <c r="BM336" s="107"/>
      <c r="BN336" s="107"/>
      <c r="BO336" s="107"/>
      <c r="BP336" s="107"/>
      <c r="BQ336" s="107"/>
      <c r="BR336" s="107"/>
      <c r="BS336" s="107"/>
      <c r="BT336" s="107"/>
      <c r="BU336" s="107"/>
      <c r="BV336" s="107"/>
      <c r="BW336" s="107"/>
      <c r="BX336" s="75"/>
      <c r="BY336" s="75"/>
      <c r="BZ336" s="75"/>
      <c r="CA336" s="75"/>
      <c r="CB336" s="75"/>
      <c r="CC336" s="75"/>
      <c r="CD336" s="75"/>
      <c r="CE336" s="102"/>
      <c r="CF336" s="102"/>
      <c r="CG336" s="102"/>
      <c r="CH336" s="102"/>
      <c r="CI336" s="102"/>
      <c r="CJ336" s="102"/>
      <c r="CK336" s="102"/>
      <c r="CL336" s="102"/>
      <c r="CM336" s="102"/>
      <c r="CN336" s="102"/>
      <c r="CO336" s="102"/>
      <c r="CP336" s="102"/>
      <c r="CQ336" s="102"/>
      <c r="CR336" s="102"/>
      <c r="CS336" s="102"/>
      <c r="CT336" s="102"/>
      <c r="CU336" s="102"/>
      <c r="CV336" s="102"/>
      <c r="CW336" s="102"/>
      <c r="CX336" s="102"/>
      <c r="CY336" s="102"/>
      <c r="CZ336" s="102"/>
      <c r="DA336" s="102"/>
      <c r="DB336" s="102"/>
      <c r="DC336" s="102"/>
      <c r="DD336" s="102"/>
      <c r="DE336" s="102"/>
      <c r="DF336" s="102"/>
      <c r="DG336" s="102"/>
      <c r="DH336" s="102"/>
      <c r="DI336" s="102"/>
      <c r="DJ336" s="102"/>
      <c r="DK336" s="102"/>
      <c r="DL336" s="102"/>
      <c r="DM336" s="102"/>
      <c r="DN336" s="102"/>
      <c r="DO336" s="102"/>
      <c r="DP336" s="102"/>
    </row>
    <row r="337" spans="1:120" x14ac:dyDescent="0.25">
      <c r="A337" s="4"/>
      <c r="D337"/>
      <c r="E337"/>
      <c r="F337"/>
      <c r="J337" s="68" t="str">
        <f t="shared" si="126"/>
        <v/>
      </c>
      <c r="K337" s="68" t="str">
        <f t="shared" si="127"/>
        <v/>
      </c>
      <c r="L337" s="69" t="str">
        <f t="shared" si="128"/>
        <v/>
      </c>
      <c r="M337" s="69" t="str">
        <f t="shared" si="129"/>
        <v/>
      </c>
      <c r="N337" s="69" t="str">
        <f>IF(A337="","",Tabela1[[#This Row],[PTC]]*Tabela1[[#This Row],[ODDC]])</f>
        <v/>
      </c>
      <c r="O337" s="69" t="str">
        <f>IF(A337="","",Tabela1[[#This Row],[PTV]]*Tabela1[[#This Row],[ODDV]])</f>
        <v/>
      </c>
      <c r="P337" s="68" t="str">
        <f t="shared" si="130"/>
        <v/>
      </c>
      <c r="Q337" s="68" t="str">
        <f t="shared" si="131"/>
        <v/>
      </c>
      <c r="R337" s="68" t="str">
        <f t="shared" si="132"/>
        <v/>
      </c>
      <c r="S337" s="68" t="str">
        <f t="shared" si="133"/>
        <v/>
      </c>
      <c r="T337" s="68" t="str">
        <f>IF(A337="","",IF(F337="D",Tabela1[[#This Row],[ODDE]]-1,-1))</f>
        <v/>
      </c>
      <c r="U337" s="70" t="str">
        <f>IF(A337="","",IF(AND(Tabela1[[#This Row],[FTHG]]&gt;3,F337="H"),1,0))</f>
        <v/>
      </c>
      <c r="V337" s="70" t="str">
        <f>IF(A337="","",IF(AND(Tabela1[[#This Row],[FTAG]]&gt;3,F337="A"),1,0))</f>
        <v/>
      </c>
      <c r="W337" s="70" t="str">
        <f t="shared" si="134"/>
        <v/>
      </c>
      <c r="X337" s="70" t="str">
        <f t="shared" si="135"/>
        <v/>
      </c>
      <c r="Y337" s="71" t="str">
        <f t="shared" si="136"/>
        <v/>
      </c>
      <c r="Z337" s="70" t="str">
        <f t="shared" si="137"/>
        <v/>
      </c>
      <c r="AA337" s="70" t="str">
        <f t="shared" si="138"/>
        <v/>
      </c>
      <c r="AB337" s="70" t="str">
        <f t="shared" si="139"/>
        <v/>
      </c>
      <c r="AC337" s="71" t="str">
        <f t="shared" si="140"/>
        <v/>
      </c>
      <c r="AD337" s="72" t="str">
        <f t="shared" si="141"/>
        <v/>
      </c>
      <c r="AE337" s="73" t="str">
        <f>IF(A337="","",COUNT($N$2:N337))</f>
        <v/>
      </c>
      <c r="AF337" s="74" t="str">
        <f t="shared" si="142"/>
        <v/>
      </c>
      <c r="AG337" s="74" t="str">
        <f t="shared" si="143"/>
        <v/>
      </c>
      <c r="AH337" s="74" t="str">
        <f t="shared" si="144"/>
        <v/>
      </c>
      <c r="AI337" s="74" t="str">
        <f t="shared" si="145"/>
        <v/>
      </c>
      <c r="AJ337" s="74" t="str">
        <f t="shared" si="146"/>
        <v/>
      </c>
      <c r="AK337" s="74" t="str">
        <f>IF(A337="","",1/Tabela1[[#This Row],[ODDC]])</f>
        <v/>
      </c>
      <c r="AL337" s="74" t="str">
        <f>IF(A337="","",1/Tabela1[[#This Row],[ODDE]])</f>
        <v/>
      </c>
      <c r="AM337" s="74" t="str">
        <f>IF(A337="","",1/Tabela1[[#This Row],[ODDV]])</f>
        <v/>
      </c>
      <c r="AN337" s="74" t="str">
        <f>IF(A337="","",1-(Tabela1[[#This Row],[p(H)]]+Tabela1[[#This Row],[p(D)]]+Tabela1[[#This Row],[p(A)]]))</f>
        <v/>
      </c>
      <c r="AO337" s="74" t="str">
        <f>IF(A337="","",IFERROR(Tabela1[[#This Row],[p(H)]]/Tabela1[[#This Row],[FTHG]],1))</f>
        <v/>
      </c>
      <c r="AP337" s="74" t="str">
        <f>IF(A337="","",IFERROR(Tabela1[[#This Row],[p(A)]]/Tabela1[[#This Row],[FTAG]],1))</f>
        <v/>
      </c>
      <c r="AQ337" s="107"/>
      <c r="AR337" s="107"/>
      <c r="AS337" s="107"/>
      <c r="AT337" s="107"/>
      <c r="AU337" s="107"/>
      <c r="AV337" s="107"/>
      <c r="AW337" s="107"/>
      <c r="AX337" s="107"/>
      <c r="AY337" s="107"/>
      <c r="AZ337" s="75"/>
      <c r="BA337" s="75"/>
      <c r="BB337" s="75"/>
      <c r="BC337" s="107"/>
      <c r="BD337" s="107"/>
      <c r="BE337" s="107"/>
      <c r="BF337" s="107"/>
      <c r="BG337" s="107"/>
      <c r="BH337" s="107"/>
      <c r="BI337" s="107"/>
      <c r="BJ337" s="107"/>
      <c r="BK337" s="107"/>
      <c r="BL337" s="107"/>
      <c r="BM337" s="107"/>
      <c r="BN337" s="107"/>
      <c r="BO337" s="107"/>
      <c r="BP337" s="107"/>
      <c r="BQ337" s="107"/>
      <c r="BR337" s="107"/>
      <c r="BS337" s="107"/>
      <c r="BT337" s="107"/>
      <c r="BU337" s="107"/>
      <c r="BV337" s="107"/>
      <c r="BW337" s="107"/>
      <c r="BX337" s="75"/>
      <c r="BY337" s="75"/>
      <c r="BZ337" s="75"/>
      <c r="CA337" s="75"/>
      <c r="CB337" s="75"/>
      <c r="CC337" s="75"/>
      <c r="CD337" s="75"/>
      <c r="CE337" s="102"/>
      <c r="CF337" s="102"/>
      <c r="CG337" s="102"/>
      <c r="CH337" s="102"/>
      <c r="CI337" s="102"/>
      <c r="CJ337" s="102"/>
      <c r="CK337" s="102"/>
      <c r="CL337" s="102"/>
      <c r="CM337" s="102"/>
      <c r="CN337" s="102"/>
      <c r="CO337" s="102"/>
      <c r="CP337" s="102"/>
      <c r="CQ337" s="102"/>
      <c r="CR337" s="102"/>
      <c r="CS337" s="102"/>
      <c r="CT337" s="102"/>
      <c r="CU337" s="102"/>
      <c r="CV337" s="102"/>
      <c r="CW337" s="102"/>
      <c r="CX337" s="102"/>
      <c r="CY337" s="102"/>
      <c r="CZ337" s="102"/>
      <c r="DA337" s="102"/>
      <c r="DB337" s="102"/>
      <c r="DC337" s="102"/>
      <c r="DD337" s="102"/>
      <c r="DE337" s="102"/>
      <c r="DF337" s="102"/>
      <c r="DG337" s="102"/>
      <c r="DH337" s="102"/>
      <c r="DI337" s="102"/>
      <c r="DJ337" s="102"/>
      <c r="DK337" s="102"/>
      <c r="DL337" s="102"/>
      <c r="DM337" s="102"/>
      <c r="DN337" s="102"/>
      <c r="DO337" s="102"/>
      <c r="DP337" s="102"/>
    </row>
    <row r="338" spans="1:120" x14ac:dyDescent="0.25">
      <c r="A338" s="4"/>
      <c r="D338"/>
      <c r="E338"/>
      <c r="F338"/>
      <c r="J338" s="68" t="str">
        <f t="shared" si="126"/>
        <v/>
      </c>
      <c r="K338" s="68" t="str">
        <f t="shared" si="127"/>
        <v/>
      </c>
      <c r="L338" s="69" t="str">
        <f t="shared" si="128"/>
        <v/>
      </c>
      <c r="M338" s="69" t="str">
        <f t="shared" si="129"/>
        <v/>
      </c>
      <c r="N338" s="69" t="str">
        <f>IF(A338="","",Tabela1[[#This Row],[PTC]]*Tabela1[[#This Row],[ODDC]])</f>
        <v/>
      </c>
      <c r="O338" s="69" t="str">
        <f>IF(A338="","",Tabela1[[#This Row],[PTV]]*Tabela1[[#This Row],[ODDV]])</f>
        <v/>
      </c>
      <c r="P338" s="68" t="str">
        <f t="shared" si="130"/>
        <v/>
      </c>
      <c r="Q338" s="68" t="str">
        <f t="shared" si="131"/>
        <v/>
      </c>
      <c r="R338" s="68" t="str">
        <f t="shared" si="132"/>
        <v/>
      </c>
      <c r="S338" s="68" t="str">
        <f t="shared" si="133"/>
        <v/>
      </c>
      <c r="T338" s="68" t="str">
        <f>IF(A338="","",IF(F338="D",Tabela1[[#This Row],[ODDE]]-1,-1))</f>
        <v/>
      </c>
      <c r="U338" s="70" t="str">
        <f>IF(A338="","",IF(AND(Tabela1[[#This Row],[FTHG]]&gt;3,F338="H"),1,0))</f>
        <v/>
      </c>
      <c r="V338" s="70" t="str">
        <f>IF(A338="","",IF(AND(Tabela1[[#This Row],[FTAG]]&gt;3,F338="A"),1,0))</f>
        <v/>
      </c>
      <c r="W338" s="70" t="str">
        <f t="shared" si="134"/>
        <v/>
      </c>
      <c r="X338" s="70" t="str">
        <f t="shared" si="135"/>
        <v/>
      </c>
      <c r="Y338" s="71" t="str">
        <f t="shared" si="136"/>
        <v/>
      </c>
      <c r="Z338" s="70" t="str">
        <f t="shared" si="137"/>
        <v/>
      </c>
      <c r="AA338" s="70" t="str">
        <f t="shared" si="138"/>
        <v/>
      </c>
      <c r="AB338" s="70" t="str">
        <f t="shared" si="139"/>
        <v/>
      </c>
      <c r="AC338" s="71" t="str">
        <f t="shared" si="140"/>
        <v/>
      </c>
      <c r="AD338" s="72" t="str">
        <f t="shared" si="141"/>
        <v/>
      </c>
      <c r="AE338" s="73" t="str">
        <f>IF(A338="","",COUNT($N$2:N338))</f>
        <v/>
      </c>
      <c r="AF338" s="74" t="str">
        <f t="shared" si="142"/>
        <v/>
      </c>
      <c r="AG338" s="74" t="str">
        <f t="shared" si="143"/>
        <v/>
      </c>
      <c r="AH338" s="74" t="str">
        <f t="shared" si="144"/>
        <v/>
      </c>
      <c r="AI338" s="74" t="str">
        <f t="shared" si="145"/>
        <v/>
      </c>
      <c r="AJ338" s="74" t="str">
        <f t="shared" si="146"/>
        <v/>
      </c>
      <c r="AK338" s="74" t="str">
        <f>IF(A338="","",1/Tabela1[[#This Row],[ODDC]])</f>
        <v/>
      </c>
      <c r="AL338" s="74" t="str">
        <f>IF(A338="","",1/Tabela1[[#This Row],[ODDE]])</f>
        <v/>
      </c>
      <c r="AM338" s="74" t="str">
        <f>IF(A338="","",1/Tabela1[[#This Row],[ODDV]])</f>
        <v/>
      </c>
      <c r="AN338" s="74" t="str">
        <f>IF(A338="","",1-(Tabela1[[#This Row],[p(H)]]+Tabela1[[#This Row],[p(D)]]+Tabela1[[#This Row],[p(A)]]))</f>
        <v/>
      </c>
      <c r="AO338" s="74" t="str">
        <f>IF(A338="","",IFERROR(Tabela1[[#This Row],[p(H)]]/Tabela1[[#This Row],[FTHG]],1))</f>
        <v/>
      </c>
      <c r="AP338" s="74" t="str">
        <f>IF(A338="","",IFERROR(Tabela1[[#This Row],[p(A)]]/Tabela1[[#This Row],[FTAG]],1))</f>
        <v/>
      </c>
      <c r="AQ338" s="107"/>
      <c r="AR338" s="107"/>
      <c r="AS338" s="107"/>
      <c r="AT338" s="107"/>
      <c r="AU338" s="107"/>
      <c r="AV338" s="107"/>
      <c r="AW338" s="107"/>
      <c r="AX338" s="107"/>
      <c r="AY338" s="107"/>
      <c r="AZ338" s="75"/>
      <c r="BA338" s="75"/>
      <c r="BB338" s="75"/>
      <c r="BC338" s="107"/>
      <c r="BD338" s="107"/>
      <c r="BE338" s="107"/>
      <c r="BF338" s="107"/>
      <c r="BG338" s="107"/>
      <c r="BH338" s="107"/>
      <c r="BI338" s="107"/>
      <c r="BJ338" s="107"/>
      <c r="BK338" s="107"/>
      <c r="BL338" s="107"/>
      <c r="BM338" s="107"/>
      <c r="BN338" s="107"/>
      <c r="BO338" s="107"/>
      <c r="BP338" s="107"/>
      <c r="BQ338" s="107"/>
      <c r="BR338" s="107"/>
      <c r="BS338" s="107"/>
      <c r="BT338" s="107"/>
      <c r="BU338" s="107"/>
      <c r="BV338" s="107"/>
      <c r="BW338" s="107"/>
      <c r="BX338" s="75"/>
      <c r="BY338" s="75"/>
      <c r="BZ338" s="75"/>
      <c r="CA338" s="75"/>
      <c r="CB338" s="75"/>
      <c r="CC338" s="75"/>
      <c r="CD338" s="75"/>
      <c r="CE338" s="102"/>
      <c r="CF338" s="102"/>
      <c r="CG338" s="102"/>
      <c r="CH338" s="102"/>
      <c r="CI338" s="102"/>
      <c r="CJ338" s="102"/>
      <c r="CK338" s="102"/>
      <c r="CL338" s="102"/>
      <c r="CM338" s="102"/>
      <c r="CN338" s="102"/>
      <c r="CO338" s="102"/>
      <c r="CP338" s="102"/>
      <c r="CQ338" s="102"/>
      <c r="CR338" s="102"/>
      <c r="CS338" s="102"/>
      <c r="CT338" s="102"/>
      <c r="CU338" s="102"/>
      <c r="CV338" s="102"/>
      <c r="CW338" s="102"/>
      <c r="CX338" s="102"/>
      <c r="CY338" s="102"/>
      <c r="CZ338" s="102"/>
      <c r="DA338" s="102"/>
      <c r="DB338" s="102"/>
      <c r="DC338" s="102"/>
      <c r="DD338" s="102"/>
      <c r="DE338" s="102"/>
      <c r="DF338" s="102"/>
      <c r="DG338" s="102"/>
      <c r="DH338" s="102"/>
      <c r="DI338" s="102"/>
      <c r="DJ338" s="102"/>
      <c r="DK338" s="102"/>
      <c r="DL338" s="102"/>
      <c r="DM338" s="102"/>
      <c r="DN338" s="102"/>
      <c r="DO338" s="102"/>
      <c r="DP338" s="102"/>
    </row>
    <row r="339" spans="1:120" x14ac:dyDescent="0.25">
      <c r="A339" s="4"/>
      <c r="D339"/>
      <c r="E339"/>
      <c r="F339"/>
      <c r="J339" s="68" t="str">
        <f t="shared" si="126"/>
        <v/>
      </c>
      <c r="K339" s="68" t="str">
        <f t="shared" si="127"/>
        <v/>
      </c>
      <c r="L339" s="69" t="str">
        <f t="shared" si="128"/>
        <v/>
      </c>
      <c r="M339" s="69" t="str">
        <f t="shared" si="129"/>
        <v/>
      </c>
      <c r="N339" s="69" t="str">
        <f>IF(A339="","",Tabela1[[#This Row],[PTC]]*Tabela1[[#This Row],[ODDC]])</f>
        <v/>
      </c>
      <c r="O339" s="69" t="str">
        <f>IF(A339="","",Tabela1[[#This Row],[PTV]]*Tabela1[[#This Row],[ODDV]])</f>
        <v/>
      </c>
      <c r="P339" s="68" t="str">
        <f t="shared" si="130"/>
        <v/>
      </c>
      <c r="Q339" s="68" t="str">
        <f t="shared" si="131"/>
        <v/>
      </c>
      <c r="R339" s="68" t="str">
        <f t="shared" si="132"/>
        <v/>
      </c>
      <c r="S339" s="68" t="str">
        <f t="shared" si="133"/>
        <v/>
      </c>
      <c r="T339" s="68" t="str">
        <f>IF(A339="","",IF(F339="D",Tabela1[[#This Row],[ODDE]]-1,-1))</f>
        <v/>
      </c>
      <c r="U339" s="70" t="str">
        <f>IF(A339="","",IF(AND(Tabela1[[#This Row],[FTHG]]&gt;3,F339="H"),1,0))</f>
        <v/>
      </c>
      <c r="V339" s="70" t="str">
        <f>IF(A339="","",IF(AND(Tabela1[[#This Row],[FTAG]]&gt;3,F339="A"),1,0))</f>
        <v/>
      </c>
      <c r="W339" s="70" t="str">
        <f t="shared" si="134"/>
        <v/>
      </c>
      <c r="X339" s="70" t="str">
        <f t="shared" si="135"/>
        <v/>
      </c>
      <c r="Y339" s="71" t="str">
        <f t="shared" si="136"/>
        <v/>
      </c>
      <c r="Z339" s="70" t="str">
        <f t="shared" si="137"/>
        <v/>
      </c>
      <c r="AA339" s="70" t="str">
        <f t="shared" si="138"/>
        <v/>
      </c>
      <c r="AB339" s="70" t="str">
        <f t="shared" si="139"/>
        <v/>
      </c>
      <c r="AC339" s="71" t="str">
        <f t="shared" si="140"/>
        <v/>
      </c>
      <c r="AD339" s="72" t="str">
        <f t="shared" si="141"/>
        <v/>
      </c>
      <c r="AE339" s="73" t="str">
        <f>IF(A339="","",COUNT($N$2:N339))</f>
        <v/>
      </c>
      <c r="AF339" s="74" t="str">
        <f t="shared" si="142"/>
        <v/>
      </c>
      <c r="AG339" s="74" t="str">
        <f t="shared" si="143"/>
        <v/>
      </c>
      <c r="AH339" s="74" t="str">
        <f t="shared" si="144"/>
        <v/>
      </c>
      <c r="AI339" s="74" t="str">
        <f t="shared" si="145"/>
        <v/>
      </c>
      <c r="AJ339" s="74" t="str">
        <f t="shared" si="146"/>
        <v/>
      </c>
      <c r="AK339" s="74" t="str">
        <f>IF(A339="","",1/Tabela1[[#This Row],[ODDC]])</f>
        <v/>
      </c>
      <c r="AL339" s="74" t="str">
        <f>IF(A339="","",1/Tabela1[[#This Row],[ODDE]])</f>
        <v/>
      </c>
      <c r="AM339" s="74" t="str">
        <f>IF(A339="","",1/Tabela1[[#This Row],[ODDV]])</f>
        <v/>
      </c>
      <c r="AN339" s="74" t="str">
        <f>IF(A339="","",1-(Tabela1[[#This Row],[p(H)]]+Tabela1[[#This Row],[p(D)]]+Tabela1[[#This Row],[p(A)]]))</f>
        <v/>
      </c>
      <c r="AO339" s="74" t="str">
        <f>IF(A339="","",IFERROR(Tabela1[[#This Row],[p(H)]]/Tabela1[[#This Row],[FTHG]],1))</f>
        <v/>
      </c>
      <c r="AP339" s="74" t="str">
        <f>IF(A339="","",IFERROR(Tabela1[[#This Row],[p(A)]]/Tabela1[[#This Row],[FTAG]],1))</f>
        <v/>
      </c>
      <c r="AQ339" s="107"/>
      <c r="AR339" s="107"/>
      <c r="AS339" s="107"/>
      <c r="AT339" s="107"/>
      <c r="AU339" s="107"/>
      <c r="AV339" s="107"/>
      <c r="AW339" s="107"/>
      <c r="AX339" s="107"/>
      <c r="AY339" s="107"/>
      <c r="AZ339" s="75"/>
      <c r="BA339" s="75"/>
      <c r="BB339" s="75"/>
      <c r="BC339" s="107"/>
      <c r="BD339" s="107"/>
      <c r="BE339" s="107"/>
      <c r="BF339" s="107"/>
      <c r="BG339" s="107"/>
      <c r="BH339" s="107"/>
      <c r="BI339" s="107"/>
      <c r="BJ339" s="107"/>
      <c r="BK339" s="107"/>
      <c r="BL339" s="107"/>
      <c r="BM339" s="107"/>
      <c r="BN339" s="107"/>
      <c r="BO339" s="107"/>
      <c r="BP339" s="107"/>
      <c r="BQ339" s="107"/>
      <c r="BR339" s="107"/>
      <c r="BS339" s="107"/>
      <c r="BT339" s="107"/>
      <c r="BU339" s="107"/>
      <c r="BV339" s="107"/>
      <c r="BW339" s="107"/>
      <c r="BX339" s="75"/>
      <c r="BY339" s="75"/>
      <c r="BZ339" s="75"/>
      <c r="CA339" s="75"/>
      <c r="CB339" s="75"/>
      <c r="CC339" s="75"/>
      <c r="CD339" s="75"/>
      <c r="CE339" s="102"/>
      <c r="CF339" s="102"/>
      <c r="CG339" s="102"/>
      <c r="CH339" s="102"/>
      <c r="CI339" s="102"/>
      <c r="CJ339" s="102"/>
      <c r="CK339" s="102"/>
      <c r="CL339" s="102"/>
      <c r="CM339" s="102"/>
      <c r="CN339" s="102"/>
      <c r="CO339" s="102"/>
      <c r="CP339" s="102"/>
      <c r="CQ339" s="102"/>
      <c r="CR339" s="102"/>
      <c r="CS339" s="102"/>
      <c r="CT339" s="102"/>
      <c r="CU339" s="102"/>
      <c r="CV339" s="102"/>
      <c r="CW339" s="102"/>
      <c r="CX339" s="102"/>
      <c r="CY339" s="102"/>
      <c r="CZ339" s="102"/>
      <c r="DA339" s="102"/>
      <c r="DB339" s="102"/>
      <c r="DC339" s="102"/>
      <c r="DD339" s="102"/>
      <c r="DE339" s="102"/>
      <c r="DF339" s="102"/>
      <c r="DG339" s="102"/>
      <c r="DH339" s="102"/>
      <c r="DI339" s="102"/>
      <c r="DJ339" s="102"/>
      <c r="DK339" s="102"/>
      <c r="DL339" s="102"/>
      <c r="DM339" s="102"/>
      <c r="DN339" s="102"/>
      <c r="DO339" s="102"/>
      <c r="DP339" s="102"/>
    </row>
    <row r="340" spans="1:120" x14ac:dyDescent="0.25">
      <c r="A340" s="4"/>
      <c r="D340"/>
      <c r="E340"/>
      <c r="F340"/>
      <c r="J340" s="68" t="str">
        <f t="shared" si="126"/>
        <v/>
      </c>
      <c r="K340" s="68" t="str">
        <f t="shared" si="127"/>
        <v/>
      </c>
      <c r="L340" s="69" t="str">
        <f t="shared" si="128"/>
        <v/>
      </c>
      <c r="M340" s="69" t="str">
        <f t="shared" si="129"/>
        <v/>
      </c>
      <c r="N340" s="69" t="str">
        <f>IF(A340="","",Tabela1[[#This Row],[PTC]]*Tabela1[[#This Row],[ODDC]])</f>
        <v/>
      </c>
      <c r="O340" s="69" t="str">
        <f>IF(A340="","",Tabela1[[#This Row],[PTV]]*Tabela1[[#This Row],[ODDV]])</f>
        <v/>
      </c>
      <c r="P340" s="68" t="str">
        <f t="shared" si="130"/>
        <v/>
      </c>
      <c r="Q340" s="68" t="str">
        <f t="shared" si="131"/>
        <v/>
      </c>
      <c r="R340" s="68" t="str">
        <f t="shared" si="132"/>
        <v/>
      </c>
      <c r="S340" s="68" t="str">
        <f t="shared" si="133"/>
        <v/>
      </c>
      <c r="T340" s="68" t="str">
        <f>IF(A340="","",IF(F340="D",Tabela1[[#This Row],[ODDE]]-1,-1))</f>
        <v/>
      </c>
      <c r="U340" s="70" t="str">
        <f>IF(A340="","",IF(AND(Tabela1[[#This Row],[FTHG]]&gt;3,F340="H"),1,0))</f>
        <v/>
      </c>
      <c r="V340" s="70" t="str">
        <f>IF(A340="","",IF(AND(Tabela1[[#This Row],[FTAG]]&gt;3,F340="A"),1,0))</f>
        <v/>
      </c>
      <c r="W340" s="70" t="str">
        <f t="shared" si="134"/>
        <v/>
      </c>
      <c r="X340" s="70" t="str">
        <f t="shared" si="135"/>
        <v/>
      </c>
      <c r="Y340" s="71" t="str">
        <f t="shared" si="136"/>
        <v/>
      </c>
      <c r="Z340" s="70" t="str">
        <f t="shared" si="137"/>
        <v/>
      </c>
      <c r="AA340" s="70" t="str">
        <f t="shared" si="138"/>
        <v/>
      </c>
      <c r="AB340" s="70" t="str">
        <f t="shared" si="139"/>
        <v/>
      </c>
      <c r="AC340" s="71" t="str">
        <f t="shared" si="140"/>
        <v/>
      </c>
      <c r="AD340" s="72" t="str">
        <f t="shared" si="141"/>
        <v/>
      </c>
      <c r="AE340" s="73" t="str">
        <f>IF(A340="","",COUNT($N$2:N340))</f>
        <v/>
      </c>
      <c r="AF340" s="74" t="str">
        <f t="shared" si="142"/>
        <v/>
      </c>
      <c r="AG340" s="74" t="str">
        <f t="shared" si="143"/>
        <v/>
      </c>
      <c r="AH340" s="74" t="str">
        <f t="shared" si="144"/>
        <v/>
      </c>
      <c r="AI340" s="74" t="str">
        <f t="shared" si="145"/>
        <v/>
      </c>
      <c r="AJ340" s="74" t="str">
        <f t="shared" si="146"/>
        <v/>
      </c>
      <c r="AK340" s="74" t="str">
        <f>IF(A340="","",1/Tabela1[[#This Row],[ODDC]])</f>
        <v/>
      </c>
      <c r="AL340" s="74" t="str">
        <f>IF(A340="","",1/Tabela1[[#This Row],[ODDE]])</f>
        <v/>
      </c>
      <c r="AM340" s="74" t="str">
        <f>IF(A340="","",1/Tabela1[[#This Row],[ODDV]])</f>
        <v/>
      </c>
      <c r="AN340" s="74" t="str">
        <f>IF(A340="","",1-(Tabela1[[#This Row],[p(H)]]+Tabela1[[#This Row],[p(D)]]+Tabela1[[#This Row],[p(A)]]))</f>
        <v/>
      </c>
      <c r="AO340" s="74" t="str">
        <f>IF(A340="","",IFERROR(Tabela1[[#This Row],[p(H)]]/Tabela1[[#This Row],[FTHG]],1))</f>
        <v/>
      </c>
      <c r="AP340" s="74" t="str">
        <f>IF(A340="","",IFERROR(Tabela1[[#This Row],[p(A)]]/Tabela1[[#This Row],[FTAG]],1))</f>
        <v/>
      </c>
      <c r="AQ340" s="107"/>
      <c r="AR340" s="107"/>
      <c r="AS340" s="107"/>
      <c r="AT340" s="107"/>
      <c r="AU340" s="107"/>
      <c r="AV340" s="107"/>
      <c r="AW340" s="107"/>
      <c r="AX340" s="107"/>
      <c r="AY340" s="107"/>
      <c r="AZ340" s="75"/>
      <c r="BA340" s="75"/>
      <c r="BB340" s="75"/>
      <c r="BC340" s="107"/>
      <c r="BD340" s="107"/>
      <c r="BE340" s="107"/>
      <c r="BF340" s="107"/>
      <c r="BG340" s="107"/>
      <c r="BH340" s="107"/>
      <c r="BI340" s="107"/>
      <c r="BJ340" s="107"/>
      <c r="BK340" s="107"/>
      <c r="BL340" s="107"/>
      <c r="BM340" s="107"/>
      <c r="BN340" s="107"/>
      <c r="BO340" s="107"/>
      <c r="BP340" s="107"/>
      <c r="BQ340" s="107"/>
      <c r="BR340" s="107"/>
      <c r="BS340" s="107"/>
      <c r="BT340" s="107"/>
      <c r="BU340" s="107"/>
      <c r="BV340" s="107"/>
      <c r="BW340" s="107"/>
      <c r="BX340" s="75"/>
      <c r="BY340" s="75"/>
      <c r="BZ340" s="75"/>
      <c r="CA340" s="75"/>
      <c r="CB340" s="75"/>
      <c r="CC340" s="75"/>
      <c r="CD340" s="75"/>
      <c r="CE340" s="102"/>
      <c r="CF340" s="102"/>
      <c r="CG340" s="102"/>
      <c r="CH340" s="102"/>
      <c r="CI340" s="102"/>
      <c r="CJ340" s="102"/>
      <c r="CK340" s="102"/>
      <c r="CL340" s="102"/>
      <c r="CM340" s="102"/>
      <c r="CN340" s="102"/>
      <c r="CO340" s="102"/>
      <c r="CP340" s="102"/>
      <c r="CQ340" s="102"/>
      <c r="CR340" s="102"/>
      <c r="CS340" s="102"/>
      <c r="CT340" s="102"/>
      <c r="CU340" s="102"/>
      <c r="CV340" s="102"/>
      <c r="CW340" s="102"/>
      <c r="CX340" s="102"/>
      <c r="CY340" s="102"/>
      <c r="CZ340" s="102"/>
      <c r="DA340" s="102"/>
      <c r="DB340" s="102"/>
      <c r="DC340" s="102"/>
      <c r="DD340" s="102"/>
      <c r="DE340" s="102"/>
      <c r="DF340" s="102"/>
      <c r="DG340" s="102"/>
      <c r="DH340" s="102"/>
      <c r="DI340" s="102"/>
      <c r="DJ340" s="102"/>
      <c r="DK340" s="102"/>
      <c r="DL340" s="102"/>
      <c r="DM340" s="102"/>
      <c r="DN340" s="102"/>
      <c r="DO340" s="102"/>
      <c r="DP340" s="102"/>
    </row>
    <row r="341" spans="1:120" x14ac:dyDescent="0.25">
      <c r="A341" s="4"/>
      <c r="D341"/>
      <c r="E341"/>
      <c r="F341"/>
      <c r="J341" s="68" t="str">
        <f t="shared" si="126"/>
        <v/>
      </c>
      <c r="K341" s="68" t="str">
        <f t="shared" si="127"/>
        <v/>
      </c>
      <c r="L341" s="69" t="str">
        <f t="shared" si="128"/>
        <v/>
      </c>
      <c r="M341" s="69" t="str">
        <f t="shared" si="129"/>
        <v/>
      </c>
      <c r="N341" s="69" t="str">
        <f>IF(A341="","",Tabela1[[#This Row],[PTC]]*Tabela1[[#This Row],[ODDC]])</f>
        <v/>
      </c>
      <c r="O341" s="69" t="str">
        <f>IF(A341="","",Tabela1[[#This Row],[PTV]]*Tabela1[[#This Row],[ODDV]])</f>
        <v/>
      </c>
      <c r="P341" s="68" t="str">
        <f t="shared" si="130"/>
        <v/>
      </c>
      <c r="Q341" s="68" t="str">
        <f t="shared" si="131"/>
        <v/>
      </c>
      <c r="R341" s="68" t="str">
        <f t="shared" si="132"/>
        <v/>
      </c>
      <c r="S341" s="68" t="str">
        <f t="shared" si="133"/>
        <v/>
      </c>
      <c r="T341" s="68" t="str">
        <f>IF(A341="","",IF(F341="D",Tabela1[[#This Row],[ODDE]]-1,-1))</f>
        <v/>
      </c>
      <c r="U341" s="70" t="str">
        <f>IF(A341="","",IF(AND(Tabela1[[#This Row],[FTHG]]&gt;3,F341="H"),1,0))</f>
        <v/>
      </c>
      <c r="V341" s="70" t="str">
        <f>IF(A341="","",IF(AND(Tabela1[[#This Row],[FTAG]]&gt;3,F341="A"),1,0))</f>
        <v/>
      </c>
      <c r="W341" s="70" t="str">
        <f t="shared" si="134"/>
        <v/>
      </c>
      <c r="X341" s="70" t="str">
        <f t="shared" si="135"/>
        <v/>
      </c>
      <c r="Y341" s="71" t="str">
        <f t="shared" si="136"/>
        <v/>
      </c>
      <c r="Z341" s="70" t="str">
        <f t="shared" si="137"/>
        <v/>
      </c>
      <c r="AA341" s="70" t="str">
        <f t="shared" si="138"/>
        <v/>
      </c>
      <c r="AB341" s="70" t="str">
        <f t="shared" si="139"/>
        <v/>
      </c>
      <c r="AC341" s="71" t="str">
        <f t="shared" si="140"/>
        <v/>
      </c>
      <c r="AD341" s="72" t="str">
        <f t="shared" si="141"/>
        <v/>
      </c>
      <c r="AE341" s="73" t="str">
        <f>IF(A341="","",COUNT($N$2:N341))</f>
        <v/>
      </c>
      <c r="AF341" s="74" t="str">
        <f t="shared" si="142"/>
        <v/>
      </c>
      <c r="AG341" s="74" t="str">
        <f t="shared" si="143"/>
        <v/>
      </c>
      <c r="AH341" s="74" t="str">
        <f t="shared" si="144"/>
        <v/>
      </c>
      <c r="AI341" s="74" t="str">
        <f t="shared" si="145"/>
        <v/>
      </c>
      <c r="AJ341" s="74" t="str">
        <f t="shared" si="146"/>
        <v/>
      </c>
      <c r="AK341" s="74" t="str">
        <f>IF(A341="","",1/Tabela1[[#This Row],[ODDC]])</f>
        <v/>
      </c>
      <c r="AL341" s="74" t="str">
        <f>IF(A341="","",1/Tabela1[[#This Row],[ODDE]])</f>
        <v/>
      </c>
      <c r="AM341" s="74" t="str">
        <f>IF(A341="","",1/Tabela1[[#This Row],[ODDV]])</f>
        <v/>
      </c>
      <c r="AN341" s="74" t="str">
        <f>IF(A341="","",1-(Tabela1[[#This Row],[p(H)]]+Tabela1[[#This Row],[p(D)]]+Tabela1[[#This Row],[p(A)]]))</f>
        <v/>
      </c>
      <c r="AO341" s="74" t="str">
        <f>IF(A341="","",IFERROR(Tabela1[[#This Row],[p(H)]]/Tabela1[[#This Row],[FTHG]],1))</f>
        <v/>
      </c>
      <c r="AP341" s="74" t="str">
        <f>IF(A341="","",IFERROR(Tabela1[[#This Row],[p(A)]]/Tabela1[[#This Row],[FTAG]],1))</f>
        <v/>
      </c>
      <c r="AQ341" s="107"/>
      <c r="AR341" s="107"/>
      <c r="AS341" s="107"/>
      <c r="AT341" s="107"/>
      <c r="AU341" s="107"/>
      <c r="AV341" s="107"/>
      <c r="AW341" s="107"/>
      <c r="AX341" s="107"/>
      <c r="AY341" s="107"/>
      <c r="AZ341" s="75"/>
      <c r="BA341" s="75"/>
      <c r="BB341" s="75"/>
      <c r="BC341" s="107"/>
      <c r="BD341" s="107"/>
      <c r="BE341" s="107"/>
      <c r="BF341" s="107"/>
      <c r="BG341" s="107"/>
      <c r="BH341" s="107"/>
      <c r="BI341" s="107"/>
      <c r="BJ341" s="107"/>
      <c r="BK341" s="107"/>
      <c r="BL341" s="107"/>
      <c r="BM341" s="107"/>
      <c r="BN341" s="107"/>
      <c r="BO341" s="107"/>
      <c r="BP341" s="107"/>
      <c r="BQ341" s="107"/>
      <c r="BR341" s="107"/>
      <c r="BS341" s="107"/>
      <c r="BT341" s="107"/>
      <c r="BU341" s="107"/>
      <c r="BV341" s="107"/>
      <c r="BW341" s="107"/>
      <c r="BX341" s="75"/>
      <c r="BY341" s="75"/>
      <c r="BZ341" s="75"/>
      <c r="CA341" s="75"/>
      <c r="CB341" s="75"/>
      <c r="CC341" s="75"/>
      <c r="CD341" s="75"/>
      <c r="CE341" s="102"/>
      <c r="CF341" s="102"/>
      <c r="CG341" s="102"/>
      <c r="CH341" s="102"/>
      <c r="CI341" s="102"/>
      <c r="CJ341" s="102"/>
      <c r="CK341" s="102"/>
      <c r="CL341" s="102"/>
      <c r="CM341" s="102"/>
      <c r="CN341" s="102"/>
      <c r="CO341" s="102"/>
      <c r="CP341" s="102"/>
      <c r="CQ341" s="102"/>
      <c r="CR341" s="102"/>
      <c r="CS341" s="102"/>
      <c r="CT341" s="102"/>
      <c r="CU341" s="102"/>
      <c r="CV341" s="102"/>
      <c r="CW341" s="102"/>
      <c r="CX341" s="102"/>
      <c r="CY341" s="102"/>
      <c r="CZ341" s="102"/>
      <c r="DA341" s="102"/>
      <c r="DB341" s="102"/>
      <c r="DC341" s="102"/>
      <c r="DD341" s="102"/>
      <c r="DE341" s="102"/>
      <c r="DF341" s="102"/>
      <c r="DG341" s="102"/>
      <c r="DH341" s="102"/>
      <c r="DI341" s="102"/>
      <c r="DJ341" s="102"/>
      <c r="DK341" s="102"/>
      <c r="DL341" s="102"/>
      <c r="DM341" s="102"/>
      <c r="DN341" s="102"/>
      <c r="DO341" s="102"/>
      <c r="DP341" s="102"/>
    </row>
    <row r="342" spans="1:120" x14ac:dyDescent="0.25">
      <c r="A342" s="4"/>
      <c r="D342"/>
      <c r="E342"/>
      <c r="F342"/>
      <c r="J342" s="68" t="str">
        <f t="shared" si="126"/>
        <v/>
      </c>
      <c r="K342" s="68" t="str">
        <f t="shared" si="127"/>
        <v/>
      </c>
      <c r="L342" s="69" t="str">
        <f t="shared" si="128"/>
        <v/>
      </c>
      <c r="M342" s="69" t="str">
        <f t="shared" si="129"/>
        <v/>
      </c>
      <c r="N342" s="69" t="str">
        <f>IF(A342="","",Tabela1[[#This Row],[PTC]]*Tabela1[[#This Row],[ODDC]])</f>
        <v/>
      </c>
      <c r="O342" s="69" t="str">
        <f>IF(A342="","",Tabela1[[#This Row],[PTV]]*Tabela1[[#This Row],[ODDV]])</f>
        <v/>
      </c>
      <c r="P342" s="68" t="str">
        <f t="shared" si="130"/>
        <v/>
      </c>
      <c r="Q342" s="68" t="str">
        <f t="shared" si="131"/>
        <v/>
      </c>
      <c r="R342" s="68" t="str">
        <f t="shared" si="132"/>
        <v/>
      </c>
      <c r="S342" s="68" t="str">
        <f t="shared" si="133"/>
        <v/>
      </c>
      <c r="T342" s="68" t="str">
        <f>IF(A342="","",IF(F342="D",Tabela1[[#This Row],[ODDE]]-1,-1))</f>
        <v/>
      </c>
      <c r="U342" s="70" t="str">
        <f>IF(A342="","",IF(AND(Tabela1[[#This Row],[FTHG]]&gt;3,F342="H"),1,0))</f>
        <v/>
      </c>
      <c r="V342" s="70" t="str">
        <f>IF(A342="","",IF(AND(Tabela1[[#This Row],[FTAG]]&gt;3,F342="A"),1,0))</f>
        <v/>
      </c>
      <c r="W342" s="70" t="str">
        <f t="shared" si="134"/>
        <v/>
      </c>
      <c r="X342" s="70" t="str">
        <f t="shared" si="135"/>
        <v/>
      </c>
      <c r="Y342" s="71" t="str">
        <f t="shared" si="136"/>
        <v/>
      </c>
      <c r="Z342" s="70" t="str">
        <f t="shared" si="137"/>
        <v/>
      </c>
      <c r="AA342" s="70" t="str">
        <f t="shared" si="138"/>
        <v/>
      </c>
      <c r="AB342" s="70" t="str">
        <f t="shared" si="139"/>
        <v/>
      </c>
      <c r="AC342" s="71" t="str">
        <f t="shared" si="140"/>
        <v/>
      </c>
      <c r="AD342" s="72" t="str">
        <f t="shared" si="141"/>
        <v/>
      </c>
      <c r="AE342" s="73" t="str">
        <f>IF(A342="","",COUNT($N$2:N342))</f>
        <v/>
      </c>
      <c r="AF342" s="74" t="str">
        <f t="shared" si="142"/>
        <v/>
      </c>
      <c r="AG342" s="74" t="str">
        <f t="shared" si="143"/>
        <v/>
      </c>
      <c r="AH342" s="74" t="str">
        <f t="shared" si="144"/>
        <v/>
      </c>
      <c r="AI342" s="74" t="str">
        <f t="shared" si="145"/>
        <v/>
      </c>
      <c r="AJ342" s="74" t="str">
        <f t="shared" si="146"/>
        <v/>
      </c>
      <c r="AK342" s="74" t="str">
        <f>IF(A342="","",1/Tabela1[[#This Row],[ODDC]])</f>
        <v/>
      </c>
      <c r="AL342" s="74" t="str">
        <f>IF(A342="","",1/Tabela1[[#This Row],[ODDE]])</f>
        <v/>
      </c>
      <c r="AM342" s="74" t="str">
        <f>IF(A342="","",1/Tabela1[[#This Row],[ODDV]])</f>
        <v/>
      </c>
      <c r="AN342" s="74" t="str">
        <f>IF(A342="","",1-(Tabela1[[#This Row],[p(H)]]+Tabela1[[#This Row],[p(D)]]+Tabela1[[#This Row],[p(A)]]))</f>
        <v/>
      </c>
      <c r="AO342" s="74" t="str">
        <f>IF(A342="","",IFERROR(Tabela1[[#This Row],[p(H)]]/Tabela1[[#This Row],[FTHG]],1))</f>
        <v/>
      </c>
      <c r="AP342" s="74" t="str">
        <f>IF(A342="","",IFERROR(Tabela1[[#This Row],[p(A)]]/Tabela1[[#This Row],[FTAG]],1))</f>
        <v/>
      </c>
      <c r="AQ342" s="107"/>
      <c r="AR342" s="107"/>
      <c r="AS342" s="107"/>
      <c r="AT342" s="107"/>
      <c r="AU342" s="107"/>
      <c r="AV342" s="107"/>
      <c r="AW342" s="107"/>
      <c r="AX342" s="107"/>
      <c r="AY342" s="107"/>
      <c r="AZ342" s="75"/>
      <c r="BA342" s="75"/>
      <c r="BB342" s="75"/>
      <c r="BC342" s="107"/>
      <c r="BD342" s="107"/>
      <c r="BE342" s="107"/>
      <c r="BF342" s="107"/>
      <c r="BG342" s="107"/>
      <c r="BH342" s="107"/>
      <c r="BI342" s="107"/>
      <c r="BJ342" s="107"/>
      <c r="BK342" s="107"/>
      <c r="BL342" s="107"/>
      <c r="BM342" s="107"/>
      <c r="BN342" s="107"/>
      <c r="BO342" s="107"/>
      <c r="BP342" s="107"/>
      <c r="BQ342" s="107"/>
      <c r="BR342" s="107"/>
      <c r="BS342" s="107"/>
      <c r="BT342" s="107"/>
      <c r="BU342" s="107"/>
      <c r="BV342" s="107"/>
      <c r="BW342" s="107"/>
      <c r="BX342" s="75"/>
      <c r="BY342" s="75"/>
      <c r="BZ342" s="75"/>
      <c r="CA342" s="75"/>
      <c r="CB342" s="75"/>
      <c r="CC342" s="75"/>
      <c r="CD342" s="75"/>
      <c r="CE342" s="102"/>
      <c r="CF342" s="102"/>
      <c r="CG342" s="102"/>
      <c r="CH342" s="102"/>
      <c r="CI342" s="102"/>
      <c r="CJ342" s="102"/>
      <c r="CK342" s="102"/>
      <c r="CL342" s="102"/>
      <c r="CM342" s="102"/>
      <c r="CN342" s="102"/>
      <c r="CO342" s="102"/>
      <c r="CP342" s="102"/>
      <c r="CQ342" s="102"/>
      <c r="CR342" s="102"/>
      <c r="CS342" s="102"/>
      <c r="CT342" s="102"/>
      <c r="CU342" s="102"/>
      <c r="CV342" s="102"/>
      <c r="CW342" s="102"/>
      <c r="CX342" s="102"/>
      <c r="CY342" s="102"/>
      <c r="CZ342" s="102"/>
      <c r="DA342" s="102"/>
      <c r="DB342" s="102"/>
      <c r="DC342" s="102"/>
      <c r="DD342" s="102"/>
      <c r="DE342" s="102"/>
      <c r="DF342" s="102"/>
      <c r="DG342" s="102"/>
      <c r="DH342" s="102"/>
      <c r="DI342" s="102"/>
      <c r="DJ342" s="102"/>
      <c r="DK342" s="102"/>
      <c r="DL342" s="102"/>
      <c r="DM342" s="102"/>
      <c r="DN342" s="102"/>
      <c r="DO342" s="102"/>
      <c r="DP342" s="102"/>
    </row>
    <row r="343" spans="1:120" x14ac:dyDescent="0.25">
      <c r="A343" s="4"/>
      <c r="D343"/>
      <c r="E343"/>
      <c r="F343"/>
      <c r="J343" s="68" t="str">
        <f t="shared" si="126"/>
        <v/>
      </c>
      <c r="K343" s="68" t="str">
        <f t="shared" si="127"/>
        <v/>
      </c>
      <c r="L343" s="69" t="str">
        <f t="shared" si="128"/>
        <v/>
      </c>
      <c r="M343" s="69" t="str">
        <f t="shared" si="129"/>
        <v/>
      </c>
      <c r="N343" s="69" t="str">
        <f>IF(A343="","",Tabela1[[#This Row],[PTC]]*Tabela1[[#This Row],[ODDC]])</f>
        <v/>
      </c>
      <c r="O343" s="69" t="str">
        <f>IF(A343="","",Tabela1[[#This Row],[PTV]]*Tabela1[[#This Row],[ODDV]])</f>
        <v/>
      </c>
      <c r="P343" s="68" t="str">
        <f t="shared" si="130"/>
        <v/>
      </c>
      <c r="Q343" s="68" t="str">
        <f t="shared" si="131"/>
        <v/>
      </c>
      <c r="R343" s="68" t="str">
        <f t="shared" si="132"/>
        <v/>
      </c>
      <c r="S343" s="68" t="str">
        <f t="shared" si="133"/>
        <v/>
      </c>
      <c r="T343" s="68" t="str">
        <f>IF(A343="","",IF(F343="D",Tabela1[[#This Row],[ODDE]]-1,-1))</f>
        <v/>
      </c>
      <c r="U343" s="70" t="str">
        <f>IF(A343="","",IF(AND(Tabela1[[#This Row],[FTHG]]&gt;3,F343="H"),1,0))</f>
        <v/>
      </c>
      <c r="V343" s="70" t="str">
        <f>IF(A343="","",IF(AND(Tabela1[[#This Row],[FTAG]]&gt;3,F343="A"),1,0))</f>
        <v/>
      </c>
      <c r="W343" s="70" t="str">
        <f t="shared" si="134"/>
        <v/>
      </c>
      <c r="X343" s="70" t="str">
        <f t="shared" si="135"/>
        <v/>
      </c>
      <c r="Y343" s="71" t="str">
        <f t="shared" si="136"/>
        <v/>
      </c>
      <c r="Z343" s="70" t="str">
        <f t="shared" si="137"/>
        <v/>
      </c>
      <c r="AA343" s="70" t="str">
        <f t="shared" si="138"/>
        <v/>
      </c>
      <c r="AB343" s="70" t="str">
        <f t="shared" si="139"/>
        <v/>
      </c>
      <c r="AC343" s="71" t="str">
        <f t="shared" si="140"/>
        <v/>
      </c>
      <c r="AD343" s="72" t="str">
        <f t="shared" si="141"/>
        <v/>
      </c>
      <c r="AE343" s="73" t="str">
        <f>IF(A343="","",COUNT($N$2:N343))</f>
        <v/>
      </c>
      <c r="AF343" s="74" t="str">
        <f t="shared" si="142"/>
        <v/>
      </c>
      <c r="AG343" s="74" t="str">
        <f t="shared" si="143"/>
        <v/>
      </c>
      <c r="AH343" s="74" t="str">
        <f t="shared" si="144"/>
        <v/>
      </c>
      <c r="AI343" s="74" t="str">
        <f t="shared" si="145"/>
        <v/>
      </c>
      <c r="AJ343" s="74" t="str">
        <f t="shared" si="146"/>
        <v/>
      </c>
      <c r="AK343" s="74" t="str">
        <f>IF(A343="","",1/Tabela1[[#This Row],[ODDC]])</f>
        <v/>
      </c>
      <c r="AL343" s="74" t="str">
        <f>IF(A343="","",1/Tabela1[[#This Row],[ODDE]])</f>
        <v/>
      </c>
      <c r="AM343" s="74" t="str">
        <f>IF(A343="","",1/Tabela1[[#This Row],[ODDV]])</f>
        <v/>
      </c>
      <c r="AN343" s="74" t="str">
        <f>IF(A343="","",1-(Tabela1[[#This Row],[p(H)]]+Tabela1[[#This Row],[p(D)]]+Tabela1[[#This Row],[p(A)]]))</f>
        <v/>
      </c>
      <c r="AO343" s="74" t="str">
        <f>IF(A343="","",IFERROR(Tabela1[[#This Row],[p(H)]]/Tabela1[[#This Row],[FTHG]],1))</f>
        <v/>
      </c>
      <c r="AP343" s="74" t="str">
        <f>IF(A343="","",IFERROR(Tabela1[[#This Row],[p(A)]]/Tabela1[[#This Row],[FTAG]],1))</f>
        <v/>
      </c>
      <c r="AQ343" s="107"/>
      <c r="AR343" s="107"/>
      <c r="AS343" s="107"/>
      <c r="AT343" s="107"/>
      <c r="AU343" s="107"/>
      <c r="AV343" s="107"/>
      <c r="AW343" s="107"/>
      <c r="AX343" s="107"/>
      <c r="AY343" s="107"/>
      <c r="AZ343" s="75"/>
      <c r="BA343" s="75"/>
      <c r="BB343" s="75"/>
      <c r="BC343" s="107"/>
      <c r="BD343" s="107"/>
      <c r="BE343" s="107"/>
      <c r="BF343" s="107"/>
      <c r="BG343" s="107"/>
      <c r="BH343" s="107"/>
      <c r="BI343" s="107"/>
      <c r="BJ343" s="107"/>
      <c r="BK343" s="107"/>
      <c r="BL343" s="107"/>
      <c r="BM343" s="107"/>
      <c r="BN343" s="107"/>
      <c r="BO343" s="107"/>
      <c r="BP343" s="107"/>
      <c r="BQ343" s="107"/>
      <c r="BR343" s="107"/>
      <c r="BS343" s="107"/>
      <c r="BT343" s="107"/>
      <c r="BU343" s="107"/>
      <c r="BV343" s="107"/>
      <c r="BW343" s="107"/>
      <c r="BX343" s="75"/>
      <c r="BY343" s="75"/>
      <c r="BZ343" s="75"/>
      <c r="CA343" s="75"/>
      <c r="CB343" s="75"/>
      <c r="CC343" s="75"/>
      <c r="CD343" s="75"/>
      <c r="CE343" s="102"/>
      <c r="CF343" s="102"/>
      <c r="CG343" s="102"/>
      <c r="CH343" s="102"/>
      <c r="CI343" s="102"/>
      <c r="CJ343" s="102"/>
      <c r="CK343" s="102"/>
      <c r="CL343" s="102"/>
      <c r="CM343" s="102"/>
      <c r="CN343" s="102"/>
      <c r="CO343" s="102"/>
      <c r="CP343" s="102"/>
      <c r="CQ343" s="102"/>
      <c r="CR343" s="102"/>
      <c r="CS343" s="102"/>
      <c r="CT343" s="102"/>
      <c r="CU343" s="102"/>
      <c r="CV343" s="102"/>
      <c r="CW343" s="102"/>
      <c r="CX343" s="102"/>
      <c r="CY343" s="102"/>
      <c r="CZ343" s="102"/>
      <c r="DA343" s="102"/>
      <c r="DB343" s="102"/>
      <c r="DC343" s="102"/>
      <c r="DD343" s="102"/>
      <c r="DE343" s="102"/>
      <c r="DF343" s="102"/>
      <c r="DG343" s="102"/>
      <c r="DH343" s="102"/>
      <c r="DI343" s="102"/>
      <c r="DJ343" s="102"/>
      <c r="DK343" s="102"/>
      <c r="DL343" s="102"/>
      <c r="DM343" s="102"/>
      <c r="DN343" s="102"/>
      <c r="DO343" s="102"/>
      <c r="DP343" s="102"/>
    </row>
    <row r="344" spans="1:120" x14ac:dyDescent="0.25">
      <c r="A344" s="4"/>
      <c r="D344"/>
      <c r="E344"/>
      <c r="F344"/>
      <c r="J344" s="68" t="str">
        <f t="shared" si="126"/>
        <v/>
      </c>
      <c r="K344" s="68" t="str">
        <f t="shared" si="127"/>
        <v/>
      </c>
      <c r="L344" s="69" t="str">
        <f t="shared" si="128"/>
        <v/>
      </c>
      <c r="M344" s="69" t="str">
        <f t="shared" si="129"/>
        <v/>
      </c>
      <c r="N344" s="69" t="str">
        <f>IF(A344="","",Tabela1[[#This Row],[PTC]]*Tabela1[[#This Row],[ODDC]])</f>
        <v/>
      </c>
      <c r="O344" s="69" t="str">
        <f>IF(A344="","",Tabela1[[#This Row],[PTV]]*Tabela1[[#This Row],[ODDV]])</f>
        <v/>
      </c>
      <c r="P344" s="68" t="str">
        <f t="shared" si="130"/>
        <v/>
      </c>
      <c r="Q344" s="68" t="str">
        <f t="shared" si="131"/>
        <v/>
      </c>
      <c r="R344" s="68" t="str">
        <f t="shared" si="132"/>
        <v/>
      </c>
      <c r="S344" s="68" t="str">
        <f t="shared" si="133"/>
        <v/>
      </c>
      <c r="T344" s="68" t="str">
        <f>IF(A344="","",IF(F344="D",Tabela1[[#This Row],[ODDE]]-1,-1))</f>
        <v/>
      </c>
      <c r="U344" s="70" t="str">
        <f>IF(A344="","",IF(AND(Tabela1[[#This Row],[FTHG]]&gt;3,F344="H"),1,0))</f>
        <v/>
      </c>
      <c r="V344" s="70" t="str">
        <f>IF(A344="","",IF(AND(Tabela1[[#This Row],[FTAG]]&gt;3,F344="A"),1,0))</f>
        <v/>
      </c>
      <c r="W344" s="70" t="str">
        <f t="shared" si="134"/>
        <v/>
      </c>
      <c r="X344" s="70" t="str">
        <f t="shared" si="135"/>
        <v/>
      </c>
      <c r="Y344" s="71" t="str">
        <f t="shared" si="136"/>
        <v/>
      </c>
      <c r="Z344" s="70" t="str">
        <f t="shared" si="137"/>
        <v/>
      </c>
      <c r="AA344" s="70" t="str">
        <f t="shared" si="138"/>
        <v/>
      </c>
      <c r="AB344" s="70" t="str">
        <f t="shared" si="139"/>
        <v/>
      </c>
      <c r="AC344" s="71" t="str">
        <f t="shared" si="140"/>
        <v/>
      </c>
      <c r="AD344" s="72" t="str">
        <f t="shared" si="141"/>
        <v/>
      </c>
      <c r="AE344" s="73" t="str">
        <f>IF(A344="","",COUNT($N$2:N344))</f>
        <v/>
      </c>
      <c r="AF344" s="74" t="str">
        <f t="shared" si="142"/>
        <v/>
      </c>
      <c r="AG344" s="74" t="str">
        <f t="shared" si="143"/>
        <v/>
      </c>
      <c r="AH344" s="74" t="str">
        <f t="shared" si="144"/>
        <v/>
      </c>
      <c r="AI344" s="74" t="str">
        <f t="shared" si="145"/>
        <v/>
      </c>
      <c r="AJ344" s="74" t="str">
        <f t="shared" si="146"/>
        <v/>
      </c>
      <c r="AK344" s="74" t="str">
        <f>IF(A344="","",1/Tabela1[[#This Row],[ODDC]])</f>
        <v/>
      </c>
      <c r="AL344" s="74" t="str">
        <f>IF(A344="","",1/Tabela1[[#This Row],[ODDE]])</f>
        <v/>
      </c>
      <c r="AM344" s="74" t="str">
        <f>IF(A344="","",1/Tabela1[[#This Row],[ODDV]])</f>
        <v/>
      </c>
      <c r="AN344" s="74" t="str">
        <f>IF(A344="","",1-(Tabela1[[#This Row],[p(H)]]+Tabela1[[#This Row],[p(D)]]+Tabela1[[#This Row],[p(A)]]))</f>
        <v/>
      </c>
      <c r="AO344" s="74" t="str">
        <f>IF(A344="","",IFERROR(Tabela1[[#This Row],[p(H)]]/Tabela1[[#This Row],[FTHG]],1))</f>
        <v/>
      </c>
      <c r="AP344" s="74" t="str">
        <f>IF(A344="","",IFERROR(Tabela1[[#This Row],[p(A)]]/Tabela1[[#This Row],[FTAG]],1))</f>
        <v/>
      </c>
      <c r="AQ344" s="107"/>
      <c r="AR344" s="107"/>
      <c r="AS344" s="107"/>
      <c r="AT344" s="107"/>
      <c r="AU344" s="107"/>
      <c r="AV344" s="107"/>
      <c r="AW344" s="107"/>
      <c r="AX344" s="107"/>
      <c r="AY344" s="107"/>
      <c r="AZ344" s="75"/>
      <c r="BA344" s="75"/>
      <c r="BB344" s="75"/>
      <c r="BC344" s="107"/>
      <c r="BD344" s="107"/>
      <c r="BE344" s="107"/>
      <c r="BF344" s="107"/>
      <c r="BG344" s="107"/>
      <c r="BH344" s="107"/>
      <c r="BI344" s="107"/>
      <c r="BJ344" s="107"/>
      <c r="BK344" s="107"/>
      <c r="BL344" s="107"/>
      <c r="BM344" s="107"/>
      <c r="BN344" s="107"/>
      <c r="BO344" s="107"/>
      <c r="BP344" s="107"/>
      <c r="BQ344" s="107"/>
      <c r="BR344" s="107"/>
      <c r="BS344" s="107"/>
      <c r="BT344" s="107"/>
      <c r="BU344" s="107"/>
      <c r="BV344" s="107"/>
      <c r="BW344" s="107"/>
      <c r="BX344" s="75"/>
      <c r="BY344" s="75"/>
      <c r="BZ344" s="75"/>
      <c r="CA344" s="75"/>
      <c r="CB344" s="75"/>
      <c r="CC344" s="75"/>
      <c r="CD344" s="75"/>
      <c r="CE344" s="102"/>
      <c r="CF344" s="102"/>
      <c r="CG344" s="102"/>
      <c r="CH344" s="102"/>
      <c r="CI344" s="102"/>
      <c r="CJ344" s="102"/>
      <c r="CK344" s="102"/>
      <c r="CL344" s="102"/>
      <c r="CM344" s="102"/>
      <c r="CN344" s="102"/>
      <c r="CO344" s="102"/>
      <c r="CP344" s="102"/>
      <c r="CQ344" s="102"/>
      <c r="CR344" s="102"/>
      <c r="CS344" s="102"/>
      <c r="CT344" s="102"/>
      <c r="CU344" s="102"/>
      <c r="CV344" s="102"/>
      <c r="CW344" s="102"/>
      <c r="CX344" s="102"/>
      <c r="CY344" s="102"/>
      <c r="CZ344" s="102"/>
      <c r="DA344" s="102"/>
      <c r="DB344" s="102"/>
      <c r="DC344" s="102"/>
      <c r="DD344" s="102"/>
      <c r="DE344" s="102"/>
      <c r="DF344" s="102"/>
      <c r="DG344" s="102"/>
      <c r="DH344" s="102"/>
      <c r="DI344" s="102"/>
      <c r="DJ344" s="102"/>
      <c r="DK344" s="102"/>
      <c r="DL344" s="102"/>
      <c r="DM344" s="102"/>
      <c r="DN344" s="102"/>
      <c r="DO344" s="102"/>
      <c r="DP344" s="102"/>
    </row>
    <row r="345" spans="1:120" x14ac:dyDescent="0.25">
      <c r="A345" s="4"/>
      <c r="F345"/>
      <c r="G345" s="1"/>
      <c r="H345" s="1"/>
      <c r="I345" s="1"/>
      <c r="J345" s="68" t="str">
        <f t="shared" si="126"/>
        <v/>
      </c>
      <c r="K345" s="68" t="str">
        <f t="shared" si="127"/>
        <v/>
      </c>
      <c r="L345" s="69" t="str">
        <f t="shared" si="128"/>
        <v/>
      </c>
      <c r="M345" s="69" t="str">
        <f t="shared" si="129"/>
        <v/>
      </c>
      <c r="N345" s="69" t="str">
        <f>IF(A345="","",Tabela1[[#This Row],[PTC]]*Tabela1[[#This Row],[ODDC]])</f>
        <v/>
      </c>
      <c r="O345" s="69" t="str">
        <f>IF(A345="","",Tabela1[[#This Row],[PTV]]*Tabela1[[#This Row],[ODDV]])</f>
        <v/>
      </c>
      <c r="P345" s="68" t="str">
        <f t="shared" si="130"/>
        <v/>
      </c>
      <c r="Q345" s="68" t="str">
        <f t="shared" si="131"/>
        <v/>
      </c>
      <c r="R345" s="68" t="str">
        <f t="shared" si="132"/>
        <v/>
      </c>
      <c r="S345" s="68" t="str">
        <f t="shared" si="133"/>
        <v/>
      </c>
      <c r="T345" s="68" t="str">
        <f>IF(A345="","",IF(F345="D",Tabela1[[#This Row],[ODDE]]-1,-1))</f>
        <v/>
      </c>
      <c r="U345" s="70" t="str">
        <f>IF(A345="","",IF(AND(Tabela1[[#This Row],[FTHG]]&gt;3,F345="H"),1,0))</f>
        <v/>
      </c>
      <c r="V345" s="70" t="str">
        <f>IF(A345="","",IF(AND(Tabela1[[#This Row],[FTAG]]&gt;3,F345="A"),1,0))</f>
        <v/>
      </c>
      <c r="W345" s="70" t="str">
        <f t="shared" si="134"/>
        <v/>
      </c>
      <c r="X345" s="70" t="str">
        <f t="shared" si="135"/>
        <v/>
      </c>
      <c r="Y345" s="71" t="str">
        <f t="shared" si="136"/>
        <v/>
      </c>
      <c r="Z345" s="70" t="str">
        <f t="shared" si="137"/>
        <v/>
      </c>
      <c r="AA345" s="70" t="str">
        <f t="shared" si="138"/>
        <v/>
      </c>
      <c r="AB345" s="70" t="str">
        <f t="shared" si="139"/>
        <v/>
      </c>
      <c r="AC345" s="71" t="str">
        <f t="shared" si="140"/>
        <v/>
      </c>
      <c r="AD345" s="72" t="str">
        <f t="shared" si="141"/>
        <v/>
      </c>
      <c r="AE345" s="73" t="str">
        <f>IF(A345="","",COUNT($N$2:N345))</f>
        <v/>
      </c>
      <c r="AF345" s="74" t="str">
        <f t="shared" si="142"/>
        <v/>
      </c>
      <c r="AG345" s="74" t="str">
        <f t="shared" si="143"/>
        <v/>
      </c>
      <c r="AH345" s="74" t="str">
        <f t="shared" si="144"/>
        <v/>
      </c>
      <c r="AI345" s="74" t="str">
        <f t="shared" si="145"/>
        <v/>
      </c>
      <c r="AJ345" s="74" t="str">
        <f t="shared" si="146"/>
        <v/>
      </c>
      <c r="AK345" s="74" t="str">
        <f>IF(A345="","",1/Tabela1[[#This Row],[ODDC]])</f>
        <v/>
      </c>
      <c r="AL345" s="74" t="str">
        <f>IF(A345="","",1/Tabela1[[#This Row],[ODDE]])</f>
        <v/>
      </c>
      <c r="AM345" s="74" t="str">
        <f>IF(A345="","",1/Tabela1[[#This Row],[ODDV]])</f>
        <v/>
      </c>
      <c r="AN345" s="74" t="str">
        <f>IF(A345="","",1-(Tabela1[[#This Row],[p(H)]]+Tabela1[[#This Row],[p(D)]]+Tabela1[[#This Row],[p(A)]]))</f>
        <v/>
      </c>
      <c r="AO345" s="74" t="str">
        <f>IF(A345="","",IFERROR(Tabela1[[#This Row],[p(H)]]/Tabela1[[#This Row],[FTHG]],1))</f>
        <v/>
      </c>
      <c r="AP345" s="74" t="str">
        <f>IF(A345="","",IFERROR(Tabela1[[#This Row],[p(A)]]/Tabela1[[#This Row],[FTAG]],1))</f>
        <v/>
      </c>
      <c r="AQ345" s="107"/>
      <c r="AR345" s="107"/>
      <c r="AS345" s="107"/>
      <c r="AT345" s="107"/>
      <c r="AU345" s="107"/>
      <c r="AV345" s="107"/>
      <c r="AW345" s="107"/>
      <c r="AX345" s="107"/>
      <c r="AY345" s="107"/>
      <c r="AZ345" s="75"/>
      <c r="BA345" s="75"/>
      <c r="BB345" s="75"/>
      <c r="BC345" s="107"/>
      <c r="BD345" s="107"/>
      <c r="BE345" s="107"/>
      <c r="BF345" s="107"/>
      <c r="BG345" s="107"/>
      <c r="BH345" s="107"/>
      <c r="BI345" s="107"/>
      <c r="BJ345" s="107"/>
      <c r="BK345" s="107"/>
      <c r="BL345" s="107"/>
      <c r="BM345" s="107"/>
      <c r="BN345" s="107"/>
      <c r="BO345" s="107"/>
      <c r="BP345" s="107"/>
      <c r="BQ345" s="107"/>
      <c r="BR345" s="107"/>
      <c r="BS345" s="107"/>
      <c r="BT345" s="107"/>
      <c r="BU345" s="107"/>
      <c r="BV345" s="107"/>
      <c r="BW345" s="107"/>
      <c r="BX345" s="75"/>
      <c r="BY345" s="75"/>
      <c r="BZ345" s="75"/>
      <c r="CA345" s="75"/>
      <c r="CB345" s="75"/>
      <c r="CC345" s="75"/>
      <c r="CD345" s="75"/>
      <c r="CE345" s="102"/>
      <c r="CF345" s="102"/>
      <c r="CG345" s="102"/>
      <c r="CH345" s="102"/>
      <c r="CI345" s="102"/>
      <c r="CJ345" s="102"/>
      <c r="CK345" s="102"/>
      <c r="CL345" s="102"/>
      <c r="CM345" s="102"/>
      <c r="CN345" s="102"/>
      <c r="CO345" s="102"/>
      <c r="CP345" s="102"/>
      <c r="CQ345" s="102"/>
      <c r="CR345" s="102"/>
      <c r="CS345" s="102"/>
      <c r="CT345" s="102"/>
      <c r="CU345" s="102"/>
      <c r="CV345" s="102"/>
      <c r="CW345" s="102"/>
      <c r="CX345" s="102"/>
      <c r="CY345" s="102"/>
      <c r="CZ345" s="102"/>
      <c r="DA345" s="102"/>
      <c r="DB345" s="102"/>
      <c r="DC345" s="102"/>
      <c r="DD345" s="102"/>
      <c r="DE345" s="102"/>
      <c r="DF345" s="102"/>
      <c r="DG345" s="102"/>
      <c r="DH345" s="102"/>
      <c r="DI345" s="102"/>
      <c r="DJ345" s="102"/>
      <c r="DK345" s="102"/>
      <c r="DL345" s="102"/>
      <c r="DM345" s="102"/>
      <c r="DN345" s="102"/>
      <c r="DO345" s="102"/>
      <c r="DP345" s="102"/>
    </row>
    <row r="346" spans="1:120" x14ac:dyDescent="0.25">
      <c r="A346" s="4"/>
      <c r="F346"/>
      <c r="G346" s="1"/>
      <c r="H346" s="1"/>
      <c r="I346" s="1"/>
      <c r="J346" s="68" t="str">
        <f t="shared" si="126"/>
        <v/>
      </c>
      <c r="K346" s="68" t="str">
        <f t="shared" si="127"/>
        <v/>
      </c>
      <c r="L346" s="69" t="str">
        <f t="shared" si="128"/>
        <v/>
      </c>
      <c r="M346" s="69" t="str">
        <f t="shared" si="129"/>
        <v/>
      </c>
      <c r="N346" s="69" t="str">
        <f>IF(A346="","",Tabela1[[#This Row],[PTC]]*Tabela1[[#This Row],[ODDC]])</f>
        <v/>
      </c>
      <c r="O346" s="69" t="str">
        <f>IF(A346="","",Tabela1[[#This Row],[PTV]]*Tabela1[[#This Row],[ODDV]])</f>
        <v/>
      </c>
      <c r="P346" s="68" t="str">
        <f t="shared" si="130"/>
        <v/>
      </c>
      <c r="Q346" s="68" t="str">
        <f t="shared" si="131"/>
        <v/>
      </c>
      <c r="R346" s="68" t="str">
        <f t="shared" si="132"/>
        <v/>
      </c>
      <c r="S346" s="68" t="str">
        <f t="shared" si="133"/>
        <v/>
      </c>
      <c r="T346" s="68" t="str">
        <f>IF(A346="","",IF(F346="D",Tabela1[[#This Row],[ODDE]]-1,-1))</f>
        <v/>
      </c>
      <c r="U346" s="70" t="str">
        <f>IF(A346="","",IF(AND(Tabela1[[#This Row],[FTHG]]&gt;3,F346="H"),1,0))</f>
        <v/>
      </c>
      <c r="V346" s="70" t="str">
        <f>IF(A346="","",IF(AND(Tabela1[[#This Row],[FTAG]]&gt;3,F346="A"),1,0))</f>
        <v/>
      </c>
      <c r="W346" s="70" t="str">
        <f t="shared" si="134"/>
        <v/>
      </c>
      <c r="X346" s="70" t="str">
        <f t="shared" si="135"/>
        <v/>
      </c>
      <c r="Y346" s="71" t="str">
        <f t="shared" si="136"/>
        <v/>
      </c>
      <c r="Z346" s="70" t="str">
        <f t="shared" si="137"/>
        <v/>
      </c>
      <c r="AA346" s="70" t="str">
        <f t="shared" si="138"/>
        <v/>
      </c>
      <c r="AB346" s="70" t="str">
        <f t="shared" si="139"/>
        <v/>
      </c>
      <c r="AC346" s="71" t="str">
        <f t="shared" si="140"/>
        <v/>
      </c>
      <c r="AD346" s="72" t="str">
        <f t="shared" si="141"/>
        <v/>
      </c>
      <c r="AE346" s="73" t="str">
        <f>IF(A346="","",COUNT($N$2:N346))</f>
        <v/>
      </c>
      <c r="AF346" s="74" t="str">
        <f t="shared" si="142"/>
        <v/>
      </c>
      <c r="AG346" s="74" t="str">
        <f t="shared" si="143"/>
        <v/>
      </c>
      <c r="AH346" s="74" t="str">
        <f t="shared" si="144"/>
        <v/>
      </c>
      <c r="AI346" s="74" t="str">
        <f t="shared" si="145"/>
        <v/>
      </c>
      <c r="AJ346" s="74" t="str">
        <f t="shared" si="146"/>
        <v/>
      </c>
      <c r="AK346" s="74" t="str">
        <f>IF(A346="","",1/Tabela1[[#This Row],[ODDC]])</f>
        <v/>
      </c>
      <c r="AL346" s="74" t="str">
        <f>IF(A346="","",1/Tabela1[[#This Row],[ODDE]])</f>
        <v/>
      </c>
      <c r="AM346" s="74" t="str">
        <f>IF(A346="","",1/Tabela1[[#This Row],[ODDV]])</f>
        <v/>
      </c>
      <c r="AN346" s="74" t="str">
        <f>IF(A346="","",1-(Tabela1[[#This Row],[p(H)]]+Tabela1[[#This Row],[p(D)]]+Tabela1[[#This Row],[p(A)]]))</f>
        <v/>
      </c>
      <c r="AO346" s="74" t="str">
        <f>IF(A346="","",IFERROR(Tabela1[[#This Row],[p(H)]]/Tabela1[[#This Row],[FTHG]],1))</f>
        <v/>
      </c>
      <c r="AP346" s="74" t="str">
        <f>IF(A346="","",IFERROR(Tabela1[[#This Row],[p(A)]]/Tabela1[[#This Row],[FTAG]],1))</f>
        <v/>
      </c>
      <c r="AQ346" s="107"/>
      <c r="AR346" s="107"/>
      <c r="AS346" s="107"/>
      <c r="AT346" s="107"/>
      <c r="AU346" s="107"/>
      <c r="AV346" s="107"/>
      <c r="AW346" s="107"/>
      <c r="AX346" s="107"/>
      <c r="AY346" s="107"/>
      <c r="AZ346" s="75"/>
      <c r="BA346" s="75"/>
      <c r="BB346" s="75"/>
      <c r="BC346" s="107"/>
      <c r="BD346" s="107"/>
      <c r="BE346" s="107"/>
      <c r="BF346" s="107"/>
      <c r="BG346" s="107"/>
      <c r="BH346" s="107"/>
      <c r="BI346" s="107"/>
      <c r="BJ346" s="107"/>
      <c r="BK346" s="107"/>
      <c r="BL346" s="107"/>
      <c r="BM346" s="107"/>
      <c r="BN346" s="107"/>
      <c r="BO346" s="107"/>
      <c r="BP346" s="107"/>
      <c r="BQ346" s="107"/>
      <c r="BR346" s="107"/>
      <c r="BS346" s="107"/>
      <c r="BT346" s="107"/>
      <c r="BU346" s="107"/>
      <c r="BV346" s="107"/>
      <c r="BW346" s="107"/>
      <c r="BX346" s="75"/>
      <c r="BY346" s="75"/>
      <c r="BZ346" s="75"/>
      <c r="CA346" s="75"/>
      <c r="CB346" s="75"/>
      <c r="CC346" s="75"/>
      <c r="CD346" s="75"/>
      <c r="CE346" s="102"/>
      <c r="CF346" s="102"/>
      <c r="CG346" s="102"/>
      <c r="CH346" s="102"/>
      <c r="CI346" s="102"/>
      <c r="CJ346" s="102"/>
      <c r="CK346" s="102"/>
      <c r="CL346" s="102"/>
      <c r="CM346" s="102"/>
      <c r="CN346" s="102"/>
      <c r="CO346" s="102"/>
      <c r="CP346" s="102"/>
      <c r="CQ346" s="102"/>
      <c r="CR346" s="102"/>
      <c r="CS346" s="102"/>
      <c r="CT346" s="102"/>
      <c r="CU346" s="102"/>
      <c r="CV346" s="102"/>
      <c r="CW346" s="102"/>
      <c r="CX346" s="102"/>
      <c r="CY346" s="102"/>
      <c r="CZ346" s="102"/>
      <c r="DA346" s="102"/>
      <c r="DB346" s="102"/>
      <c r="DC346" s="102"/>
      <c r="DD346" s="102"/>
      <c r="DE346" s="102"/>
      <c r="DF346" s="102"/>
      <c r="DG346" s="102"/>
      <c r="DH346" s="102"/>
      <c r="DI346" s="102"/>
      <c r="DJ346" s="102"/>
      <c r="DK346" s="102"/>
      <c r="DL346" s="102"/>
      <c r="DM346" s="102"/>
      <c r="DN346" s="102"/>
      <c r="DO346" s="102"/>
      <c r="DP346" s="102"/>
    </row>
    <row r="347" spans="1:120" x14ac:dyDescent="0.25">
      <c r="A347" s="4"/>
      <c r="F347"/>
      <c r="G347" s="1"/>
      <c r="H347" s="1"/>
      <c r="I347" s="1"/>
      <c r="J347" s="68" t="str">
        <f t="shared" si="126"/>
        <v/>
      </c>
      <c r="K347" s="68" t="str">
        <f t="shared" si="127"/>
        <v/>
      </c>
      <c r="L347" s="69" t="str">
        <f t="shared" si="128"/>
        <v/>
      </c>
      <c r="M347" s="69" t="str">
        <f t="shared" si="129"/>
        <v/>
      </c>
      <c r="N347" s="69" t="str">
        <f>IF(A347="","",Tabela1[[#This Row],[PTC]]*Tabela1[[#This Row],[ODDC]])</f>
        <v/>
      </c>
      <c r="O347" s="69" t="str">
        <f>IF(A347="","",Tabela1[[#This Row],[PTV]]*Tabela1[[#This Row],[ODDV]])</f>
        <v/>
      </c>
      <c r="P347" s="68" t="str">
        <f t="shared" si="130"/>
        <v/>
      </c>
      <c r="Q347" s="68" t="str">
        <f t="shared" si="131"/>
        <v/>
      </c>
      <c r="R347" s="68" t="str">
        <f t="shared" si="132"/>
        <v/>
      </c>
      <c r="S347" s="68" t="str">
        <f t="shared" si="133"/>
        <v/>
      </c>
      <c r="T347" s="68" t="str">
        <f>IF(A347="","",IF(F347="D",Tabela1[[#This Row],[ODDE]]-1,-1))</f>
        <v/>
      </c>
      <c r="U347" s="70" t="str">
        <f>IF(A347="","",IF(AND(Tabela1[[#This Row],[FTHG]]&gt;3,F347="H"),1,0))</f>
        <v/>
      </c>
      <c r="V347" s="70" t="str">
        <f>IF(A347="","",IF(AND(Tabela1[[#This Row],[FTAG]]&gt;3,F347="A"),1,0))</f>
        <v/>
      </c>
      <c r="W347" s="70" t="str">
        <f t="shared" si="134"/>
        <v/>
      </c>
      <c r="X347" s="70" t="str">
        <f t="shared" si="135"/>
        <v/>
      </c>
      <c r="Y347" s="71" t="str">
        <f t="shared" si="136"/>
        <v/>
      </c>
      <c r="Z347" s="70" t="str">
        <f t="shared" si="137"/>
        <v/>
      </c>
      <c r="AA347" s="70" t="str">
        <f t="shared" si="138"/>
        <v/>
      </c>
      <c r="AB347" s="70" t="str">
        <f t="shared" si="139"/>
        <v/>
      </c>
      <c r="AC347" s="71" t="str">
        <f t="shared" si="140"/>
        <v/>
      </c>
      <c r="AD347" s="72" t="str">
        <f t="shared" si="141"/>
        <v/>
      </c>
      <c r="AE347" s="73" t="str">
        <f>IF(A347="","",COUNT($N$2:N347))</f>
        <v/>
      </c>
      <c r="AF347" s="74" t="str">
        <f t="shared" si="142"/>
        <v/>
      </c>
      <c r="AG347" s="74" t="str">
        <f t="shared" si="143"/>
        <v/>
      </c>
      <c r="AH347" s="74" t="str">
        <f t="shared" si="144"/>
        <v/>
      </c>
      <c r="AI347" s="74" t="str">
        <f t="shared" si="145"/>
        <v/>
      </c>
      <c r="AJ347" s="74" t="str">
        <f t="shared" si="146"/>
        <v/>
      </c>
      <c r="AK347" s="74" t="str">
        <f>IF(A347="","",1/Tabela1[[#This Row],[ODDC]])</f>
        <v/>
      </c>
      <c r="AL347" s="74" t="str">
        <f>IF(A347="","",1/Tabela1[[#This Row],[ODDE]])</f>
        <v/>
      </c>
      <c r="AM347" s="74" t="str">
        <f>IF(A347="","",1/Tabela1[[#This Row],[ODDV]])</f>
        <v/>
      </c>
      <c r="AN347" s="74" t="str">
        <f>IF(A347="","",1-(Tabela1[[#This Row],[p(H)]]+Tabela1[[#This Row],[p(D)]]+Tabela1[[#This Row],[p(A)]]))</f>
        <v/>
      </c>
      <c r="AO347" s="74" t="str">
        <f>IF(A347="","",IFERROR(Tabela1[[#This Row],[p(H)]]/Tabela1[[#This Row],[FTHG]],1))</f>
        <v/>
      </c>
      <c r="AP347" s="74" t="str">
        <f>IF(A347="","",IFERROR(Tabela1[[#This Row],[p(A)]]/Tabela1[[#This Row],[FTAG]],1))</f>
        <v/>
      </c>
      <c r="AQ347" s="107"/>
      <c r="AR347" s="107"/>
      <c r="AS347" s="107"/>
      <c r="AT347" s="107"/>
      <c r="AU347" s="107"/>
      <c r="AV347" s="107"/>
      <c r="AW347" s="107"/>
      <c r="AX347" s="107"/>
      <c r="AY347" s="107"/>
      <c r="AZ347" s="75"/>
      <c r="BA347" s="75"/>
      <c r="BB347" s="75"/>
      <c r="BC347" s="107"/>
      <c r="BD347" s="107"/>
      <c r="BE347" s="107"/>
      <c r="BF347" s="107"/>
      <c r="BG347" s="107"/>
      <c r="BH347" s="107"/>
      <c r="BI347" s="107"/>
      <c r="BJ347" s="107"/>
      <c r="BK347" s="107"/>
      <c r="BL347" s="107"/>
      <c r="BM347" s="107"/>
      <c r="BN347" s="107"/>
      <c r="BO347" s="107"/>
      <c r="BP347" s="107"/>
      <c r="BQ347" s="107"/>
      <c r="BR347" s="107"/>
      <c r="BS347" s="107"/>
      <c r="BT347" s="107"/>
      <c r="BU347" s="107"/>
      <c r="BV347" s="107"/>
      <c r="BW347" s="107"/>
      <c r="BX347" s="75"/>
      <c r="BY347" s="75"/>
      <c r="BZ347" s="75"/>
      <c r="CA347" s="75"/>
      <c r="CB347" s="75"/>
      <c r="CC347" s="75"/>
      <c r="CD347" s="75"/>
      <c r="CE347" s="102"/>
      <c r="CF347" s="102"/>
      <c r="CG347" s="102"/>
      <c r="CH347" s="102"/>
      <c r="CI347" s="102"/>
      <c r="CJ347" s="102"/>
      <c r="CK347" s="102"/>
      <c r="CL347" s="102"/>
      <c r="CM347" s="102"/>
      <c r="CN347" s="102"/>
      <c r="CO347" s="102"/>
      <c r="CP347" s="102"/>
      <c r="CQ347" s="102"/>
      <c r="CR347" s="102"/>
      <c r="CS347" s="102"/>
      <c r="CT347" s="102"/>
      <c r="CU347" s="102"/>
      <c r="CV347" s="102"/>
      <c r="CW347" s="102"/>
      <c r="CX347" s="102"/>
      <c r="CY347" s="102"/>
      <c r="CZ347" s="102"/>
      <c r="DA347" s="102"/>
      <c r="DB347" s="102"/>
      <c r="DC347" s="102"/>
      <c r="DD347" s="102"/>
      <c r="DE347" s="102"/>
      <c r="DF347" s="102"/>
      <c r="DG347" s="102"/>
      <c r="DH347" s="102"/>
      <c r="DI347" s="102"/>
      <c r="DJ347" s="102"/>
      <c r="DK347" s="102"/>
      <c r="DL347" s="102"/>
      <c r="DM347" s="102"/>
      <c r="DN347" s="102"/>
      <c r="DO347" s="102"/>
      <c r="DP347" s="102"/>
    </row>
    <row r="348" spans="1:120" x14ac:dyDescent="0.25">
      <c r="A348" s="4"/>
      <c r="F348"/>
      <c r="G348" s="1"/>
      <c r="H348" s="1"/>
      <c r="I348" s="1"/>
      <c r="J348" s="68" t="str">
        <f t="shared" si="126"/>
        <v/>
      </c>
      <c r="K348" s="68" t="str">
        <f t="shared" si="127"/>
        <v/>
      </c>
      <c r="L348" s="69" t="str">
        <f t="shared" si="128"/>
        <v/>
      </c>
      <c r="M348" s="69" t="str">
        <f t="shared" si="129"/>
        <v/>
      </c>
      <c r="N348" s="69" t="str">
        <f>IF(A348="","",Tabela1[[#This Row],[PTC]]*Tabela1[[#This Row],[ODDC]])</f>
        <v/>
      </c>
      <c r="O348" s="69" t="str">
        <f>IF(A348="","",Tabela1[[#This Row],[PTV]]*Tabela1[[#This Row],[ODDV]])</f>
        <v/>
      </c>
      <c r="P348" s="68" t="str">
        <f t="shared" si="130"/>
        <v/>
      </c>
      <c r="Q348" s="68" t="str">
        <f t="shared" si="131"/>
        <v/>
      </c>
      <c r="R348" s="68" t="str">
        <f t="shared" si="132"/>
        <v/>
      </c>
      <c r="S348" s="68" t="str">
        <f t="shared" si="133"/>
        <v/>
      </c>
      <c r="T348" s="68" t="str">
        <f>IF(A348="","",IF(F348="D",Tabela1[[#This Row],[ODDE]]-1,-1))</f>
        <v/>
      </c>
      <c r="U348" s="70" t="str">
        <f>IF(A348="","",IF(AND(Tabela1[[#This Row],[FTHG]]&gt;3,F348="H"),1,0))</f>
        <v/>
      </c>
      <c r="V348" s="70" t="str">
        <f>IF(A348="","",IF(AND(Tabela1[[#This Row],[FTAG]]&gt;3,F348="A"),1,0))</f>
        <v/>
      </c>
      <c r="W348" s="70" t="str">
        <f t="shared" si="134"/>
        <v/>
      </c>
      <c r="X348" s="70" t="str">
        <f t="shared" si="135"/>
        <v/>
      </c>
      <c r="Y348" s="71" t="str">
        <f t="shared" si="136"/>
        <v/>
      </c>
      <c r="Z348" s="70" t="str">
        <f t="shared" si="137"/>
        <v/>
      </c>
      <c r="AA348" s="70" t="str">
        <f t="shared" si="138"/>
        <v/>
      </c>
      <c r="AB348" s="70" t="str">
        <f t="shared" si="139"/>
        <v/>
      </c>
      <c r="AC348" s="71" t="str">
        <f t="shared" si="140"/>
        <v/>
      </c>
      <c r="AD348" s="72" t="str">
        <f t="shared" si="141"/>
        <v/>
      </c>
      <c r="AE348" s="73" t="str">
        <f>IF(A348="","",COUNT($N$2:N348))</f>
        <v/>
      </c>
      <c r="AF348" s="74" t="str">
        <f t="shared" si="142"/>
        <v/>
      </c>
      <c r="AG348" s="74" t="str">
        <f t="shared" si="143"/>
        <v/>
      </c>
      <c r="AH348" s="74" t="str">
        <f t="shared" si="144"/>
        <v/>
      </c>
      <c r="AI348" s="74" t="str">
        <f t="shared" si="145"/>
        <v/>
      </c>
      <c r="AJ348" s="74" t="str">
        <f t="shared" si="146"/>
        <v/>
      </c>
      <c r="AK348" s="74" t="str">
        <f>IF(A348="","",1/Tabela1[[#This Row],[ODDC]])</f>
        <v/>
      </c>
      <c r="AL348" s="74" t="str">
        <f>IF(A348="","",1/Tabela1[[#This Row],[ODDE]])</f>
        <v/>
      </c>
      <c r="AM348" s="74" t="str">
        <f>IF(A348="","",1/Tabela1[[#This Row],[ODDV]])</f>
        <v/>
      </c>
      <c r="AN348" s="74" t="str">
        <f>IF(A348="","",1-(Tabela1[[#This Row],[p(H)]]+Tabela1[[#This Row],[p(D)]]+Tabela1[[#This Row],[p(A)]]))</f>
        <v/>
      </c>
      <c r="AO348" s="74" t="str">
        <f>IF(A348="","",IFERROR(Tabela1[[#This Row],[p(H)]]/Tabela1[[#This Row],[FTHG]],1))</f>
        <v/>
      </c>
      <c r="AP348" s="74" t="str">
        <f>IF(A348="","",IFERROR(Tabela1[[#This Row],[p(A)]]/Tabela1[[#This Row],[FTAG]],1))</f>
        <v/>
      </c>
      <c r="AQ348" s="107"/>
      <c r="AR348" s="107"/>
      <c r="AS348" s="107"/>
      <c r="AT348" s="107"/>
      <c r="AU348" s="107"/>
      <c r="AV348" s="107"/>
      <c r="AW348" s="107"/>
      <c r="AX348" s="107"/>
      <c r="AY348" s="107"/>
      <c r="AZ348" s="75"/>
      <c r="BA348" s="75"/>
      <c r="BB348" s="75"/>
      <c r="BC348" s="107"/>
      <c r="BD348" s="107"/>
      <c r="BE348" s="107"/>
      <c r="BF348" s="107"/>
      <c r="BG348" s="107"/>
      <c r="BH348" s="107"/>
      <c r="BI348" s="107"/>
      <c r="BJ348" s="107"/>
      <c r="BK348" s="107"/>
      <c r="BL348" s="107"/>
      <c r="BM348" s="107"/>
      <c r="BN348" s="107"/>
      <c r="BO348" s="107"/>
      <c r="BP348" s="107"/>
      <c r="BQ348" s="107"/>
      <c r="BR348" s="107"/>
      <c r="BS348" s="107"/>
      <c r="BT348" s="107"/>
      <c r="BU348" s="107"/>
      <c r="BV348" s="107"/>
      <c r="BW348" s="107"/>
      <c r="BX348" s="75"/>
      <c r="BY348" s="75"/>
      <c r="BZ348" s="75"/>
      <c r="CA348" s="75"/>
      <c r="CB348" s="75"/>
      <c r="CC348" s="75"/>
      <c r="CD348" s="75"/>
      <c r="CE348" s="102"/>
      <c r="CF348" s="102"/>
      <c r="CG348" s="102"/>
      <c r="CH348" s="102"/>
      <c r="CI348" s="102"/>
      <c r="CJ348" s="102"/>
      <c r="CK348" s="102"/>
      <c r="CL348" s="102"/>
      <c r="CM348" s="102"/>
      <c r="CN348" s="102"/>
      <c r="CO348" s="102"/>
      <c r="CP348" s="102"/>
      <c r="CQ348" s="102"/>
      <c r="CR348" s="102"/>
      <c r="CS348" s="102"/>
      <c r="CT348" s="102"/>
      <c r="CU348" s="102"/>
      <c r="CV348" s="102"/>
      <c r="CW348" s="102"/>
      <c r="CX348" s="102"/>
      <c r="CY348" s="102"/>
      <c r="CZ348" s="102"/>
      <c r="DA348" s="102"/>
      <c r="DB348" s="102"/>
      <c r="DC348" s="102"/>
      <c r="DD348" s="102"/>
      <c r="DE348" s="102"/>
      <c r="DF348" s="102"/>
      <c r="DG348" s="102"/>
      <c r="DH348" s="102"/>
      <c r="DI348" s="102"/>
      <c r="DJ348" s="102"/>
      <c r="DK348" s="102"/>
      <c r="DL348" s="102"/>
      <c r="DM348" s="102"/>
      <c r="DN348" s="102"/>
      <c r="DO348" s="102"/>
      <c r="DP348" s="102"/>
    </row>
    <row r="349" spans="1:120" x14ac:dyDescent="0.25">
      <c r="A349" s="4"/>
      <c r="F349"/>
      <c r="G349" s="1"/>
      <c r="H349" s="1"/>
      <c r="I349" s="1"/>
      <c r="J349" s="68" t="str">
        <f t="shared" si="126"/>
        <v/>
      </c>
      <c r="K349" s="68" t="str">
        <f t="shared" si="127"/>
        <v/>
      </c>
      <c r="L349" s="69" t="str">
        <f t="shared" si="128"/>
        <v/>
      </c>
      <c r="M349" s="69" t="str">
        <f t="shared" si="129"/>
        <v/>
      </c>
      <c r="N349" s="69" t="str">
        <f>IF(A349="","",Tabela1[[#This Row],[PTC]]*Tabela1[[#This Row],[ODDC]])</f>
        <v/>
      </c>
      <c r="O349" s="69" t="str">
        <f>IF(A349="","",Tabela1[[#This Row],[PTV]]*Tabela1[[#This Row],[ODDV]])</f>
        <v/>
      </c>
      <c r="P349" s="68" t="str">
        <f t="shared" si="130"/>
        <v/>
      </c>
      <c r="Q349" s="68" t="str">
        <f t="shared" si="131"/>
        <v/>
      </c>
      <c r="R349" s="68" t="str">
        <f t="shared" si="132"/>
        <v/>
      </c>
      <c r="S349" s="68" t="str">
        <f t="shared" si="133"/>
        <v/>
      </c>
      <c r="T349" s="68" t="str">
        <f>IF(A349="","",IF(F349="D",Tabela1[[#This Row],[ODDE]]-1,-1))</f>
        <v/>
      </c>
      <c r="U349" s="70" t="str">
        <f>IF(A349="","",IF(AND(Tabela1[[#This Row],[FTHG]]&gt;3,F349="H"),1,0))</f>
        <v/>
      </c>
      <c r="V349" s="70" t="str">
        <f>IF(A349="","",IF(AND(Tabela1[[#This Row],[FTAG]]&gt;3,F349="A"),1,0))</f>
        <v/>
      </c>
      <c r="W349" s="70" t="str">
        <f t="shared" si="134"/>
        <v/>
      </c>
      <c r="X349" s="70" t="str">
        <f t="shared" si="135"/>
        <v/>
      </c>
      <c r="Y349" s="71" t="str">
        <f t="shared" si="136"/>
        <v/>
      </c>
      <c r="Z349" s="70" t="str">
        <f t="shared" si="137"/>
        <v/>
      </c>
      <c r="AA349" s="70" t="str">
        <f t="shared" si="138"/>
        <v/>
      </c>
      <c r="AB349" s="70" t="str">
        <f t="shared" si="139"/>
        <v/>
      </c>
      <c r="AC349" s="71" t="str">
        <f t="shared" si="140"/>
        <v/>
      </c>
      <c r="AD349" s="72" t="str">
        <f t="shared" si="141"/>
        <v/>
      </c>
      <c r="AE349" s="73" t="str">
        <f>IF(A349="","",COUNT($N$2:N349))</f>
        <v/>
      </c>
      <c r="AF349" s="74" t="str">
        <f t="shared" si="142"/>
        <v/>
      </c>
      <c r="AG349" s="74" t="str">
        <f t="shared" si="143"/>
        <v/>
      </c>
      <c r="AH349" s="74" t="str">
        <f t="shared" si="144"/>
        <v/>
      </c>
      <c r="AI349" s="74" t="str">
        <f t="shared" si="145"/>
        <v/>
      </c>
      <c r="AJ349" s="74" t="str">
        <f t="shared" si="146"/>
        <v/>
      </c>
      <c r="AK349" s="74" t="str">
        <f>IF(A349="","",1/Tabela1[[#This Row],[ODDC]])</f>
        <v/>
      </c>
      <c r="AL349" s="74" t="str">
        <f>IF(A349="","",1/Tabela1[[#This Row],[ODDE]])</f>
        <v/>
      </c>
      <c r="AM349" s="74" t="str">
        <f>IF(A349="","",1/Tabela1[[#This Row],[ODDV]])</f>
        <v/>
      </c>
      <c r="AN349" s="74" t="str">
        <f>IF(A349="","",1-(Tabela1[[#This Row],[p(H)]]+Tabela1[[#This Row],[p(D)]]+Tabela1[[#This Row],[p(A)]]))</f>
        <v/>
      </c>
      <c r="AO349" s="74" t="str">
        <f>IF(A349="","",IFERROR(Tabela1[[#This Row],[p(H)]]/Tabela1[[#This Row],[FTHG]],1))</f>
        <v/>
      </c>
      <c r="AP349" s="74" t="str">
        <f>IF(A349="","",IFERROR(Tabela1[[#This Row],[p(A)]]/Tabela1[[#This Row],[FTAG]],1))</f>
        <v/>
      </c>
      <c r="AQ349" s="107"/>
      <c r="AR349" s="107"/>
      <c r="AS349" s="107"/>
      <c r="AT349" s="107"/>
      <c r="AU349" s="107"/>
      <c r="AV349" s="107"/>
      <c r="AW349" s="107"/>
      <c r="AX349" s="107"/>
      <c r="AY349" s="107"/>
      <c r="AZ349" s="75"/>
      <c r="BA349" s="75"/>
      <c r="BB349" s="75"/>
      <c r="BC349" s="107"/>
      <c r="BD349" s="107"/>
      <c r="BE349" s="107"/>
      <c r="BF349" s="107"/>
      <c r="BG349" s="107"/>
      <c r="BH349" s="107"/>
      <c r="BI349" s="107"/>
      <c r="BJ349" s="107"/>
      <c r="BK349" s="107"/>
      <c r="BL349" s="107"/>
      <c r="BM349" s="107"/>
      <c r="BN349" s="107"/>
      <c r="BO349" s="107"/>
      <c r="BP349" s="107"/>
      <c r="BQ349" s="107"/>
      <c r="BR349" s="107"/>
      <c r="BS349" s="107"/>
      <c r="BT349" s="107"/>
      <c r="BU349" s="107"/>
      <c r="BV349" s="107"/>
      <c r="BW349" s="107"/>
      <c r="BX349" s="75"/>
      <c r="BY349" s="75"/>
      <c r="BZ349" s="75"/>
      <c r="CA349" s="75"/>
      <c r="CB349" s="75"/>
      <c r="CC349" s="75"/>
      <c r="CD349" s="75"/>
      <c r="CE349" s="102"/>
      <c r="CF349" s="102"/>
      <c r="CG349" s="102"/>
      <c r="CH349" s="102"/>
      <c r="CI349" s="102"/>
      <c r="CJ349" s="102"/>
      <c r="CK349" s="102"/>
      <c r="CL349" s="102"/>
      <c r="CM349" s="102"/>
      <c r="CN349" s="102"/>
      <c r="CO349" s="102"/>
      <c r="CP349" s="102"/>
      <c r="CQ349" s="102"/>
      <c r="CR349" s="102"/>
      <c r="CS349" s="102"/>
      <c r="CT349" s="102"/>
      <c r="CU349" s="102"/>
      <c r="CV349" s="102"/>
      <c r="CW349" s="102"/>
      <c r="CX349" s="102"/>
      <c r="CY349" s="102"/>
      <c r="CZ349" s="102"/>
      <c r="DA349" s="102"/>
      <c r="DB349" s="102"/>
      <c r="DC349" s="102"/>
      <c r="DD349" s="102"/>
      <c r="DE349" s="102"/>
      <c r="DF349" s="102"/>
      <c r="DG349" s="102"/>
      <c r="DH349" s="102"/>
      <c r="DI349" s="102"/>
      <c r="DJ349" s="102"/>
      <c r="DK349" s="102"/>
      <c r="DL349" s="102"/>
      <c r="DM349" s="102"/>
      <c r="DN349" s="102"/>
      <c r="DO349" s="102"/>
      <c r="DP349" s="102"/>
    </row>
    <row r="350" spans="1:120" x14ac:dyDescent="0.25">
      <c r="A350" s="4"/>
      <c r="F350"/>
      <c r="G350" s="1"/>
      <c r="H350" s="1"/>
      <c r="I350" s="1"/>
      <c r="J350" s="68" t="str">
        <f t="shared" si="126"/>
        <v/>
      </c>
      <c r="K350" s="68" t="str">
        <f t="shared" si="127"/>
        <v/>
      </c>
      <c r="L350" s="69" t="str">
        <f t="shared" si="128"/>
        <v/>
      </c>
      <c r="M350" s="69" t="str">
        <f t="shared" si="129"/>
        <v/>
      </c>
      <c r="N350" s="69" t="str">
        <f>IF(A350="","",Tabela1[[#This Row],[PTC]]*Tabela1[[#This Row],[ODDC]])</f>
        <v/>
      </c>
      <c r="O350" s="69" t="str">
        <f>IF(A350="","",Tabela1[[#This Row],[PTV]]*Tabela1[[#This Row],[ODDV]])</f>
        <v/>
      </c>
      <c r="P350" s="68" t="str">
        <f t="shared" si="130"/>
        <v/>
      </c>
      <c r="Q350" s="68" t="str">
        <f t="shared" si="131"/>
        <v/>
      </c>
      <c r="R350" s="68" t="str">
        <f t="shared" si="132"/>
        <v/>
      </c>
      <c r="S350" s="68" t="str">
        <f t="shared" si="133"/>
        <v/>
      </c>
      <c r="T350" s="68" t="str">
        <f>IF(A350="","",IF(F350="D",Tabela1[[#This Row],[ODDE]]-1,-1))</f>
        <v/>
      </c>
      <c r="U350" s="70" t="str">
        <f>IF(A350="","",IF(AND(Tabela1[[#This Row],[FTHG]]&gt;3,F350="H"),1,0))</f>
        <v/>
      </c>
      <c r="V350" s="70" t="str">
        <f>IF(A350="","",IF(AND(Tabela1[[#This Row],[FTAG]]&gt;3,F350="A"),1,0))</f>
        <v/>
      </c>
      <c r="W350" s="70" t="str">
        <f t="shared" si="134"/>
        <v/>
      </c>
      <c r="X350" s="70" t="str">
        <f t="shared" si="135"/>
        <v/>
      </c>
      <c r="Y350" s="71" t="str">
        <f t="shared" si="136"/>
        <v/>
      </c>
      <c r="Z350" s="70" t="str">
        <f t="shared" si="137"/>
        <v/>
      </c>
      <c r="AA350" s="70" t="str">
        <f t="shared" si="138"/>
        <v/>
      </c>
      <c r="AB350" s="70" t="str">
        <f t="shared" si="139"/>
        <v/>
      </c>
      <c r="AC350" s="71" t="str">
        <f t="shared" si="140"/>
        <v/>
      </c>
      <c r="AD350" s="72" t="str">
        <f t="shared" si="141"/>
        <v/>
      </c>
      <c r="AE350" s="73" t="str">
        <f>IF(A350="","",COUNT($N$2:N350))</f>
        <v/>
      </c>
      <c r="AF350" s="74" t="str">
        <f t="shared" si="142"/>
        <v/>
      </c>
      <c r="AG350" s="74" t="str">
        <f t="shared" si="143"/>
        <v/>
      </c>
      <c r="AH350" s="74" t="str">
        <f t="shared" si="144"/>
        <v/>
      </c>
      <c r="AI350" s="74" t="str">
        <f t="shared" si="145"/>
        <v/>
      </c>
      <c r="AJ350" s="74" t="str">
        <f t="shared" si="146"/>
        <v/>
      </c>
      <c r="AK350" s="74" t="str">
        <f>IF(A350="","",1/Tabela1[[#This Row],[ODDC]])</f>
        <v/>
      </c>
      <c r="AL350" s="74" t="str">
        <f>IF(A350="","",1/Tabela1[[#This Row],[ODDE]])</f>
        <v/>
      </c>
      <c r="AM350" s="74" t="str">
        <f>IF(A350="","",1/Tabela1[[#This Row],[ODDV]])</f>
        <v/>
      </c>
      <c r="AN350" s="74" t="str">
        <f>IF(A350="","",1-(Tabela1[[#This Row],[p(H)]]+Tabela1[[#This Row],[p(D)]]+Tabela1[[#This Row],[p(A)]]))</f>
        <v/>
      </c>
      <c r="AO350" s="74" t="str">
        <f>IF(A350="","",IFERROR(Tabela1[[#This Row],[p(H)]]/Tabela1[[#This Row],[FTHG]],1))</f>
        <v/>
      </c>
      <c r="AP350" s="74" t="str">
        <f>IF(A350="","",IFERROR(Tabela1[[#This Row],[p(A)]]/Tabela1[[#This Row],[FTAG]],1))</f>
        <v/>
      </c>
      <c r="AQ350" s="107"/>
      <c r="AR350" s="107"/>
      <c r="AS350" s="107"/>
      <c r="AT350" s="107"/>
      <c r="AU350" s="107"/>
      <c r="AV350" s="107"/>
      <c r="AW350" s="107"/>
      <c r="AX350" s="107"/>
      <c r="AY350" s="107"/>
      <c r="AZ350" s="75"/>
      <c r="BA350" s="75"/>
      <c r="BB350" s="75"/>
      <c r="BC350" s="107"/>
      <c r="BD350" s="107"/>
      <c r="BE350" s="107"/>
      <c r="BF350" s="107"/>
      <c r="BG350" s="107"/>
      <c r="BH350" s="107"/>
      <c r="BI350" s="107"/>
      <c r="BJ350" s="107"/>
      <c r="BK350" s="107"/>
      <c r="BL350" s="107"/>
      <c r="BM350" s="107"/>
      <c r="BN350" s="107"/>
      <c r="BO350" s="107"/>
      <c r="BP350" s="107"/>
      <c r="BQ350" s="107"/>
      <c r="BR350" s="107"/>
      <c r="BS350" s="107"/>
      <c r="BT350" s="107"/>
      <c r="BU350" s="107"/>
      <c r="BV350" s="107"/>
      <c r="BW350" s="107"/>
      <c r="BX350" s="75"/>
      <c r="BY350" s="75"/>
      <c r="BZ350" s="75"/>
      <c r="CA350" s="75"/>
      <c r="CB350" s="75"/>
      <c r="CC350" s="75"/>
      <c r="CD350" s="75"/>
      <c r="CE350" s="102"/>
      <c r="CF350" s="102"/>
      <c r="CG350" s="102"/>
      <c r="CH350" s="102"/>
      <c r="CI350" s="102"/>
      <c r="CJ350" s="102"/>
      <c r="CK350" s="102"/>
      <c r="CL350" s="102"/>
      <c r="CM350" s="102"/>
      <c r="CN350" s="102"/>
      <c r="CO350" s="102"/>
      <c r="CP350" s="102"/>
      <c r="CQ350" s="102"/>
      <c r="CR350" s="102"/>
      <c r="CS350" s="102"/>
      <c r="CT350" s="102"/>
      <c r="CU350" s="102"/>
      <c r="CV350" s="102"/>
      <c r="CW350" s="102"/>
      <c r="CX350" s="102"/>
      <c r="CY350" s="102"/>
      <c r="CZ350" s="102"/>
      <c r="DA350" s="102"/>
      <c r="DB350" s="102"/>
      <c r="DC350" s="102"/>
      <c r="DD350" s="102"/>
      <c r="DE350" s="102"/>
      <c r="DF350" s="102"/>
      <c r="DG350" s="102"/>
      <c r="DH350" s="102"/>
      <c r="DI350" s="102"/>
      <c r="DJ350" s="102"/>
      <c r="DK350" s="102"/>
      <c r="DL350" s="102"/>
      <c r="DM350" s="102"/>
      <c r="DN350" s="102"/>
      <c r="DO350" s="102"/>
      <c r="DP350" s="102"/>
    </row>
    <row r="351" spans="1:120" x14ac:dyDescent="0.25">
      <c r="A351" s="4"/>
      <c r="F351"/>
      <c r="G351" s="1"/>
      <c r="H351" s="1"/>
      <c r="I351" s="1"/>
      <c r="J351" s="68" t="str">
        <f t="shared" si="126"/>
        <v/>
      </c>
      <c r="K351" s="68" t="str">
        <f t="shared" si="127"/>
        <v/>
      </c>
      <c r="L351" s="69" t="str">
        <f t="shared" si="128"/>
        <v/>
      </c>
      <c r="M351" s="69" t="str">
        <f t="shared" si="129"/>
        <v/>
      </c>
      <c r="N351" s="69" t="str">
        <f>IF(A351="","",Tabela1[[#This Row],[PTC]]*Tabela1[[#This Row],[ODDC]])</f>
        <v/>
      </c>
      <c r="O351" s="69" t="str">
        <f>IF(A351="","",Tabela1[[#This Row],[PTV]]*Tabela1[[#This Row],[ODDV]])</f>
        <v/>
      </c>
      <c r="P351" s="68" t="str">
        <f t="shared" si="130"/>
        <v/>
      </c>
      <c r="Q351" s="68" t="str">
        <f t="shared" si="131"/>
        <v/>
      </c>
      <c r="R351" s="68" t="str">
        <f t="shared" si="132"/>
        <v/>
      </c>
      <c r="S351" s="68" t="str">
        <f t="shared" si="133"/>
        <v/>
      </c>
      <c r="T351" s="68" t="str">
        <f>IF(A351="","",IF(F351="D",Tabela1[[#This Row],[ODDE]]-1,-1))</f>
        <v/>
      </c>
      <c r="U351" s="70" t="str">
        <f>IF(A351="","",IF(AND(Tabela1[[#This Row],[FTHG]]&gt;3,F351="H"),1,0))</f>
        <v/>
      </c>
      <c r="V351" s="70" t="str">
        <f>IF(A351="","",IF(AND(Tabela1[[#This Row],[FTAG]]&gt;3,F351="A"),1,0))</f>
        <v/>
      </c>
      <c r="W351" s="70" t="str">
        <f t="shared" si="134"/>
        <v/>
      </c>
      <c r="X351" s="70" t="str">
        <f t="shared" si="135"/>
        <v/>
      </c>
      <c r="Y351" s="71" t="str">
        <f t="shared" si="136"/>
        <v/>
      </c>
      <c r="Z351" s="70" t="str">
        <f t="shared" si="137"/>
        <v/>
      </c>
      <c r="AA351" s="70" t="str">
        <f t="shared" si="138"/>
        <v/>
      </c>
      <c r="AB351" s="70" t="str">
        <f t="shared" si="139"/>
        <v/>
      </c>
      <c r="AC351" s="71" t="str">
        <f t="shared" si="140"/>
        <v/>
      </c>
      <c r="AD351" s="72" t="str">
        <f t="shared" si="141"/>
        <v/>
      </c>
      <c r="AE351" s="73" t="str">
        <f>IF(A351="","",COUNT($N$2:N351))</f>
        <v/>
      </c>
      <c r="AF351" s="74" t="str">
        <f t="shared" si="142"/>
        <v/>
      </c>
      <c r="AG351" s="74" t="str">
        <f t="shared" si="143"/>
        <v/>
      </c>
      <c r="AH351" s="74" t="str">
        <f t="shared" si="144"/>
        <v/>
      </c>
      <c r="AI351" s="74" t="str">
        <f t="shared" si="145"/>
        <v/>
      </c>
      <c r="AJ351" s="74" t="str">
        <f t="shared" si="146"/>
        <v/>
      </c>
      <c r="AK351" s="74" t="str">
        <f>IF(A351="","",1/Tabela1[[#This Row],[ODDC]])</f>
        <v/>
      </c>
      <c r="AL351" s="74" t="str">
        <f>IF(A351="","",1/Tabela1[[#This Row],[ODDE]])</f>
        <v/>
      </c>
      <c r="AM351" s="74" t="str">
        <f>IF(A351="","",1/Tabela1[[#This Row],[ODDV]])</f>
        <v/>
      </c>
      <c r="AN351" s="74" t="str">
        <f>IF(A351="","",1-(Tabela1[[#This Row],[p(H)]]+Tabela1[[#This Row],[p(D)]]+Tabela1[[#This Row],[p(A)]]))</f>
        <v/>
      </c>
      <c r="AO351" s="74" t="str">
        <f>IF(A351="","",IFERROR(Tabela1[[#This Row],[p(H)]]/Tabela1[[#This Row],[FTHG]],1))</f>
        <v/>
      </c>
      <c r="AP351" s="74" t="str">
        <f>IF(A351="","",IFERROR(Tabela1[[#This Row],[p(A)]]/Tabela1[[#This Row],[FTAG]],1))</f>
        <v/>
      </c>
      <c r="AQ351" s="107"/>
      <c r="AR351" s="107"/>
      <c r="AS351" s="107"/>
      <c r="AT351" s="107"/>
      <c r="AU351" s="107"/>
      <c r="AV351" s="107"/>
      <c r="AW351" s="107"/>
      <c r="AX351" s="107"/>
      <c r="AY351" s="107"/>
      <c r="AZ351" s="75"/>
      <c r="BA351" s="75"/>
      <c r="BB351" s="75"/>
      <c r="BC351" s="107"/>
      <c r="BD351" s="107"/>
      <c r="BE351" s="107"/>
      <c r="BF351" s="107"/>
      <c r="BG351" s="107"/>
      <c r="BH351" s="107"/>
      <c r="BI351" s="107"/>
      <c r="BJ351" s="107"/>
      <c r="BK351" s="107"/>
      <c r="BL351" s="107"/>
      <c r="BM351" s="107"/>
      <c r="BN351" s="107"/>
      <c r="BO351" s="107"/>
      <c r="BP351" s="107"/>
      <c r="BQ351" s="107"/>
      <c r="BR351" s="107"/>
      <c r="BS351" s="107"/>
      <c r="BT351" s="107"/>
      <c r="BU351" s="107"/>
      <c r="BV351" s="107"/>
      <c r="BW351" s="107"/>
      <c r="BX351" s="75"/>
      <c r="BY351" s="75"/>
      <c r="BZ351" s="75"/>
      <c r="CA351" s="75"/>
      <c r="CB351" s="75"/>
      <c r="CC351" s="75"/>
      <c r="CD351" s="75"/>
      <c r="CE351" s="102"/>
      <c r="CF351" s="102"/>
      <c r="CG351" s="102"/>
      <c r="CH351" s="102"/>
      <c r="CI351" s="102"/>
      <c r="CJ351" s="102"/>
      <c r="CK351" s="102"/>
      <c r="CL351" s="102"/>
      <c r="CM351" s="102"/>
      <c r="CN351" s="102"/>
      <c r="CO351" s="102"/>
      <c r="CP351" s="102"/>
      <c r="CQ351" s="102"/>
      <c r="CR351" s="102"/>
      <c r="CS351" s="102"/>
      <c r="CT351" s="102"/>
      <c r="CU351" s="102"/>
      <c r="CV351" s="102"/>
      <c r="CW351" s="102"/>
      <c r="CX351" s="102"/>
      <c r="CY351" s="102"/>
      <c r="CZ351" s="102"/>
      <c r="DA351" s="102"/>
      <c r="DB351" s="102"/>
      <c r="DC351" s="102"/>
      <c r="DD351" s="102"/>
      <c r="DE351" s="102"/>
      <c r="DF351" s="102"/>
      <c r="DG351" s="102"/>
      <c r="DH351" s="102"/>
      <c r="DI351" s="102"/>
      <c r="DJ351" s="102"/>
      <c r="DK351" s="102"/>
      <c r="DL351" s="102"/>
      <c r="DM351" s="102"/>
      <c r="DN351" s="102"/>
      <c r="DO351" s="102"/>
      <c r="DP351" s="102"/>
    </row>
    <row r="352" spans="1:120" x14ac:dyDescent="0.25">
      <c r="A352" s="4"/>
      <c r="F352"/>
      <c r="G352" s="1"/>
      <c r="H352" s="1"/>
      <c r="I352" s="1"/>
      <c r="J352" s="68" t="str">
        <f t="shared" si="126"/>
        <v/>
      </c>
      <c r="K352" s="68" t="str">
        <f t="shared" si="127"/>
        <v/>
      </c>
      <c r="L352" s="69" t="str">
        <f t="shared" si="128"/>
        <v/>
      </c>
      <c r="M352" s="69" t="str">
        <f t="shared" si="129"/>
        <v/>
      </c>
      <c r="N352" s="69" t="str">
        <f>IF(A352="","",Tabela1[[#This Row],[PTC]]*Tabela1[[#This Row],[ODDC]])</f>
        <v/>
      </c>
      <c r="O352" s="69" t="str">
        <f>IF(A352="","",Tabela1[[#This Row],[PTV]]*Tabela1[[#This Row],[ODDV]])</f>
        <v/>
      </c>
      <c r="P352" s="68" t="str">
        <f t="shared" si="130"/>
        <v/>
      </c>
      <c r="Q352" s="68" t="str">
        <f t="shared" si="131"/>
        <v/>
      </c>
      <c r="R352" s="68" t="str">
        <f t="shared" si="132"/>
        <v/>
      </c>
      <c r="S352" s="68" t="str">
        <f t="shared" si="133"/>
        <v/>
      </c>
      <c r="T352" s="68" t="str">
        <f>IF(A352="","",IF(F352="D",Tabela1[[#This Row],[ODDE]]-1,-1))</f>
        <v/>
      </c>
      <c r="U352" s="70" t="str">
        <f>IF(A352="","",IF(AND(Tabela1[[#This Row],[FTHG]]&gt;3,F352="H"),1,0))</f>
        <v/>
      </c>
      <c r="V352" s="70" t="str">
        <f>IF(A352="","",IF(AND(Tabela1[[#This Row],[FTAG]]&gt;3,F352="A"),1,0))</f>
        <v/>
      </c>
      <c r="W352" s="70" t="str">
        <f t="shared" si="134"/>
        <v/>
      </c>
      <c r="X352" s="70" t="str">
        <f t="shared" si="135"/>
        <v/>
      </c>
      <c r="Y352" s="71" t="str">
        <f t="shared" si="136"/>
        <v/>
      </c>
      <c r="Z352" s="70" t="str">
        <f t="shared" si="137"/>
        <v/>
      </c>
      <c r="AA352" s="70" t="str">
        <f t="shared" si="138"/>
        <v/>
      </c>
      <c r="AB352" s="70" t="str">
        <f t="shared" si="139"/>
        <v/>
      </c>
      <c r="AC352" s="71" t="str">
        <f t="shared" si="140"/>
        <v/>
      </c>
      <c r="AD352" s="72" t="str">
        <f t="shared" si="141"/>
        <v/>
      </c>
      <c r="AE352" s="73" t="str">
        <f>IF(A352="","",COUNT($N$2:N352))</f>
        <v/>
      </c>
      <c r="AF352" s="74" t="str">
        <f t="shared" si="142"/>
        <v/>
      </c>
      <c r="AG352" s="74" t="str">
        <f t="shared" si="143"/>
        <v/>
      </c>
      <c r="AH352" s="74" t="str">
        <f t="shared" si="144"/>
        <v/>
      </c>
      <c r="AI352" s="74" t="str">
        <f t="shared" si="145"/>
        <v/>
      </c>
      <c r="AJ352" s="74" t="str">
        <f t="shared" si="146"/>
        <v/>
      </c>
      <c r="AK352" s="74" t="str">
        <f>IF(A352="","",1/Tabela1[[#This Row],[ODDC]])</f>
        <v/>
      </c>
      <c r="AL352" s="74" t="str">
        <f>IF(A352="","",1/Tabela1[[#This Row],[ODDE]])</f>
        <v/>
      </c>
      <c r="AM352" s="74" t="str">
        <f>IF(A352="","",1/Tabela1[[#This Row],[ODDV]])</f>
        <v/>
      </c>
      <c r="AN352" s="74" t="str">
        <f>IF(A352="","",1-(Tabela1[[#This Row],[p(H)]]+Tabela1[[#This Row],[p(D)]]+Tabela1[[#This Row],[p(A)]]))</f>
        <v/>
      </c>
      <c r="AO352" s="74" t="str">
        <f>IF(A352="","",IFERROR(Tabela1[[#This Row],[p(H)]]/Tabela1[[#This Row],[FTHG]],1))</f>
        <v/>
      </c>
      <c r="AP352" s="74" t="str">
        <f>IF(A352="","",IFERROR(Tabela1[[#This Row],[p(A)]]/Tabela1[[#This Row],[FTAG]],1))</f>
        <v/>
      </c>
      <c r="AQ352" s="107"/>
      <c r="AR352" s="107"/>
      <c r="AS352" s="107"/>
      <c r="AT352" s="107"/>
      <c r="AU352" s="107"/>
      <c r="AV352" s="107"/>
      <c r="AW352" s="107"/>
      <c r="AX352" s="107"/>
      <c r="AY352" s="107"/>
      <c r="AZ352" s="75"/>
      <c r="BA352" s="75"/>
      <c r="BB352" s="75"/>
      <c r="BC352" s="107"/>
      <c r="BD352" s="107"/>
      <c r="BE352" s="107"/>
      <c r="BF352" s="107"/>
      <c r="BG352" s="107"/>
      <c r="BH352" s="107"/>
      <c r="BI352" s="107"/>
      <c r="BJ352" s="107"/>
      <c r="BK352" s="107"/>
      <c r="BL352" s="107"/>
      <c r="BM352" s="107"/>
      <c r="BN352" s="107"/>
      <c r="BO352" s="107"/>
      <c r="BP352" s="107"/>
      <c r="BQ352" s="107"/>
      <c r="BR352" s="107"/>
      <c r="BS352" s="107"/>
      <c r="BT352" s="107"/>
      <c r="BU352" s="107"/>
      <c r="BV352" s="107"/>
      <c r="BW352" s="107"/>
      <c r="BX352" s="75"/>
      <c r="BY352" s="75"/>
      <c r="BZ352" s="75"/>
      <c r="CA352" s="75"/>
      <c r="CB352" s="75"/>
      <c r="CC352" s="75"/>
      <c r="CD352" s="75"/>
      <c r="CE352" s="102"/>
      <c r="CF352" s="102"/>
      <c r="CG352" s="102"/>
      <c r="CH352" s="102"/>
      <c r="CI352" s="102"/>
      <c r="CJ352" s="102"/>
      <c r="CK352" s="102"/>
      <c r="CL352" s="102"/>
      <c r="CM352" s="102"/>
      <c r="CN352" s="102"/>
      <c r="CO352" s="102"/>
      <c r="CP352" s="102"/>
      <c r="CQ352" s="102"/>
      <c r="CR352" s="102"/>
      <c r="CS352" s="102"/>
      <c r="CT352" s="102"/>
      <c r="CU352" s="102"/>
      <c r="CV352" s="102"/>
      <c r="CW352" s="102"/>
      <c r="CX352" s="102"/>
      <c r="CY352" s="102"/>
      <c r="CZ352" s="102"/>
      <c r="DA352" s="102"/>
      <c r="DB352" s="102"/>
      <c r="DC352" s="102"/>
      <c r="DD352" s="102"/>
      <c r="DE352" s="102"/>
      <c r="DF352" s="102"/>
      <c r="DG352" s="102"/>
      <c r="DH352" s="102"/>
      <c r="DI352" s="102"/>
      <c r="DJ352" s="102"/>
      <c r="DK352" s="102"/>
      <c r="DL352" s="102"/>
      <c r="DM352" s="102"/>
      <c r="DN352" s="102"/>
      <c r="DO352" s="102"/>
      <c r="DP352" s="102"/>
    </row>
    <row r="353" spans="1:120" x14ac:dyDescent="0.25">
      <c r="A353" s="4"/>
      <c r="F353"/>
      <c r="G353" s="1"/>
      <c r="H353" s="1"/>
      <c r="I353" s="1"/>
      <c r="J353" s="68" t="str">
        <f t="shared" si="126"/>
        <v/>
      </c>
      <c r="K353" s="68" t="str">
        <f t="shared" si="127"/>
        <v/>
      </c>
      <c r="L353" s="69" t="str">
        <f t="shared" si="128"/>
        <v/>
      </c>
      <c r="M353" s="69" t="str">
        <f t="shared" si="129"/>
        <v/>
      </c>
      <c r="N353" s="69" t="str">
        <f>IF(A353="","",Tabela1[[#This Row],[PTC]]*Tabela1[[#This Row],[ODDC]])</f>
        <v/>
      </c>
      <c r="O353" s="69" t="str">
        <f>IF(A353="","",Tabela1[[#This Row],[PTV]]*Tabela1[[#This Row],[ODDV]])</f>
        <v/>
      </c>
      <c r="P353" s="68" t="str">
        <f t="shared" si="130"/>
        <v/>
      </c>
      <c r="Q353" s="68" t="str">
        <f t="shared" si="131"/>
        <v/>
      </c>
      <c r="R353" s="68" t="str">
        <f t="shared" si="132"/>
        <v/>
      </c>
      <c r="S353" s="68" t="str">
        <f t="shared" si="133"/>
        <v/>
      </c>
      <c r="T353" s="68" t="str">
        <f>IF(A353="","",IF(F353="D",Tabela1[[#This Row],[ODDE]]-1,-1))</f>
        <v/>
      </c>
      <c r="U353" s="70" t="str">
        <f>IF(A353="","",IF(AND(Tabela1[[#This Row],[FTHG]]&gt;3,F353="H"),1,0))</f>
        <v/>
      </c>
      <c r="V353" s="70" t="str">
        <f>IF(A353="","",IF(AND(Tabela1[[#This Row],[FTAG]]&gt;3,F353="A"),1,0))</f>
        <v/>
      </c>
      <c r="W353" s="70" t="str">
        <f t="shared" si="134"/>
        <v/>
      </c>
      <c r="X353" s="70" t="str">
        <f t="shared" si="135"/>
        <v/>
      </c>
      <c r="Y353" s="71" t="str">
        <f t="shared" si="136"/>
        <v/>
      </c>
      <c r="Z353" s="70" t="str">
        <f t="shared" si="137"/>
        <v/>
      </c>
      <c r="AA353" s="70" t="str">
        <f t="shared" si="138"/>
        <v/>
      </c>
      <c r="AB353" s="70" t="str">
        <f t="shared" si="139"/>
        <v/>
      </c>
      <c r="AC353" s="71" t="str">
        <f t="shared" si="140"/>
        <v/>
      </c>
      <c r="AD353" s="72" t="str">
        <f t="shared" si="141"/>
        <v/>
      </c>
      <c r="AE353" s="73" t="str">
        <f>IF(A353="","",COUNT($N$2:N353))</f>
        <v/>
      </c>
      <c r="AF353" s="74" t="str">
        <f t="shared" si="142"/>
        <v/>
      </c>
      <c r="AG353" s="74" t="str">
        <f t="shared" si="143"/>
        <v/>
      </c>
      <c r="AH353" s="74" t="str">
        <f t="shared" si="144"/>
        <v/>
      </c>
      <c r="AI353" s="74" t="str">
        <f t="shared" si="145"/>
        <v/>
      </c>
      <c r="AJ353" s="74" t="str">
        <f t="shared" si="146"/>
        <v/>
      </c>
      <c r="AK353" s="74" t="str">
        <f>IF(A353="","",1/Tabela1[[#This Row],[ODDC]])</f>
        <v/>
      </c>
      <c r="AL353" s="74" t="str">
        <f>IF(A353="","",1/Tabela1[[#This Row],[ODDE]])</f>
        <v/>
      </c>
      <c r="AM353" s="74" t="str">
        <f>IF(A353="","",1/Tabela1[[#This Row],[ODDV]])</f>
        <v/>
      </c>
      <c r="AN353" s="74" t="str">
        <f>IF(A353="","",1-(Tabela1[[#This Row],[p(H)]]+Tabela1[[#This Row],[p(D)]]+Tabela1[[#This Row],[p(A)]]))</f>
        <v/>
      </c>
      <c r="AO353" s="74" t="str">
        <f>IF(A353="","",IFERROR(Tabela1[[#This Row],[p(H)]]/Tabela1[[#This Row],[FTHG]],1))</f>
        <v/>
      </c>
      <c r="AP353" s="74" t="str">
        <f>IF(A353="","",IFERROR(Tabela1[[#This Row],[p(A)]]/Tabela1[[#This Row],[FTAG]],1))</f>
        <v/>
      </c>
      <c r="AQ353" s="107"/>
      <c r="AR353" s="107"/>
      <c r="AS353" s="107"/>
      <c r="AT353" s="107"/>
      <c r="AU353" s="107"/>
      <c r="AV353" s="107"/>
      <c r="AW353" s="107"/>
      <c r="AX353" s="107"/>
      <c r="AY353" s="107"/>
      <c r="AZ353" s="75"/>
      <c r="BA353" s="75"/>
      <c r="BB353" s="75"/>
      <c r="BC353" s="107"/>
      <c r="BD353" s="107"/>
      <c r="BE353" s="107"/>
      <c r="BF353" s="107"/>
      <c r="BG353" s="107"/>
      <c r="BH353" s="107"/>
      <c r="BI353" s="107"/>
      <c r="BJ353" s="107"/>
      <c r="BK353" s="107"/>
      <c r="BL353" s="107"/>
      <c r="BM353" s="107"/>
      <c r="BN353" s="107"/>
      <c r="BO353" s="107"/>
      <c r="BP353" s="107"/>
      <c r="BQ353" s="107"/>
      <c r="BR353" s="107"/>
      <c r="BS353" s="107"/>
      <c r="BT353" s="107"/>
      <c r="BU353" s="107"/>
      <c r="BV353" s="107"/>
      <c r="BW353" s="107"/>
      <c r="BX353" s="75"/>
      <c r="BY353" s="75"/>
      <c r="BZ353" s="75"/>
      <c r="CA353" s="75"/>
      <c r="CB353" s="75"/>
      <c r="CC353" s="75"/>
      <c r="CD353" s="75"/>
      <c r="CE353" s="102"/>
      <c r="CF353" s="102"/>
      <c r="CG353" s="102"/>
      <c r="CH353" s="102"/>
      <c r="CI353" s="102"/>
      <c r="CJ353" s="102"/>
      <c r="CK353" s="102"/>
      <c r="CL353" s="102"/>
      <c r="CM353" s="102"/>
      <c r="CN353" s="102"/>
      <c r="CO353" s="102"/>
      <c r="CP353" s="102"/>
      <c r="CQ353" s="102"/>
      <c r="CR353" s="102"/>
      <c r="CS353" s="102"/>
      <c r="CT353" s="102"/>
      <c r="CU353" s="102"/>
      <c r="CV353" s="102"/>
      <c r="CW353" s="102"/>
      <c r="CX353" s="102"/>
      <c r="CY353" s="102"/>
      <c r="CZ353" s="102"/>
      <c r="DA353" s="102"/>
      <c r="DB353" s="102"/>
      <c r="DC353" s="102"/>
      <c r="DD353" s="102"/>
      <c r="DE353" s="102"/>
      <c r="DF353" s="102"/>
      <c r="DG353" s="102"/>
      <c r="DH353" s="102"/>
      <c r="DI353" s="102"/>
      <c r="DJ353" s="102"/>
      <c r="DK353" s="102"/>
      <c r="DL353" s="102"/>
      <c r="DM353" s="102"/>
      <c r="DN353" s="102"/>
      <c r="DO353" s="102"/>
      <c r="DP353" s="102"/>
    </row>
    <row r="354" spans="1:120" x14ac:dyDescent="0.25">
      <c r="A354" s="4"/>
      <c r="F354"/>
      <c r="G354" s="1"/>
      <c r="H354" s="1"/>
      <c r="I354" s="1"/>
      <c r="J354" s="68" t="str">
        <f t="shared" si="126"/>
        <v/>
      </c>
      <c r="K354" s="68" t="str">
        <f t="shared" si="127"/>
        <v/>
      </c>
      <c r="L354" s="69" t="str">
        <f t="shared" si="128"/>
        <v/>
      </c>
      <c r="M354" s="69" t="str">
        <f t="shared" si="129"/>
        <v/>
      </c>
      <c r="N354" s="69" t="str">
        <f>IF(A354="","",Tabela1[[#This Row],[PTC]]*Tabela1[[#This Row],[ODDC]])</f>
        <v/>
      </c>
      <c r="O354" s="69" t="str">
        <f>IF(A354="","",Tabela1[[#This Row],[PTV]]*Tabela1[[#This Row],[ODDV]])</f>
        <v/>
      </c>
      <c r="P354" s="68" t="str">
        <f t="shared" si="130"/>
        <v/>
      </c>
      <c r="Q354" s="68" t="str">
        <f t="shared" si="131"/>
        <v/>
      </c>
      <c r="R354" s="68" t="str">
        <f t="shared" si="132"/>
        <v/>
      </c>
      <c r="S354" s="68" t="str">
        <f t="shared" si="133"/>
        <v/>
      </c>
      <c r="T354" s="68" t="str">
        <f>IF(A354="","",IF(F354="D",Tabela1[[#This Row],[ODDE]]-1,-1))</f>
        <v/>
      </c>
      <c r="U354" s="70" t="str">
        <f>IF(A354="","",IF(AND(Tabela1[[#This Row],[FTHG]]&gt;3,F354="H"),1,0))</f>
        <v/>
      </c>
      <c r="V354" s="70" t="str">
        <f>IF(A354="","",IF(AND(Tabela1[[#This Row],[FTAG]]&gt;3,F354="A"),1,0))</f>
        <v/>
      </c>
      <c r="W354" s="70" t="str">
        <f t="shared" si="134"/>
        <v/>
      </c>
      <c r="X354" s="70" t="str">
        <f t="shared" si="135"/>
        <v/>
      </c>
      <c r="Y354" s="71" t="str">
        <f t="shared" si="136"/>
        <v/>
      </c>
      <c r="Z354" s="70" t="str">
        <f t="shared" si="137"/>
        <v/>
      </c>
      <c r="AA354" s="70" t="str">
        <f t="shared" si="138"/>
        <v/>
      </c>
      <c r="AB354" s="70" t="str">
        <f t="shared" si="139"/>
        <v/>
      </c>
      <c r="AC354" s="71" t="str">
        <f t="shared" si="140"/>
        <v/>
      </c>
      <c r="AD354" s="72" t="str">
        <f t="shared" si="141"/>
        <v/>
      </c>
      <c r="AE354" s="73" t="str">
        <f>IF(A354="","",COUNT($N$2:N354))</f>
        <v/>
      </c>
      <c r="AF354" s="74" t="str">
        <f t="shared" si="142"/>
        <v/>
      </c>
      <c r="AG354" s="74" t="str">
        <f t="shared" si="143"/>
        <v/>
      </c>
      <c r="AH354" s="74" t="str">
        <f t="shared" si="144"/>
        <v/>
      </c>
      <c r="AI354" s="74" t="str">
        <f t="shared" si="145"/>
        <v/>
      </c>
      <c r="AJ354" s="74" t="str">
        <f t="shared" si="146"/>
        <v/>
      </c>
      <c r="AK354" s="74" t="str">
        <f>IF(A354="","",1/Tabela1[[#This Row],[ODDC]])</f>
        <v/>
      </c>
      <c r="AL354" s="74" t="str">
        <f>IF(A354="","",1/Tabela1[[#This Row],[ODDE]])</f>
        <v/>
      </c>
      <c r="AM354" s="74" t="str">
        <f>IF(A354="","",1/Tabela1[[#This Row],[ODDV]])</f>
        <v/>
      </c>
      <c r="AN354" s="74" t="str">
        <f>IF(A354="","",1-(Tabela1[[#This Row],[p(H)]]+Tabela1[[#This Row],[p(D)]]+Tabela1[[#This Row],[p(A)]]))</f>
        <v/>
      </c>
      <c r="AO354" s="74" t="str">
        <f>IF(A354="","",IFERROR(Tabela1[[#This Row],[p(H)]]/Tabela1[[#This Row],[FTHG]],1))</f>
        <v/>
      </c>
      <c r="AP354" s="74" t="str">
        <f>IF(A354="","",IFERROR(Tabela1[[#This Row],[p(A)]]/Tabela1[[#This Row],[FTAG]],1))</f>
        <v/>
      </c>
      <c r="AQ354" s="107"/>
      <c r="AR354" s="107"/>
      <c r="AS354" s="107"/>
      <c r="AT354" s="107"/>
      <c r="AU354" s="107"/>
      <c r="AV354" s="107"/>
      <c r="AW354" s="107"/>
      <c r="AX354" s="107"/>
      <c r="AY354" s="107"/>
      <c r="AZ354" s="75"/>
      <c r="BA354" s="75"/>
      <c r="BB354" s="75"/>
      <c r="BC354" s="107"/>
      <c r="BD354" s="107"/>
      <c r="BE354" s="107"/>
      <c r="BF354" s="107"/>
      <c r="BG354" s="107"/>
      <c r="BH354" s="107"/>
      <c r="BI354" s="107"/>
      <c r="BJ354" s="107"/>
      <c r="BK354" s="107"/>
      <c r="BL354" s="107"/>
      <c r="BM354" s="107"/>
      <c r="BN354" s="107"/>
      <c r="BO354" s="107"/>
      <c r="BP354" s="107"/>
      <c r="BQ354" s="107"/>
      <c r="BR354" s="107"/>
      <c r="BS354" s="107"/>
      <c r="BT354" s="107"/>
      <c r="BU354" s="107"/>
      <c r="BV354" s="107"/>
      <c r="BW354" s="107"/>
      <c r="BX354" s="75"/>
      <c r="BY354" s="75"/>
      <c r="BZ354" s="75"/>
      <c r="CA354" s="75"/>
      <c r="CB354" s="75"/>
      <c r="CC354" s="75"/>
      <c r="CD354" s="75"/>
      <c r="CE354" s="102"/>
      <c r="CF354" s="102"/>
      <c r="CG354" s="102"/>
      <c r="CH354" s="102"/>
      <c r="CI354" s="102"/>
      <c r="CJ354" s="102"/>
      <c r="CK354" s="102"/>
      <c r="CL354" s="102"/>
      <c r="CM354" s="102"/>
      <c r="CN354" s="102"/>
      <c r="CO354" s="102"/>
      <c r="CP354" s="102"/>
      <c r="CQ354" s="102"/>
      <c r="CR354" s="102"/>
      <c r="CS354" s="102"/>
      <c r="CT354" s="102"/>
      <c r="CU354" s="102"/>
      <c r="CV354" s="102"/>
      <c r="CW354" s="102"/>
      <c r="CX354" s="102"/>
      <c r="CY354" s="102"/>
      <c r="CZ354" s="102"/>
      <c r="DA354" s="102"/>
      <c r="DB354" s="102"/>
      <c r="DC354" s="102"/>
      <c r="DD354" s="102"/>
      <c r="DE354" s="102"/>
      <c r="DF354" s="102"/>
      <c r="DG354" s="102"/>
      <c r="DH354" s="102"/>
      <c r="DI354" s="102"/>
      <c r="DJ354" s="102"/>
      <c r="DK354" s="102"/>
      <c r="DL354" s="102"/>
      <c r="DM354" s="102"/>
      <c r="DN354" s="102"/>
      <c r="DO354" s="102"/>
      <c r="DP354" s="102"/>
    </row>
    <row r="355" spans="1:120" x14ac:dyDescent="0.25">
      <c r="A355" s="4"/>
      <c r="F355"/>
      <c r="G355" s="1"/>
      <c r="H355" s="1"/>
      <c r="I355" s="1"/>
      <c r="J355" s="68" t="str">
        <f t="shared" si="126"/>
        <v/>
      </c>
      <c r="K355" s="68" t="str">
        <f t="shared" si="127"/>
        <v/>
      </c>
      <c r="L355" s="69" t="str">
        <f t="shared" si="128"/>
        <v/>
      </c>
      <c r="M355" s="69" t="str">
        <f t="shared" si="129"/>
        <v/>
      </c>
      <c r="N355" s="69" t="str">
        <f>IF(A355="","",Tabela1[[#This Row],[PTC]]*Tabela1[[#This Row],[ODDC]])</f>
        <v/>
      </c>
      <c r="O355" s="69" t="str">
        <f>IF(A355="","",Tabela1[[#This Row],[PTV]]*Tabela1[[#This Row],[ODDV]])</f>
        <v/>
      </c>
      <c r="P355" s="68" t="str">
        <f t="shared" si="130"/>
        <v/>
      </c>
      <c r="Q355" s="68" t="str">
        <f t="shared" si="131"/>
        <v/>
      </c>
      <c r="R355" s="68" t="str">
        <f t="shared" si="132"/>
        <v/>
      </c>
      <c r="S355" s="68" t="str">
        <f t="shared" si="133"/>
        <v/>
      </c>
      <c r="T355" s="68" t="str">
        <f>IF(A355="","",IF(F355="D",Tabela1[[#This Row],[ODDE]]-1,-1))</f>
        <v/>
      </c>
      <c r="U355" s="70" t="str">
        <f>IF(A355="","",IF(AND(Tabela1[[#This Row],[FTHG]]&gt;3,F355="H"),1,0))</f>
        <v/>
      </c>
      <c r="V355" s="70" t="str">
        <f>IF(A355="","",IF(AND(Tabela1[[#This Row],[FTAG]]&gt;3,F355="A"),1,0))</f>
        <v/>
      </c>
      <c r="W355" s="70" t="str">
        <f t="shared" si="134"/>
        <v/>
      </c>
      <c r="X355" s="70" t="str">
        <f t="shared" si="135"/>
        <v/>
      </c>
      <c r="Y355" s="71" t="str">
        <f t="shared" si="136"/>
        <v/>
      </c>
      <c r="Z355" s="70" t="str">
        <f t="shared" si="137"/>
        <v/>
      </c>
      <c r="AA355" s="70" t="str">
        <f t="shared" si="138"/>
        <v/>
      </c>
      <c r="AB355" s="70" t="str">
        <f t="shared" si="139"/>
        <v/>
      </c>
      <c r="AC355" s="71" t="str">
        <f t="shared" si="140"/>
        <v/>
      </c>
      <c r="AD355" s="72" t="str">
        <f t="shared" si="141"/>
        <v/>
      </c>
      <c r="AE355" s="73" t="str">
        <f>IF(A355="","",COUNT($N$2:N355))</f>
        <v/>
      </c>
      <c r="AF355" s="74" t="str">
        <f t="shared" si="142"/>
        <v/>
      </c>
      <c r="AG355" s="74" t="str">
        <f t="shared" si="143"/>
        <v/>
      </c>
      <c r="AH355" s="74" t="str">
        <f t="shared" si="144"/>
        <v/>
      </c>
      <c r="AI355" s="74" t="str">
        <f t="shared" si="145"/>
        <v/>
      </c>
      <c r="AJ355" s="74" t="str">
        <f t="shared" si="146"/>
        <v/>
      </c>
      <c r="AK355" s="74" t="str">
        <f>IF(A355="","",1/Tabela1[[#This Row],[ODDC]])</f>
        <v/>
      </c>
      <c r="AL355" s="74" t="str">
        <f>IF(A355="","",1/Tabela1[[#This Row],[ODDE]])</f>
        <v/>
      </c>
      <c r="AM355" s="74" t="str">
        <f>IF(A355="","",1/Tabela1[[#This Row],[ODDV]])</f>
        <v/>
      </c>
      <c r="AN355" s="74" t="str">
        <f>IF(A355="","",1-(Tabela1[[#This Row],[p(H)]]+Tabela1[[#This Row],[p(D)]]+Tabela1[[#This Row],[p(A)]]))</f>
        <v/>
      </c>
      <c r="AO355" s="74" t="str">
        <f>IF(A355="","",IFERROR(Tabela1[[#This Row],[p(H)]]/Tabela1[[#This Row],[FTHG]],1))</f>
        <v/>
      </c>
      <c r="AP355" s="74" t="str">
        <f>IF(A355="","",IFERROR(Tabela1[[#This Row],[p(A)]]/Tabela1[[#This Row],[FTAG]],1))</f>
        <v/>
      </c>
      <c r="AQ355" s="107"/>
      <c r="AR355" s="107"/>
      <c r="AS355" s="107"/>
      <c r="AT355" s="107"/>
      <c r="AU355" s="107"/>
      <c r="AV355" s="107"/>
      <c r="AW355" s="107"/>
      <c r="AX355" s="107"/>
      <c r="AY355" s="107"/>
      <c r="AZ355" s="75"/>
      <c r="BA355" s="75"/>
      <c r="BB355" s="75"/>
      <c r="BC355" s="107"/>
      <c r="BD355" s="107"/>
      <c r="BE355" s="107"/>
      <c r="BF355" s="107"/>
      <c r="BG355" s="107"/>
      <c r="BH355" s="107"/>
      <c r="BI355" s="107"/>
      <c r="BJ355" s="107"/>
      <c r="BK355" s="107"/>
      <c r="BL355" s="107"/>
      <c r="BM355" s="107"/>
      <c r="BN355" s="107"/>
      <c r="BO355" s="107"/>
      <c r="BP355" s="107"/>
      <c r="BQ355" s="107"/>
      <c r="BR355" s="107"/>
      <c r="BS355" s="107"/>
      <c r="BT355" s="107"/>
      <c r="BU355" s="107"/>
      <c r="BV355" s="107"/>
      <c r="BW355" s="107"/>
      <c r="BX355" s="75"/>
      <c r="BY355" s="75"/>
      <c r="BZ355" s="75"/>
      <c r="CA355" s="75"/>
      <c r="CB355" s="75"/>
      <c r="CC355" s="75"/>
      <c r="CD355" s="75"/>
      <c r="CE355" s="102"/>
      <c r="CF355" s="102"/>
      <c r="CG355" s="102"/>
      <c r="CH355" s="102"/>
      <c r="CI355" s="102"/>
      <c r="CJ355" s="102"/>
      <c r="CK355" s="102"/>
      <c r="CL355" s="102"/>
      <c r="CM355" s="102"/>
      <c r="CN355" s="102"/>
      <c r="CO355" s="102"/>
      <c r="CP355" s="102"/>
      <c r="CQ355" s="102"/>
      <c r="CR355" s="102"/>
      <c r="CS355" s="102"/>
      <c r="CT355" s="102"/>
      <c r="CU355" s="102"/>
      <c r="CV355" s="102"/>
      <c r="CW355" s="102"/>
      <c r="CX355" s="102"/>
      <c r="CY355" s="102"/>
      <c r="CZ355" s="102"/>
      <c r="DA355" s="102"/>
      <c r="DB355" s="102"/>
      <c r="DC355" s="102"/>
      <c r="DD355" s="102"/>
      <c r="DE355" s="102"/>
      <c r="DF355" s="102"/>
      <c r="DG355" s="102"/>
      <c r="DH355" s="102"/>
      <c r="DI355" s="102"/>
      <c r="DJ355" s="102"/>
      <c r="DK355" s="102"/>
      <c r="DL355" s="102"/>
      <c r="DM355" s="102"/>
      <c r="DN355" s="102"/>
      <c r="DO355" s="102"/>
      <c r="DP355" s="102"/>
    </row>
    <row r="356" spans="1:120" x14ac:dyDescent="0.25">
      <c r="A356" s="4"/>
      <c r="F356"/>
      <c r="G356" s="1"/>
      <c r="H356" s="1"/>
      <c r="I356" s="1"/>
      <c r="J356" s="68" t="str">
        <f t="shared" si="126"/>
        <v/>
      </c>
      <c r="K356" s="68" t="str">
        <f t="shared" si="127"/>
        <v/>
      </c>
      <c r="L356" s="69" t="str">
        <f t="shared" si="128"/>
        <v/>
      </c>
      <c r="M356" s="69" t="str">
        <f t="shared" si="129"/>
        <v/>
      </c>
      <c r="N356" s="69" t="str">
        <f>IF(A356="","",Tabela1[[#This Row],[PTC]]*Tabela1[[#This Row],[ODDC]])</f>
        <v/>
      </c>
      <c r="O356" s="69" t="str">
        <f>IF(A356="","",Tabela1[[#This Row],[PTV]]*Tabela1[[#This Row],[ODDV]])</f>
        <v/>
      </c>
      <c r="P356" s="68" t="str">
        <f t="shared" si="130"/>
        <v/>
      </c>
      <c r="Q356" s="68" t="str">
        <f t="shared" si="131"/>
        <v/>
      </c>
      <c r="R356" s="68" t="str">
        <f t="shared" si="132"/>
        <v/>
      </c>
      <c r="S356" s="68" t="str">
        <f t="shared" si="133"/>
        <v/>
      </c>
      <c r="T356" s="68" t="str">
        <f>IF(A356="","",IF(F356="D",Tabela1[[#This Row],[ODDE]]-1,-1))</f>
        <v/>
      </c>
      <c r="U356" s="70" t="str">
        <f>IF(A356="","",IF(AND(Tabela1[[#This Row],[FTHG]]&gt;3,F356="H"),1,0))</f>
        <v/>
      </c>
      <c r="V356" s="70" t="str">
        <f>IF(A356="","",IF(AND(Tabela1[[#This Row],[FTAG]]&gt;3,F356="A"),1,0))</f>
        <v/>
      </c>
      <c r="W356" s="70" t="str">
        <f t="shared" si="134"/>
        <v/>
      </c>
      <c r="X356" s="70" t="str">
        <f t="shared" si="135"/>
        <v/>
      </c>
      <c r="Y356" s="71" t="str">
        <f t="shared" si="136"/>
        <v/>
      </c>
      <c r="Z356" s="70" t="str">
        <f t="shared" si="137"/>
        <v/>
      </c>
      <c r="AA356" s="70" t="str">
        <f t="shared" si="138"/>
        <v/>
      </c>
      <c r="AB356" s="70" t="str">
        <f t="shared" si="139"/>
        <v/>
      </c>
      <c r="AC356" s="71" t="str">
        <f t="shared" si="140"/>
        <v/>
      </c>
      <c r="AD356" s="72" t="str">
        <f t="shared" si="141"/>
        <v/>
      </c>
      <c r="AE356" s="73" t="str">
        <f>IF(A356="","",COUNT($N$2:N356))</f>
        <v/>
      </c>
      <c r="AF356" s="74" t="str">
        <f t="shared" si="142"/>
        <v/>
      </c>
      <c r="AG356" s="74" t="str">
        <f t="shared" si="143"/>
        <v/>
      </c>
      <c r="AH356" s="74" t="str">
        <f t="shared" si="144"/>
        <v/>
      </c>
      <c r="AI356" s="74" t="str">
        <f t="shared" si="145"/>
        <v/>
      </c>
      <c r="AJ356" s="74" t="str">
        <f t="shared" si="146"/>
        <v/>
      </c>
      <c r="AK356" s="74" t="str">
        <f>IF(A356="","",1/Tabela1[[#This Row],[ODDC]])</f>
        <v/>
      </c>
      <c r="AL356" s="74" t="str">
        <f>IF(A356="","",1/Tabela1[[#This Row],[ODDE]])</f>
        <v/>
      </c>
      <c r="AM356" s="74" t="str">
        <f>IF(A356="","",1/Tabela1[[#This Row],[ODDV]])</f>
        <v/>
      </c>
      <c r="AN356" s="74" t="str">
        <f>IF(A356="","",1-(Tabela1[[#This Row],[p(H)]]+Tabela1[[#This Row],[p(D)]]+Tabela1[[#This Row],[p(A)]]))</f>
        <v/>
      </c>
      <c r="AO356" s="74" t="str">
        <f>IF(A356="","",IFERROR(Tabela1[[#This Row],[p(H)]]/Tabela1[[#This Row],[FTHG]],1))</f>
        <v/>
      </c>
      <c r="AP356" s="74" t="str">
        <f>IF(A356="","",IFERROR(Tabela1[[#This Row],[p(A)]]/Tabela1[[#This Row],[FTAG]],1))</f>
        <v/>
      </c>
      <c r="AQ356" s="107"/>
      <c r="AR356" s="107"/>
      <c r="AS356" s="107"/>
      <c r="AT356" s="107"/>
      <c r="AU356" s="107"/>
      <c r="AV356" s="107"/>
      <c r="AW356" s="107"/>
      <c r="AX356" s="107"/>
      <c r="AY356" s="107"/>
      <c r="AZ356" s="75"/>
      <c r="BA356" s="75"/>
      <c r="BB356" s="75"/>
      <c r="BC356" s="107"/>
      <c r="BD356" s="107"/>
      <c r="BE356" s="107"/>
      <c r="BF356" s="107"/>
      <c r="BG356" s="107"/>
      <c r="BH356" s="107"/>
      <c r="BI356" s="107"/>
      <c r="BJ356" s="107"/>
      <c r="BK356" s="107"/>
      <c r="BL356" s="107"/>
      <c r="BM356" s="107"/>
      <c r="BN356" s="107"/>
      <c r="BO356" s="107"/>
      <c r="BP356" s="107"/>
      <c r="BQ356" s="107"/>
      <c r="BR356" s="107"/>
      <c r="BS356" s="107"/>
      <c r="BT356" s="107"/>
      <c r="BU356" s="107"/>
      <c r="BV356" s="107"/>
      <c r="BW356" s="107"/>
      <c r="BX356" s="75"/>
      <c r="BY356" s="75"/>
      <c r="BZ356" s="75"/>
      <c r="CA356" s="75"/>
      <c r="CB356" s="75"/>
      <c r="CC356" s="75"/>
      <c r="CD356" s="75"/>
      <c r="CE356" s="102"/>
      <c r="CF356" s="102"/>
      <c r="CG356" s="102"/>
      <c r="CH356" s="102"/>
      <c r="CI356" s="102"/>
      <c r="CJ356" s="102"/>
      <c r="CK356" s="102"/>
      <c r="CL356" s="102"/>
      <c r="CM356" s="102"/>
      <c r="CN356" s="102"/>
      <c r="CO356" s="102"/>
      <c r="CP356" s="102"/>
      <c r="CQ356" s="102"/>
      <c r="CR356" s="102"/>
      <c r="CS356" s="102"/>
      <c r="CT356" s="102"/>
      <c r="CU356" s="102"/>
      <c r="CV356" s="102"/>
      <c r="CW356" s="102"/>
      <c r="CX356" s="102"/>
      <c r="CY356" s="102"/>
      <c r="CZ356" s="102"/>
      <c r="DA356" s="102"/>
      <c r="DB356" s="102"/>
      <c r="DC356" s="102"/>
      <c r="DD356" s="102"/>
      <c r="DE356" s="102"/>
      <c r="DF356" s="102"/>
      <c r="DG356" s="102"/>
      <c r="DH356" s="102"/>
      <c r="DI356" s="102"/>
      <c r="DJ356" s="102"/>
      <c r="DK356" s="102"/>
      <c r="DL356" s="102"/>
      <c r="DM356" s="102"/>
      <c r="DN356" s="102"/>
      <c r="DO356" s="102"/>
      <c r="DP356" s="102"/>
    </row>
    <row r="357" spans="1:120" x14ac:dyDescent="0.25">
      <c r="A357" s="4"/>
      <c r="F357"/>
      <c r="G357" s="1"/>
      <c r="H357" s="1"/>
      <c r="I357" s="1"/>
      <c r="J357" s="68" t="str">
        <f t="shared" si="126"/>
        <v/>
      </c>
      <c r="K357" s="68" t="str">
        <f t="shared" si="127"/>
        <v/>
      </c>
      <c r="L357" s="69" t="str">
        <f t="shared" si="128"/>
        <v/>
      </c>
      <c r="M357" s="69" t="str">
        <f t="shared" si="129"/>
        <v/>
      </c>
      <c r="N357" s="69" t="str">
        <f>IF(A357="","",Tabela1[[#This Row],[PTC]]*Tabela1[[#This Row],[ODDC]])</f>
        <v/>
      </c>
      <c r="O357" s="69" t="str">
        <f>IF(A357="","",Tabela1[[#This Row],[PTV]]*Tabela1[[#This Row],[ODDV]])</f>
        <v/>
      </c>
      <c r="P357" s="68" t="str">
        <f t="shared" si="130"/>
        <v/>
      </c>
      <c r="Q357" s="68" t="str">
        <f t="shared" si="131"/>
        <v/>
      </c>
      <c r="R357" s="68" t="str">
        <f t="shared" si="132"/>
        <v/>
      </c>
      <c r="S357" s="68" t="str">
        <f t="shared" si="133"/>
        <v/>
      </c>
      <c r="T357" s="68" t="str">
        <f>IF(A357="","",IF(F357="D",Tabela1[[#This Row],[ODDE]]-1,-1))</f>
        <v/>
      </c>
      <c r="U357" s="70" t="str">
        <f>IF(A357="","",IF(AND(Tabela1[[#This Row],[FTHG]]&gt;3,F357="H"),1,0))</f>
        <v/>
      </c>
      <c r="V357" s="70" t="str">
        <f>IF(A357="","",IF(AND(Tabela1[[#This Row],[FTAG]]&gt;3,F357="A"),1,0))</f>
        <v/>
      </c>
      <c r="W357" s="70" t="str">
        <f t="shared" si="134"/>
        <v/>
      </c>
      <c r="X357" s="70" t="str">
        <f t="shared" si="135"/>
        <v/>
      </c>
      <c r="Y357" s="71" t="str">
        <f t="shared" si="136"/>
        <v/>
      </c>
      <c r="Z357" s="70" t="str">
        <f t="shared" si="137"/>
        <v/>
      </c>
      <c r="AA357" s="70" t="str">
        <f t="shared" si="138"/>
        <v/>
      </c>
      <c r="AB357" s="70" t="str">
        <f t="shared" si="139"/>
        <v/>
      </c>
      <c r="AC357" s="71" t="str">
        <f t="shared" si="140"/>
        <v/>
      </c>
      <c r="AD357" s="72" t="str">
        <f t="shared" si="141"/>
        <v/>
      </c>
      <c r="AE357" s="73" t="str">
        <f>IF(A357="","",COUNT($N$2:N357))</f>
        <v/>
      </c>
      <c r="AF357" s="74" t="str">
        <f t="shared" si="142"/>
        <v/>
      </c>
      <c r="AG357" s="74" t="str">
        <f t="shared" si="143"/>
        <v/>
      </c>
      <c r="AH357" s="74" t="str">
        <f t="shared" si="144"/>
        <v/>
      </c>
      <c r="AI357" s="74" t="str">
        <f t="shared" si="145"/>
        <v/>
      </c>
      <c r="AJ357" s="74" t="str">
        <f t="shared" si="146"/>
        <v/>
      </c>
      <c r="AK357" s="74" t="str">
        <f>IF(A357="","",1/Tabela1[[#This Row],[ODDC]])</f>
        <v/>
      </c>
      <c r="AL357" s="74" t="str">
        <f>IF(A357="","",1/Tabela1[[#This Row],[ODDE]])</f>
        <v/>
      </c>
      <c r="AM357" s="74" t="str">
        <f>IF(A357="","",1/Tabela1[[#This Row],[ODDV]])</f>
        <v/>
      </c>
      <c r="AN357" s="74" t="str">
        <f>IF(A357="","",1-(Tabela1[[#This Row],[p(H)]]+Tabela1[[#This Row],[p(D)]]+Tabela1[[#This Row],[p(A)]]))</f>
        <v/>
      </c>
      <c r="AO357" s="74" t="str">
        <f>IF(A357="","",IFERROR(Tabela1[[#This Row],[p(H)]]/Tabela1[[#This Row],[FTHG]],1))</f>
        <v/>
      </c>
      <c r="AP357" s="74" t="str">
        <f>IF(A357="","",IFERROR(Tabela1[[#This Row],[p(A)]]/Tabela1[[#This Row],[FTAG]],1))</f>
        <v/>
      </c>
      <c r="AQ357" s="107"/>
      <c r="AR357" s="107"/>
      <c r="AS357" s="107"/>
      <c r="AT357" s="107"/>
      <c r="AU357" s="107"/>
      <c r="AV357" s="107"/>
      <c r="AW357" s="107"/>
      <c r="AX357" s="107"/>
      <c r="AY357" s="107"/>
      <c r="AZ357" s="75"/>
      <c r="BA357" s="75"/>
      <c r="BB357" s="75"/>
      <c r="BC357" s="107"/>
      <c r="BD357" s="107"/>
      <c r="BE357" s="107"/>
      <c r="BF357" s="107"/>
      <c r="BG357" s="107"/>
      <c r="BH357" s="107"/>
      <c r="BI357" s="107"/>
      <c r="BJ357" s="107"/>
      <c r="BK357" s="107"/>
      <c r="BL357" s="107"/>
      <c r="BM357" s="107"/>
      <c r="BN357" s="107"/>
      <c r="BO357" s="107"/>
      <c r="BP357" s="107"/>
      <c r="BQ357" s="107"/>
      <c r="BR357" s="107"/>
      <c r="BS357" s="107"/>
      <c r="BT357" s="107"/>
      <c r="BU357" s="107"/>
      <c r="BV357" s="107"/>
      <c r="BW357" s="107"/>
      <c r="BX357" s="75"/>
      <c r="BY357" s="75"/>
      <c r="BZ357" s="75"/>
      <c r="CA357" s="75"/>
      <c r="CB357" s="75"/>
      <c r="CC357" s="75"/>
      <c r="CD357" s="75"/>
      <c r="CE357" s="102"/>
      <c r="CF357" s="102"/>
      <c r="CG357" s="102"/>
      <c r="CH357" s="102"/>
      <c r="CI357" s="102"/>
      <c r="CJ357" s="102"/>
      <c r="CK357" s="102"/>
      <c r="CL357" s="102"/>
      <c r="CM357" s="102"/>
      <c r="CN357" s="102"/>
      <c r="CO357" s="102"/>
      <c r="CP357" s="102"/>
      <c r="CQ357" s="102"/>
      <c r="CR357" s="102"/>
      <c r="CS357" s="102"/>
      <c r="CT357" s="102"/>
      <c r="CU357" s="102"/>
      <c r="CV357" s="102"/>
      <c r="CW357" s="102"/>
      <c r="CX357" s="102"/>
      <c r="CY357" s="102"/>
      <c r="CZ357" s="102"/>
      <c r="DA357" s="102"/>
      <c r="DB357" s="102"/>
      <c r="DC357" s="102"/>
      <c r="DD357" s="102"/>
      <c r="DE357" s="102"/>
      <c r="DF357" s="102"/>
      <c r="DG357" s="102"/>
      <c r="DH357" s="102"/>
      <c r="DI357" s="102"/>
      <c r="DJ357" s="102"/>
      <c r="DK357" s="102"/>
      <c r="DL357" s="102"/>
      <c r="DM357" s="102"/>
      <c r="DN357" s="102"/>
      <c r="DO357" s="102"/>
      <c r="DP357" s="102"/>
    </row>
    <row r="358" spans="1:120" x14ac:dyDescent="0.25">
      <c r="A358" s="4"/>
      <c r="F358"/>
      <c r="G358" s="1"/>
      <c r="H358" s="1"/>
      <c r="I358" s="1"/>
      <c r="J358" s="68" t="str">
        <f t="shared" si="126"/>
        <v/>
      </c>
      <c r="K358" s="68" t="str">
        <f t="shared" si="127"/>
        <v/>
      </c>
      <c r="L358" s="69" t="str">
        <f t="shared" si="128"/>
        <v/>
      </c>
      <c r="M358" s="69" t="str">
        <f t="shared" si="129"/>
        <v/>
      </c>
      <c r="N358" s="69" t="str">
        <f>IF(A358="","",Tabela1[[#This Row],[PTC]]*Tabela1[[#This Row],[ODDC]])</f>
        <v/>
      </c>
      <c r="O358" s="69" t="str">
        <f>IF(A358="","",Tabela1[[#This Row],[PTV]]*Tabela1[[#This Row],[ODDV]])</f>
        <v/>
      </c>
      <c r="P358" s="68" t="str">
        <f t="shared" si="130"/>
        <v/>
      </c>
      <c r="Q358" s="68" t="str">
        <f t="shared" si="131"/>
        <v/>
      </c>
      <c r="R358" s="68" t="str">
        <f t="shared" si="132"/>
        <v/>
      </c>
      <c r="S358" s="68" t="str">
        <f t="shared" si="133"/>
        <v/>
      </c>
      <c r="T358" s="68" t="str">
        <f>IF(A358="","",IF(F358="D",Tabela1[[#This Row],[ODDE]]-1,-1))</f>
        <v/>
      </c>
      <c r="U358" s="70" t="str">
        <f>IF(A358="","",IF(AND(Tabela1[[#This Row],[FTHG]]&gt;3,F358="H"),1,0))</f>
        <v/>
      </c>
      <c r="V358" s="70" t="str">
        <f>IF(A358="","",IF(AND(Tabela1[[#This Row],[FTAG]]&gt;3,F358="A"),1,0))</f>
        <v/>
      </c>
      <c r="W358" s="70" t="str">
        <f t="shared" si="134"/>
        <v/>
      </c>
      <c r="X358" s="70" t="str">
        <f t="shared" si="135"/>
        <v/>
      </c>
      <c r="Y358" s="71" t="str">
        <f t="shared" si="136"/>
        <v/>
      </c>
      <c r="Z358" s="70" t="str">
        <f t="shared" si="137"/>
        <v/>
      </c>
      <c r="AA358" s="70" t="str">
        <f t="shared" si="138"/>
        <v/>
      </c>
      <c r="AB358" s="70" t="str">
        <f t="shared" si="139"/>
        <v/>
      </c>
      <c r="AC358" s="71" t="str">
        <f t="shared" si="140"/>
        <v/>
      </c>
      <c r="AD358" s="72" t="str">
        <f t="shared" si="141"/>
        <v/>
      </c>
      <c r="AE358" s="73" t="str">
        <f>IF(A358="","",COUNT($N$2:N358))</f>
        <v/>
      </c>
      <c r="AF358" s="74" t="str">
        <f t="shared" si="142"/>
        <v/>
      </c>
      <c r="AG358" s="74" t="str">
        <f t="shared" si="143"/>
        <v/>
      </c>
      <c r="AH358" s="74" t="str">
        <f t="shared" si="144"/>
        <v/>
      </c>
      <c r="AI358" s="74" t="str">
        <f t="shared" si="145"/>
        <v/>
      </c>
      <c r="AJ358" s="74" t="str">
        <f t="shared" si="146"/>
        <v/>
      </c>
      <c r="AK358" s="74" t="str">
        <f>IF(A358="","",1/Tabela1[[#This Row],[ODDC]])</f>
        <v/>
      </c>
      <c r="AL358" s="74" t="str">
        <f>IF(A358="","",1/Tabela1[[#This Row],[ODDE]])</f>
        <v/>
      </c>
      <c r="AM358" s="74" t="str">
        <f>IF(A358="","",1/Tabela1[[#This Row],[ODDV]])</f>
        <v/>
      </c>
      <c r="AN358" s="74" t="str">
        <f>IF(A358="","",1-(Tabela1[[#This Row],[p(H)]]+Tabela1[[#This Row],[p(D)]]+Tabela1[[#This Row],[p(A)]]))</f>
        <v/>
      </c>
      <c r="AO358" s="74" t="str">
        <f>IF(A358="","",IFERROR(Tabela1[[#This Row],[p(H)]]/Tabela1[[#This Row],[FTHG]],1))</f>
        <v/>
      </c>
      <c r="AP358" s="74" t="str">
        <f>IF(A358="","",IFERROR(Tabela1[[#This Row],[p(A)]]/Tabela1[[#This Row],[FTAG]],1))</f>
        <v/>
      </c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75"/>
      <c r="BA358" s="75"/>
      <c r="BB358" s="75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07"/>
      <c r="BW358" s="107"/>
      <c r="BX358" s="75"/>
      <c r="BY358" s="75"/>
      <c r="BZ358" s="75"/>
      <c r="CA358" s="75"/>
      <c r="CB358" s="75"/>
      <c r="CC358" s="75"/>
      <c r="CD358" s="75"/>
      <c r="CE358" s="102"/>
      <c r="CF358" s="102"/>
      <c r="CG358" s="102"/>
      <c r="CH358" s="102"/>
      <c r="CI358" s="102"/>
      <c r="CJ358" s="102"/>
      <c r="CK358" s="102"/>
      <c r="CL358" s="102"/>
      <c r="CM358" s="102"/>
      <c r="CN358" s="102"/>
      <c r="CO358" s="102"/>
      <c r="CP358" s="102"/>
      <c r="CQ358" s="102"/>
      <c r="CR358" s="102"/>
      <c r="CS358" s="102"/>
      <c r="CT358" s="102"/>
      <c r="CU358" s="102"/>
      <c r="CV358" s="102"/>
      <c r="CW358" s="102"/>
      <c r="CX358" s="102"/>
      <c r="CY358" s="102"/>
      <c r="CZ358" s="102"/>
      <c r="DA358" s="102"/>
      <c r="DB358" s="102"/>
      <c r="DC358" s="102"/>
      <c r="DD358" s="102"/>
      <c r="DE358" s="102"/>
      <c r="DF358" s="102"/>
      <c r="DG358" s="102"/>
      <c r="DH358" s="102"/>
      <c r="DI358" s="102"/>
      <c r="DJ358" s="102"/>
      <c r="DK358" s="102"/>
      <c r="DL358" s="102"/>
      <c r="DM358" s="102"/>
      <c r="DN358" s="102"/>
      <c r="DO358" s="102"/>
      <c r="DP358" s="102"/>
    </row>
    <row r="359" spans="1:120" x14ac:dyDescent="0.25">
      <c r="A359" s="4"/>
      <c r="F359"/>
      <c r="G359" s="1"/>
      <c r="H359" s="1"/>
      <c r="I359" s="1"/>
      <c r="J359" s="68" t="str">
        <f t="shared" si="126"/>
        <v/>
      </c>
      <c r="K359" s="68" t="str">
        <f t="shared" si="127"/>
        <v/>
      </c>
      <c r="L359" s="69" t="str">
        <f t="shared" si="128"/>
        <v/>
      </c>
      <c r="M359" s="69" t="str">
        <f t="shared" si="129"/>
        <v/>
      </c>
      <c r="N359" s="69" t="str">
        <f>IF(A359="","",Tabela1[[#This Row],[PTC]]*Tabela1[[#This Row],[ODDC]])</f>
        <v/>
      </c>
      <c r="O359" s="69" t="str">
        <f>IF(A359="","",Tabela1[[#This Row],[PTV]]*Tabela1[[#This Row],[ODDV]])</f>
        <v/>
      </c>
      <c r="P359" s="68" t="str">
        <f t="shared" si="130"/>
        <v/>
      </c>
      <c r="Q359" s="68" t="str">
        <f t="shared" si="131"/>
        <v/>
      </c>
      <c r="R359" s="68" t="str">
        <f t="shared" si="132"/>
        <v/>
      </c>
      <c r="S359" s="68" t="str">
        <f t="shared" si="133"/>
        <v/>
      </c>
      <c r="T359" s="68" t="str">
        <f>IF(A359="","",IF(F359="D",Tabela1[[#This Row],[ODDE]]-1,-1))</f>
        <v/>
      </c>
      <c r="U359" s="70" t="str">
        <f>IF(A359="","",IF(AND(Tabela1[[#This Row],[FTHG]]&gt;3,F359="H"),1,0))</f>
        <v/>
      </c>
      <c r="V359" s="70" t="str">
        <f>IF(A359="","",IF(AND(Tabela1[[#This Row],[FTAG]]&gt;3,F359="A"),1,0))</f>
        <v/>
      </c>
      <c r="W359" s="70" t="str">
        <f t="shared" si="134"/>
        <v/>
      </c>
      <c r="X359" s="70" t="str">
        <f t="shared" si="135"/>
        <v/>
      </c>
      <c r="Y359" s="71" t="str">
        <f t="shared" si="136"/>
        <v/>
      </c>
      <c r="Z359" s="70" t="str">
        <f t="shared" si="137"/>
        <v/>
      </c>
      <c r="AA359" s="70" t="str">
        <f t="shared" si="138"/>
        <v/>
      </c>
      <c r="AB359" s="70" t="str">
        <f t="shared" si="139"/>
        <v/>
      </c>
      <c r="AC359" s="71" t="str">
        <f t="shared" si="140"/>
        <v/>
      </c>
      <c r="AD359" s="72" t="str">
        <f t="shared" si="141"/>
        <v/>
      </c>
      <c r="AE359" s="73" t="str">
        <f>IF(A359="","",COUNT($N$2:N359))</f>
        <v/>
      </c>
      <c r="AF359" s="74" t="str">
        <f t="shared" si="142"/>
        <v/>
      </c>
      <c r="AG359" s="74" t="str">
        <f t="shared" si="143"/>
        <v/>
      </c>
      <c r="AH359" s="74" t="str">
        <f t="shared" si="144"/>
        <v/>
      </c>
      <c r="AI359" s="74" t="str">
        <f t="shared" si="145"/>
        <v/>
      </c>
      <c r="AJ359" s="74" t="str">
        <f t="shared" si="146"/>
        <v/>
      </c>
      <c r="AK359" s="74" t="str">
        <f>IF(A359="","",1/Tabela1[[#This Row],[ODDC]])</f>
        <v/>
      </c>
      <c r="AL359" s="74" t="str">
        <f>IF(A359="","",1/Tabela1[[#This Row],[ODDE]])</f>
        <v/>
      </c>
      <c r="AM359" s="74" t="str">
        <f>IF(A359="","",1/Tabela1[[#This Row],[ODDV]])</f>
        <v/>
      </c>
      <c r="AN359" s="74" t="str">
        <f>IF(A359="","",1-(Tabela1[[#This Row],[p(H)]]+Tabela1[[#This Row],[p(D)]]+Tabela1[[#This Row],[p(A)]]))</f>
        <v/>
      </c>
      <c r="AO359" s="74" t="str">
        <f>IF(A359="","",IFERROR(Tabela1[[#This Row],[p(H)]]/Tabela1[[#This Row],[FTHG]],1))</f>
        <v/>
      </c>
      <c r="AP359" s="74" t="str">
        <f>IF(A359="","",IFERROR(Tabela1[[#This Row],[p(A)]]/Tabela1[[#This Row],[FTAG]],1))</f>
        <v/>
      </c>
      <c r="AQ359" s="107"/>
      <c r="AR359" s="107"/>
      <c r="AS359" s="107"/>
      <c r="AT359" s="107"/>
      <c r="AU359" s="107"/>
      <c r="AV359" s="107"/>
      <c r="AW359" s="107"/>
      <c r="AX359" s="107"/>
      <c r="AY359" s="107"/>
      <c r="AZ359" s="75"/>
      <c r="BA359" s="75"/>
      <c r="BB359" s="75"/>
      <c r="BC359" s="107"/>
      <c r="BD359" s="107"/>
      <c r="BE359" s="107"/>
      <c r="BF359" s="107"/>
      <c r="BG359" s="107"/>
      <c r="BH359" s="107"/>
      <c r="BI359" s="107"/>
      <c r="BJ359" s="107"/>
      <c r="BK359" s="107"/>
      <c r="BL359" s="107"/>
      <c r="BM359" s="107"/>
      <c r="BN359" s="107"/>
      <c r="BO359" s="107"/>
      <c r="BP359" s="107"/>
      <c r="BQ359" s="107"/>
      <c r="BR359" s="107"/>
      <c r="BS359" s="107"/>
      <c r="BT359" s="107"/>
      <c r="BU359" s="107"/>
      <c r="BV359" s="107"/>
      <c r="BW359" s="107"/>
      <c r="BX359" s="75"/>
      <c r="BY359" s="75"/>
      <c r="BZ359" s="75"/>
      <c r="CA359" s="75"/>
      <c r="CB359" s="75"/>
      <c r="CC359" s="75"/>
      <c r="CD359" s="75"/>
      <c r="CE359" s="102"/>
      <c r="CF359" s="102"/>
      <c r="CG359" s="102"/>
      <c r="CH359" s="102"/>
      <c r="CI359" s="102"/>
      <c r="CJ359" s="102"/>
      <c r="CK359" s="102"/>
      <c r="CL359" s="102"/>
      <c r="CM359" s="102"/>
      <c r="CN359" s="102"/>
      <c r="CO359" s="102"/>
      <c r="CP359" s="102"/>
      <c r="CQ359" s="102"/>
      <c r="CR359" s="102"/>
      <c r="CS359" s="102"/>
      <c r="CT359" s="102"/>
      <c r="CU359" s="102"/>
      <c r="CV359" s="102"/>
      <c r="CW359" s="102"/>
      <c r="CX359" s="102"/>
      <c r="CY359" s="102"/>
      <c r="CZ359" s="102"/>
      <c r="DA359" s="102"/>
      <c r="DB359" s="102"/>
      <c r="DC359" s="102"/>
      <c r="DD359" s="102"/>
      <c r="DE359" s="102"/>
      <c r="DF359" s="102"/>
      <c r="DG359" s="102"/>
      <c r="DH359" s="102"/>
      <c r="DI359" s="102"/>
      <c r="DJ359" s="102"/>
      <c r="DK359" s="102"/>
      <c r="DL359" s="102"/>
      <c r="DM359" s="102"/>
      <c r="DN359" s="102"/>
      <c r="DO359" s="102"/>
      <c r="DP359" s="102"/>
    </row>
    <row r="360" spans="1:120" x14ac:dyDescent="0.25">
      <c r="A360" s="4"/>
      <c r="F360"/>
      <c r="G360" s="1"/>
      <c r="H360" s="1"/>
      <c r="I360" s="1"/>
      <c r="J360" s="68" t="str">
        <f t="shared" si="126"/>
        <v/>
      </c>
      <c r="K360" s="68" t="str">
        <f t="shared" si="127"/>
        <v/>
      </c>
      <c r="L360" s="69" t="str">
        <f t="shared" si="128"/>
        <v/>
      </c>
      <c r="M360" s="69" t="str">
        <f t="shared" si="129"/>
        <v/>
      </c>
      <c r="N360" s="69" t="str">
        <f>IF(A360="","",Tabela1[[#This Row],[PTC]]*Tabela1[[#This Row],[ODDC]])</f>
        <v/>
      </c>
      <c r="O360" s="69" t="str">
        <f>IF(A360="","",Tabela1[[#This Row],[PTV]]*Tabela1[[#This Row],[ODDV]])</f>
        <v/>
      </c>
      <c r="P360" s="68" t="str">
        <f t="shared" si="130"/>
        <v/>
      </c>
      <c r="Q360" s="68" t="str">
        <f t="shared" si="131"/>
        <v/>
      </c>
      <c r="R360" s="68" t="str">
        <f t="shared" si="132"/>
        <v/>
      </c>
      <c r="S360" s="68" t="str">
        <f t="shared" si="133"/>
        <v/>
      </c>
      <c r="T360" s="68" t="str">
        <f>IF(A360="","",IF(F360="D",Tabela1[[#This Row],[ODDE]]-1,-1))</f>
        <v/>
      </c>
      <c r="U360" s="70" t="str">
        <f>IF(A360="","",IF(AND(Tabela1[[#This Row],[FTHG]]&gt;3,F360="H"),1,0))</f>
        <v/>
      </c>
      <c r="V360" s="70" t="str">
        <f>IF(A360="","",IF(AND(Tabela1[[#This Row],[FTAG]]&gt;3,F360="A"),1,0))</f>
        <v/>
      </c>
      <c r="W360" s="70" t="str">
        <f t="shared" si="134"/>
        <v/>
      </c>
      <c r="X360" s="70" t="str">
        <f t="shared" si="135"/>
        <v/>
      </c>
      <c r="Y360" s="71" t="str">
        <f t="shared" si="136"/>
        <v/>
      </c>
      <c r="Z360" s="70" t="str">
        <f t="shared" si="137"/>
        <v/>
      </c>
      <c r="AA360" s="70" t="str">
        <f t="shared" si="138"/>
        <v/>
      </c>
      <c r="AB360" s="70" t="str">
        <f t="shared" si="139"/>
        <v/>
      </c>
      <c r="AC360" s="71" t="str">
        <f t="shared" si="140"/>
        <v/>
      </c>
      <c r="AD360" s="72" t="str">
        <f t="shared" si="141"/>
        <v/>
      </c>
      <c r="AE360" s="73" t="str">
        <f>IF(A360="","",COUNT($N$2:N360))</f>
        <v/>
      </c>
      <c r="AF360" s="74" t="str">
        <f t="shared" si="142"/>
        <v/>
      </c>
      <c r="AG360" s="74" t="str">
        <f t="shared" si="143"/>
        <v/>
      </c>
      <c r="AH360" s="74" t="str">
        <f t="shared" si="144"/>
        <v/>
      </c>
      <c r="AI360" s="74" t="str">
        <f t="shared" si="145"/>
        <v/>
      </c>
      <c r="AJ360" s="74" t="str">
        <f t="shared" si="146"/>
        <v/>
      </c>
      <c r="AK360" s="74" t="str">
        <f>IF(A360="","",1/Tabela1[[#This Row],[ODDC]])</f>
        <v/>
      </c>
      <c r="AL360" s="74" t="str">
        <f>IF(A360="","",1/Tabela1[[#This Row],[ODDE]])</f>
        <v/>
      </c>
      <c r="AM360" s="74" t="str">
        <f>IF(A360="","",1/Tabela1[[#This Row],[ODDV]])</f>
        <v/>
      </c>
      <c r="AN360" s="74" t="str">
        <f>IF(A360="","",1-(Tabela1[[#This Row],[p(H)]]+Tabela1[[#This Row],[p(D)]]+Tabela1[[#This Row],[p(A)]]))</f>
        <v/>
      </c>
      <c r="AO360" s="74" t="str">
        <f>IF(A360="","",IFERROR(Tabela1[[#This Row],[p(H)]]/Tabela1[[#This Row],[FTHG]],1))</f>
        <v/>
      </c>
      <c r="AP360" s="74" t="str">
        <f>IF(A360="","",IFERROR(Tabela1[[#This Row],[p(A)]]/Tabela1[[#This Row],[FTAG]],1))</f>
        <v/>
      </c>
      <c r="AQ360" s="107"/>
      <c r="AR360" s="107"/>
      <c r="AS360" s="107"/>
      <c r="AT360" s="107"/>
      <c r="AU360" s="107"/>
      <c r="AV360" s="107"/>
      <c r="AW360" s="107"/>
      <c r="AX360" s="107"/>
      <c r="AY360" s="107"/>
      <c r="AZ360" s="75"/>
      <c r="BA360" s="75"/>
      <c r="BB360" s="75"/>
      <c r="BC360" s="107"/>
      <c r="BD360" s="107"/>
      <c r="BE360" s="107"/>
      <c r="BF360" s="107"/>
      <c r="BG360" s="107"/>
      <c r="BH360" s="107"/>
      <c r="BI360" s="107"/>
      <c r="BJ360" s="107"/>
      <c r="BK360" s="107"/>
      <c r="BL360" s="107"/>
      <c r="BM360" s="107"/>
      <c r="BN360" s="107"/>
      <c r="BO360" s="107"/>
      <c r="BP360" s="107"/>
      <c r="BQ360" s="107"/>
      <c r="BR360" s="107"/>
      <c r="BS360" s="107"/>
      <c r="BT360" s="107"/>
      <c r="BU360" s="107"/>
      <c r="BV360" s="107"/>
      <c r="BW360" s="107"/>
      <c r="BX360" s="75"/>
      <c r="BY360" s="75"/>
      <c r="BZ360" s="75"/>
      <c r="CA360" s="75"/>
      <c r="CB360" s="75"/>
      <c r="CC360" s="75"/>
      <c r="CD360" s="75"/>
      <c r="CE360" s="102"/>
      <c r="CF360" s="102"/>
      <c r="CG360" s="102"/>
      <c r="CH360" s="102"/>
      <c r="CI360" s="102"/>
      <c r="CJ360" s="102"/>
      <c r="CK360" s="102"/>
      <c r="CL360" s="102"/>
      <c r="CM360" s="102"/>
      <c r="CN360" s="102"/>
      <c r="CO360" s="102"/>
      <c r="CP360" s="102"/>
      <c r="CQ360" s="102"/>
      <c r="CR360" s="102"/>
      <c r="CS360" s="102"/>
      <c r="CT360" s="102"/>
      <c r="CU360" s="102"/>
      <c r="CV360" s="102"/>
      <c r="CW360" s="102"/>
      <c r="CX360" s="102"/>
      <c r="CY360" s="102"/>
      <c r="CZ360" s="102"/>
      <c r="DA360" s="102"/>
      <c r="DB360" s="102"/>
      <c r="DC360" s="102"/>
      <c r="DD360" s="102"/>
      <c r="DE360" s="102"/>
      <c r="DF360" s="102"/>
      <c r="DG360" s="102"/>
      <c r="DH360" s="102"/>
      <c r="DI360" s="102"/>
      <c r="DJ360" s="102"/>
      <c r="DK360" s="102"/>
      <c r="DL360" s="102"/>
      <c r="DM360" s="102"/>
      <c r="DN360" s="102"/>
      <c r="DO360" s="102"/>
      <c r="DP360" s="102"/>
    </row>
    <row r="361" spans="1:120" x14ac:dyDescent="0.25">
      <c r="A361" s="4"/>
      <c r="F361"/>
      <c r="G361" s="1"/>
      <c r="H361" s="1"/>
      <c r="I361" s="1"/>
      <c r="J361" s="68" t="str">
        <f t="shared" si="126"/>
        <v/>
      </c>
      <c r="K361" s="68" t="str">
        <f t="shared" si="127"/>
        <v/>
      </c>
      <c r="L361" s="69" t="str">
        <f t="shared" si="128"/>
        <v/>
      </c>
      <c r="M361" s="69" t="str">
        <f t="shared" si="129"/>
        <v/>
      </c>
      <c r="N361" s="69" t="str">
        <f>IF(A361="","",Tabela1[[#This Row],[PTC]]*Tabela1[[#This Row],[ODDC]])</f>
        <v/>
      </c>
      <c r="O361" s="69" t="str">
        <f>IF(A361="","",Tabela1[[#This Row],[PTV]]*Tabela1[[#This Row],[ODDV]])</f>
        <v/>
      </c>
      <c r="P361" s="68" t="str">
        <f t="shared" si="130"/>
        <v/>
      </c>
      <c r="Q361" s="68" t="str">
        <f t="shared" si="131"/>
        <v/>
      </c>
      <c r="R361" s="68" t="str">
        <f t="shared" si="132"/>
        <v/>
      </c>
      <c r="S361" s="68" t="str">
        <f t="shared" si="133"/>
        <v/>
      </c>
      <c r="T361" s="68" t="str">
        <f>IF(A361="","",IF(F361="D",Tabela1[[#This Row],[ODDE]]-1,-1))</f>
        <v/>
      </c>
      <c r="U361" s="70" t="str">
        <f>IF(A361="","",IF(AND(Tabela1[[#This Row],[FTHG]]&gt;3,F361="H"),1,0))</f>
        <v/>
      </c>
      <c r="V361" s="70" t="str">
        <f>IF(A361="","",IF(AND(Tabela1[[#This Row],[FTAG]]&gt;3,F361="A"),1,0))</f>
        <v/>
      </c>
      <c r="W361" s="70" t="str">
        <f t="shared" si="134"/>
        <v/>
      </c>
      <c r="X361" s="70" t="str">
        <f t="shared" si="135"/>
        <v/>
      </c>
      <c r="Y361" s="71" t="str">
        <f t="shared" si="136"/>
        <v/>
      </c>
      <c r="Z361" s="70" t="str">
        <f t="shared" si="137"/>
        <v/>
      </c>
      <c r="AA361" s="70" t="str">
        <f t="shared" si="138"/>
        <v/>
      </c>
      <c r="AB361" s="70" t="str">
        <f t="shared" si="139"/>
        <v/>
      </c>
      <c r="AC361" s="71" t="str">
        <f t="shared" si="140"/>
        <v/>
      </c>
      <c r="AD361" s="72" t="str">
        <f t="shared" si="141"/>
        <v/>
      </c>
      <c r="AE361" s="73" t="str">
        <f>IF(A361="","",COUNT($N$2:N361))</f>
        <v/>
      </c>
      <c r="AF361" s="74" t="str">
        <f t="shared" si="142"/>
        <v/>
      </c>
      <c r="AG361" s="74" t="str">
        <f t="shared" si="143"/>
        <v/>
      </c>
      <c r="AH361" s="74" t="str">
        <f t="shared" si="144"/>
        <v/>
      </c>
      <c r="AI361" s="74" t="str">
        <f t="shared" si="145"/>
        <v/>
      </c>
      <c r="AJ361" s="74" t="str">
        <f t="shared" si="146"/>
        <v/>
      </c>
      <c r="AK361" s="74" t="str">
        <f>IF(A361="","",1/Tabela1[[#This Row],[ODDC]])</f>
        <v/>
      </c>
      <c r="AL361" s="74" t="str">
        <f>IF(A361="","",1/Tabela1[[#This Row],[ODDE]])</f>
        <v/>
      </c>
      <c r="AM361" s="74" t="str">
        <f>IF(A361="","",1/Tabela1[[#This Row],[ODDV]])</f>
        <v/>
      </c>
      <c r="AN361" s="74" t="str">
        <f>IF(A361="","",1-(Tabela1[[#This Row],[p(H)]]+Tabela1[[#This Row],[p(D)]]+Tabela1[[#This Row],[p(A)]]))</f>
        <v/>
      </c>
      <c r="AO361" s="74" t="str">
        <f>IF(A361="","",IFERROR(Tabela1[[#This Row],[p(H)]]/Tabela1[[#This Row],[FTHG]],1))</f>
        <v/>
      </c>
      <c r="AP361" s="74" t="str">
        <f>IF(A361="","",IFERROR(Tabela1[[#This Row],[p(A)]]/Tabela1[[#This Row],[FTAG]],1))</f>
        <v/>
      </c>
      <c r="AQ361" s="107"/>
      <c r="AR361" s="107"/>
      <c r="AS361" s="107"/>
      <c r="AT361" s="107"/>
      <c r="AU361" s="107"/>
      <c r="AV361" s="107"/>
      <c r="AW361" s="107"/>
      <c r="AX361" s="107"/>
      <c r="AY361" s="107"/>
      <c r="AZ361" s="75"/>
      <c r="BA361" s="75"/>
      <c r="BB361" s="75"/>
      <c r="BC361" s="107"/>
      <c r="BD361" s="107"/>
      <c r="BE361" s="107"/>
      <c r="BF361" s="107"/>
      <c r="BG361" s="107"/>
      <c r="BH361" s="107"/>
      <c r="BI361" s="107"/>
      <c r="BJ361" s="107"/>
      <c r="BK361" s="107"/>
      <c r="BL361" s="107"/>
      <c r="BM361" s="107"/>
      <c r="BN361" s="107"/>
      <c r="BO361" s="107"/>
      <c r="BP361" s="107"/>
      <c r="BQ361" s="107"/>
      <c r="BR361" s="107"/>
      <c r="BS361" s="107"/>
      <c r="BT361" s="107"/>
      <c r="BU361" s="107"/>
      <c r="BV361" s="107"/>
      <c r="BW361" s="107"/>
      <c r="BX361" s="75"/>
      <c r="BY361" s="75"/>
      <c r="BZ361" s="75"/>
      <c r="CA361" s="75"/>
      <c r="CB361" s="75"/>
      <c r="CC361" s="75"/>
      <c r="CD361" s="75"/>
      <c r="CE361" s="102"/>
      <c r="CF361" s="102"/>
      <c r="CG361" s="102"/>
      <c r="CH361" s="102"/>
      <c r="CI361" s="102"/>
      <c r="CJ361" s="102"/>
      <c r="CK361" s="102"/>
      <c r="CL361" s="102"/>
      <c r="CM361" s="102"/>
      <c r="CN361" s="102"/>
      <c r="CO361" s="102"/>
      <c r="CP361" s="102"/>
      <c r="CQ361" s="102"/>
      <c r="CR361" s="102"/>
      <c r="CS361" s="102"/>
      <c r="CT361" s="102"/>
      <c r="CU361" s="102"/>
      <c r="CV361" s="102"/>
      <c r="CW361" s="102"/>
      <c r="CX361" s="102"/>
      <c r="CY361" s="102"/>
      <c r="CZ361" s="102"/>
      <c r="DA361" s="102"/>
      <c r="DB361" s="102"/>
      <c r="DC361" s="102"/>
      <c r="DD361" s="102"/>
      <c r="DE361" s="102"/>
      <c r="DF361" s="102"/>
      <c r="DG361" s="102"/>
      <c r="DH361" s="102"/>
      <c r="DI361" s="102"/>
      <c r="DJ361" s="102"/>
      <c r="DK361" s="102"/>
      <c r="DL361" s="102"/>
      <c r="DM361" s="102"/>
      <c r="DN361" s="102"/>
      <c r="DO361" s="102"/>
      <c r="DP361" s="102"/>
    </row>
    <row r="362" spans="1:120" x14ac:dyDescent="0.25">
      <c r="A362" s="4"/>
      <c r="F362"/>
      <c r="G362" s="1"/>
      <c r="H362" s="1"/>
      <c r="I362" s="1"/>
      <c r="J362" s="68" t="str">
        <f t="shared" si="126"/>
        <v/>
      </c>
      <c r="K362" s="68" t="str">
        <f t="shared" si="127"/>
        <v/>
      </c>
      <c r="L362" s="69" t="str">
        <f t="shared" si="128"/>
        <v/>
      </c>
      <c r="M362" s="69" t="str">
        <f t="shared" si="129"/>
        <v/>
      </c>
      <c r="N362" s="69" t="str">
        <f>IF(A362="","",Tabela1[[#This Row],[PTC]]*Tabela1[[#This Row],[ODDC]])</f>
        <v/>
      </c>
      <c r="O362" s="69" t="str">
        <f>IF(A362="","",Tabela1[[#This Row],[PTV]]*Tabela1[[#This Row],[ODDV]])</f>
        <v/>
      </c>
      <c r="P362" s="68" t="str">
        <f t="shared" si="130"/>
        <v/>
      </c>
      <c r="Q362" s="68" t="str">
        <f t="shared" si="131"/>
        <v/>
      </c>
      <c r="R362" s="68" t="str">
        <f t="shared" si="132"/>
        <v/>
      </c>
      <c r="S362" s="68" t="str">
        <f t="shared" si="133"/>
        <v/>
      </c>
      <c r="T362" s="68" t="str">
        <f>IF(A362="","",IF(F362="D",Tabela1[[#This Row],[ODDE]]-1,-1))</f>
        <v/>
      </c>
      <c r="U362" s="70" t="str">
        <f>IF(A362="","",IF(AND(Tabela1[[#This Row],[FTHG]]&gt;3,F362="H"),1,0))</f>
        <v/>
      </c>
      <c r="V362" s="70" t="str">
        <f>IF(A362="","",IF(AND(Tabela1[[#This Row],[FTAG]]&gt;3,F362="A"),1,0))</f>
        <v/>
      </c>
      <c r="W362" s="70" t="str">
        <f t="shared" si="134"/>
        <v/>
      </c>
      <c r="X362" s="70" t="str">
        <f t="shared" si="135"/>
        <v/>
      </c>
      <c r="Y362" s="71" t="str">
        <f t="shared" si="136"/>
        <v/>
      </c>
      <c r="Z362" s="70" t="str">
        <f t="shared" si="137"/>
        <v/>
      </c>
      <c r="AA362" s="70" t="str">
        <f t="shared" si="138"/>
        <v/>
      </c>
      <c r="AB362" s="70" t="str">
        <f t="shared" si="139"/>
        <v/>
      </c>
      <c r="AC362" s="71" t="str">
        <f t="shared" si="140"/>
        <v/>
      </c>
      <c r="AD362" s="72" t="str">
        <f t="shared" si="141"/>
        <v/>
      </c>
      <c r="AE362" s="73" t="str">
        <f>IF(A362="","",COUNT($N$2:N362))</f>
        <v/>
      </c>
      <c r="AF362" s="74" t="str">
        <f t="shared" si="142"/>
        <v/>
      </c>
      <c r="AG362" s="74" t="str">
        <f t="shared" si="143"/>
        <v/>
      </c>
      <c r="AH362" s="74" t="str">
        <f t="shared" si="144"/>
        <v/>
      </c>
      <c r="AI362" s="74" t="str">
        <f t="shared" si="145"/>
        <v/>
      </c>
      <c r="AJ362" s="74" t="str">
        <f t="shared" si="146"/>
        <v/>
      </c>
      <c r="AK362" s="74" t="str">
        <f>IF(A362="","",1/Tabela1[[#This Row],[ODDC]])</f>
        <v/>
      </c>
      <c r="AL362" s="74" t="str">
        <f>IF(A362="","",1/Tabela1[[#This Row],[ODDE]])</f>
        <v/>
      </c>
      <c r="AM362" s="74" t="str">
        <f>IF(A362="","",1/Tabela1[[#This Row],[ODDV]])</f>
        <v/>
      </c>
      <c r="AN362" s="74" t="str">
        <f>IF(A362="","",1-(Tabela1[[#This Row],[p(H)]]+Tabela1[[#This Row],[p(D)]]+Tabela1[[#This Row],[p(A)]]))</f>
        <v/>
      </c>
      <c r="AO362" s="74" t="str">
        <f>IF(A362="","",IFERROR(Tabela1[[#This Row],[p(H)]]/Tabela1[[#This Row],[FTHG]],1))</f>
        <v/>
      </c>
      <c r="AP362" s="74" t="str">
        <f>IF(A362="","",IFERROR(Tabela1[[#This Row],[p(A)]]/Tabela1[[#This Row],[FTAG]],1))</f>
        <v/>
      </c>
      <c r="AQ362" s="107"/>
      <c r="AR362" s="107"/>
      <c r="AS362" s="107"/>
      <c r="AT362" s="107"/>
      <c r="AU362" s="107"/>
      <c r="AV362" s="107"/>
      <c r="AW362" s="107"/>
      <c r="AX362" s="107"/>
      <c r="AY362" s="107"/>
      <c r="AZ362" s="75"/>
      <c r="BA362" s="75"/>
      <c r="BB362" s="75"/>
      <c r="BC362" s="107"/>
      <c r="BD362" s="107"/>
      <c r="BE362" s="107"/>
      <c r="BF362" s="107"/>
      <c r="BG362" s="107"/>
      <c r="BH362" s="107"/>
      <c r="BI362" s="107"/>
      <c r="BJ362" s="107"/>
      <c r="BK362" s="107"/>
      <c r="BL362" s="107"/>
      <c r="BM362" s="107"/>
      <c r="BN362" s="107"/>
      <c r="BO362" s="107"/>
      <c r="BP362" s="107"/>
      <c r="BQ362" s="107"/>
      <c r="BR362" s="107"/>
      <c r="BS362" s="107"/>
      <c r="BT362" s="107"/>
      <c r="BU362" s="107"/>
      <c r="BV362" s="107"/>
      <c r="BW362" s="107"/>
      <c r="BX362" s="75"/>
      <c r="BY362" s="75"/>
      <c r="BZ362" s="75"/>
      <c r="CA362" s="75"/>
      <c r="CB362" s="75"/>
      <c r="CC362" s="75"/>
      <c r="CD362" s="75"/>
      <c r="CE362" s="102"/>
      <c r="CF362" s="102"/>
      <c r="CG362" s="102"/>
      <c r="CH362" s="102"/>
      <c r="CI362" s="102"/>
      <c r="CJ362" s="102"/>
      <c r="CK362" s="102"/>
      <c r="CL362" s="102"/>
      <c r="CM362" s="102"/>
      <c r="CN362" s="102"/>
      <c r="CO362" s="102"/>
      <c r="CP362" s="102"/>
      <c r="CQ362" s="102"/>
      <c r="CR362" s="102"/>
      <c r="CS362" s="102"/>
      <c r="CT362" s="102"/>
      <c r="CU362" s="102"/>
      <c r="CV362" s="102"/>
      <c r="CW362" s="102"/>
      <c r="CX362" s="102"/>
      <c r="CY362" s="102"/>
      <c r="CZ362" s="102"/>
      <c r="DA362" s="102"/>
      <c r="DB362" s="102"/>
      <c r="DC362" s="102"/>
      <c r="DD362" s="102"/>
      <c r="DE362" s="102"/>
      <c r="DF362" s="102"/>
      <c r="DG362" s="102"/>
      <c r="DH362" s="102"/>
      <c r="DI362" s="102"/>
      <c r="DJ362" s="102"/>
      <c r="DK362" s="102"/>
      <c r="DL362" s="102"/>
      <c r="DM362" s="102"/>
      <c r="DN362" s="102"/>
      <c r="DO362" s="102"/>
      <c r="DP362" s="102"/>
    </row>
    <row r="363" spans="1:120" x14ac:dyDescent="0.25">
      <c r="A363" s="4"/>
      <c r="F363"/>
      <c r="G363" s="1"/>
      <c r="H363" s="1"/>
      <c r="I363" s="1"/>
      <c r="J363" s="68" t="str">
        <f t="shared" si="126"/>
        <v/>
      </c>
      <c r="K363" s="68" t="str">
        <f t="shared" si="127"/>
        <v/>
      </c>
      <c r="L363" s="69" t="str">
        <f t="shared" si="128"/>
        <v/>
      </c>
      <c r="M363" s="69" t="str">
        <f t="shared" si="129"/>
        <v/>
      </c>
      <c r="N363" s="69" t="str">
        <f>IF(A363="","",Tabela1[[#This Row],[PTC]]*Tabela1[[#This Row],[ODDC]])</f>
        <v/>
      </c>
      <c r="O363" s="69" t="str">
        <f>IF(A363="","",Tabela1[[#This Row],[PTV]]*Tabela1[[#This Row],[ODDV]])</f>
        <v/>
      </c>
      <c r="P363" s="68" t="str">
        <f t="shared" si="130"/>
        <v/>
      </c>
      <c r="Q363" s="68" t="str">
        <f t="shared" si="131"/>
        <v/>
      </c>
      <c r="R363" s="68" t="str">
        <f t="shared" si="132"/>
        <v/>
      </c>
      <c r="S363" s="68" t="str">
        <f t="shared" si="133"/>
        <v/>
      </c>
      <c r="T363" s="68" t="str">
        <f>IF(A363="","",IF(F363="D",Tabela1[[#This Row],[ODDE]]-1,-1))</f>
        <v/>
      </c>
      <c r="U363" s="70" t="str">
        <f>IF(A363="","",IF(AND(Tabela1[[#This Row],[FTHG]]&gt;3,F363="H"),1,0))</f>
        <v/>
      </c>
      <c r="V363" s="70" t="str">
        <f>IF(A363="","",IF(AND(Tabela1[[#This Row],[FTAG]]&gt;3,F363="A"),1,0))</f>
        <v/>
      </c>
      <c r="W363" s="70" t="str">
        <f t="shared" si="134"/>
        <v/>
      </c>
      <c r="X363" s="70" t="str">
        <f t="shared" si="135"/>
        <v/>
      </c>
      <c r="Y363" s="71" t="str">
        <f t="shared" si="136"/>
        <v/>
      </c>
      <c r="Z363" s="70" t="str">
        <f t="shared" si="137"/>
        <v/>
      </c>
      <c r="AA363" s="70" t="str">
        <f t="shared" si="138"/>
        <v/>
      </c>
      <c r="AB363" s="70" t="str">
        <f t="shared" si="139"/>
        <v/>
      </c>
      <c r="AC363" s="71" t="str">
        <f t="shared" si="140"/>
        <v/>
      </c>
      <c r="AD363" s="72" t="str">
        <f t="shared" si="141"/>
        <v/>
      </c>
      <c r="AE363" s="73" t="str">
        <f>IF(A363="","",COUNT($N$2:N363))</f>
        <v/>
      </c>
      <c r="AF363" s="74" t="str">
        <f t="shared" si="142"/>
        <v/>
      </c>
      <c r="AG363" s="74" t="str">
        <f t="shared" si="143"/>
        <v/>
      </c>
      <c r="AH363" s="74" t="str">
        <f t="shared" si="144"/>
        <v/>
      </c>
      <c r="AI363" s="74" t="str">
        <f t="shared" si="145"/>
        <v/>
      </c>
      <c r="AJ363" s="74" t="str">
        <f t="shared" si="146"/>
        <v/>
      </c>
      <c r="AK363" s="74" t="str">
        <f>IF(A363="","",1/Tabela1[[#This Row],[ODDC]])</f>
        <v/>
      </c>
      <c r="AL363" s="74" t="str">
        <f>IF(A363="","",1/Tabela1[[#This Row],[ODDE]])</f>
        <v/>
      </c>
      <c r="AM363" s="74" t="str">
        <f>IF(A363="","",1/Tabela1[[#This Row],[ODDV]])</f>
        <v/>
      </c>
      <c r="AN363" s="74" t="str">
        <f>IF(A363="","",1-(Tabela1[[#This Row],[p(H)]]+Tabela1[[#This Row],[p(D)]]+Tabela1[[#This Row],[p(A)]]))</f>
        <v/>
      </c>
      <c r="AO363" s="74" t="str">
        <f>IF(A363="","",IFERROR(Tabela1[[#This Row],[p(H)]]/Tabela1[[#This Row],[FTHG]],1))</f>
        <v/>
      </c>
      <c r="AP363" s="74" t="str">
        <f>IF(A363="","",IFERROR(Tabela1[[#This Row],[p(A)]]/Tabela1[[#This Row],[FTAG]],1))</f>
        <v/>
      </c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75"/>
      <c r="BA363" s="75"/>
      <c r="BB363" s="75"/>
      <c r="BC363" s="107"/>
      <c r="BD363" s="107"/>
      <c r="BE363" s="107"/>
      <c r="BF363" s="107"/>
      <c r="BG363" s="107"/>
      <c r="BH363" s="107"/>
      <c r="BI363" s="107"/>
      <c r="BJ363" s="107"/>
      <c r="BK363" s="107"/>
      <c r="BL363" s="107"/>
      <c r="BM363" s="107"/>
      <c r="BN363" s="107"/>
      <c r="BO363" s="107"/>
      <c r="BP363" s="107"/>
      <c r="BQ363" s="107"/>
      <c r="BR363" s="107"/>
      <c r="BS363" s="107"/>
      <c r="BT363" s="107"/>
      <c r="BU363" s="107"/>
      <c r="BV363" s="107"/>
      <c r="BW363" s="107"/>
      <c r="BX363" s="75"/>
      <c r="BY363" s="75"/>
      <c r="BZ363" s="75"/>
      <c r="CA363" s="75"/>
      <c r="CB363" s="75"/>
      <c r="CC363" s="75"/>
      <c r="CD363" s="75"/>
      <c r="CE363" s="102"/>
      <c r="CF363" s="102"/>
      <c r="CG363" s="102"/>
      <c r="CH363" s="102"/>
      <c r="CI363" s="102"/>
      <c r="CJ363" s="102"/>
      <c r="CK363" s="102"/>
      <c r="CL363" s="102"/>
      <c r="CM363" s="102"/>
      <c r="CN363" s="102"/>
      <c r="CO363" s="102"/>
      <c r="CP363" s="102"/>
      <c r="CQ363" s="102"/>
      <c r="CR363" s="102"/>
      <c r="CS363" s="102"/>
      <c r="CT363" s="102"/>
      <c r="CU363" s="102"/>
      <c r="CV363" s="102"/>
      <c r="CW363" s="102"/>
      <c r="CX363" s="102"/>
      <c r="CY363" s="102"/>
      <c r="CZ363" s="102"/>
      <c r="DA363" s="102"/>
      <c r="DB363" s="102"/>
      <c r="DC363" s="102"/>
      <c r="DD363" s="102"/>
      <c r="DE363" s="102"/>
      <c r="DF363" s="102"/>
      <c r="DG363" s="102"/>
      <c r="DH363" s="102"/>
      <c r="DI363" s="102"/>
      <c r="DJ363" s="102"/>
      <c r="DK363" s="102"/>
      <c r="DL363" s="102"/>
      <c r="DM363" s="102"/>
      <c r="DN363" s="102"/>
      <c r="DO363" s="102"/>
      <c r="DP363" s="102"/>
    </row>
    <row r="364" spans="1:120" x14ac:dyDescent="0.25">
      <c r="A364" s="4"/>
      <c r="F364"/>
      <c r="G364" s="1"/>
      <c r="H364" s="1"/>
      <c r="I364" s="1"/>
      <c r="J364" s="68" t="str">
        <f t="shared" si="126"/>
        <v/>
      </c>
      <c r="K364" s="68" t="str">
        <f t="shared" si="127"/>
        <v/>
      </c>
      <c r="L364" s="69" t="str">
        <f t="shared" si="128"/>
        <v/>
      </c>
      <c r="M364" s="69" t="str">
        <f t="shared" si="129"/>
        <v/>
      </c>
      <c r="N364" s="69" t="str">
        <f>IF(A364="","",Tabela1[[#This Row],[PTC]]*Tabela1[[#This Row],[ODDC]])</f>
        <v/>
      </c>
      <c r="O364" s="69" t="str">
        <f>IF(A364="","",Tabela1[[#This Row],[PTV]]*Tabela1[[#This Row],[ODDV]])</f>
        <v/>
      </c>
      <c r="P364" s="68" t="str">
        <f t="shared" si="130"/>
        <v/>
      </c>
      <c r="Q364" s="68" t="str">
        <f t="shared" si="131"/>
        <v/>
      </c>
      <c r="R364" s="68" t="str">
        <f t="shared" si="132"/>
        <v/>
      </c>
      <c r="S364" s="68" t="str">
        <f t="shared" si="133"/>
        <v/>
      </c>
      <c r="T364" s="68" t="str">
        <f>IF(A364="","",IF(F364="D",Tabela1[[#This Row],[ODDE]]-1,-1))</f>
        <v/>
      </c>
      <c r="U364" s="70" t="str">
        <f>IF(A364="","",IF(AND(Tabela1[[#This Row],[FTHG]]&gt;3,F364="H"),1,0))</f>
        <v/>
      </c>
      <c r="V364" s="70" t="str">
        <f>IF(A364="","",IF(AND(Tabela1[[#This Row],[FTAG]]&gt;3,F364="A"),1,0))</f>
        <v/>
      </c>
      <c r="W364" s="70" t="str">
        <f t="shared" si="134"/>
        <v/>
      </c>
      <c r="X364" s="70" t="str">
        <f t="shared" si="135"/>
        <v/>
      </c>
      <c r="Y364" s="71" t="str">
        <f t="shared" si="136"/>
        <v/>
      </c>
      <c r="Z364" s="70" t="str">
        <f t="shared" si="137"/>
        <v/>
      </c>
      <c r="AA364" s="70" t="str">
        <f t="shared" si="138"/>
        <v/>
      </c>
      <c r="AB364" s="70" t="str">
        <f t="shared" si="139"/>
        <v/>
      </c>
      <c r="AC364" s="71" t="str">
        <f t="shared" si="140"/>
        <v/>
      </c>
      <c r="AD364" s="72" t="str">
        <f t="shared" si="141"/>
        <v/>
      </c>
      <c r="AE364" s="73" t="str">
        <f>IF(A364="","",COUNT($N$2:N364))</f>
        <v/>
      </c>
      <c r="AF364" s="74" t="str">
        <f t="shared" si="142"/>
        <v/>
      </c>
      <c r="AG364" s="74" t="str">
        <f t="shared" si="143"/>
        <v/>
      </c>
      <c r="AH364" s="74" t="str">
        <f t="shared" si="144"/>
        <v/>
      </c>
      <c r="AI364" s="74" t="str">
        <f t="shared" si="145"/>
        <v/>
      </c>
      <c r="AJ364" s="74" t="str">
        <f t="shared" si="146"/>
        <v/>
      </c>
      <c r="AK364" s="74" t="str">
        <f>IF(A364="","",1/Tabela1[[#This Row],[ODDC]])</f>
        <v/>
      </c>
      <c r="AL364" s="74" t="str">
        <f>IF(A364="","",1/Tabela1[[#This Row],[ODDE]])</f>
        <v/>
      </c>
      <c r="AM364" s="74" t="str">
        <f>IF(A364="","",1/Tabela1[[#This Row],[ODDV]])</f>
        <v/>
      </c>
      <c r="AN364" s="74" t="str">
        <f>IF(A364="","",1-(Tabela1[[#This Row],[p(H)]]+Tabela1[[#This Row],[p(D)]]+Tabela1[[#This Row],[p(A)]]))</f>
        <v/>
      </c>
      <c r="AO364" s="74" t="str">
        <f>IF(A364="","",IFERROR(Tabela1[[#This Row],[p(H)]]/Tabela1[[#This Row],[FTHG]],1))</f>
        <v/>
      </c>
      <c r="AP364" s="74" t="str">
        <f>IF(A364="","",IFERROR(Tabela1[[#This Row],[p(A)]]/Tabela1[[#This Row],[FTAG]],1))</f>
        <v/>
      </c>
      <c r="AQ364" s="107"/>
      <c r="AR364" s="107"/>
      <c r="AS364" s="107"/>
      <c r="AT364" s="107"/>
      <c r="AU364" s="107"/>
      <c r="AV364" s="107"/>
      <c r="AW364" s="107"/>
      <c r="AX364" s="107"/>
      <c r="AY364" s="107"/>
      <c r="AZ364" s="75"/>
      <c r="BA364" s="75"/>
      <c r="BB364" s="75"/>
      <c r="BC364" s="107"/>
      <c r="BD364" s="107"/>
      <c r="BE364" s="107"/>
      <c r="BF364" s="107"/>
      <c r="BG364" s="107"/>
      <c r="BH364" s="107"/>
      <c r="BI364" s="107"/>
      <c r="BJ364" s="107"/>
      <c r="BK364" s="107"/>
      <c r="BL364" s="107"/>
      <c r="BM364" s="107"/>
      <c r="BN364" s="107"/>
      <c r="BO364" s="107"/>
      <c r="BP364" s="107"/>
      <c r="BQ364" s="107"/>
      <c r="BR364" s="107"/>
      <c r="BS364" s="107"/>
      <c r="BT364" s="107"/>
      <c r="BU364" s="107"/>
      <c r="BV364" s="107"/>
      <c r="BW364" s="107"/>
      <c r="BX364" s="75"/>
      <c r="BY364" s="75"/>
      <c r="BZ364" s="75"/>
      <c r="CA364" s="75"/>
      <c r="CB364" s="75"/>
      <c r="CC364" s="75"/>
      <c r="CD364" s="75"/>
      <c r="CE364" s="102"/>
      <c r="CF364" s="102"/>
      <c r="CG364" s="102"/>
      <c r="CH364" s="102"/>
      <c r="CI364" s="102"/>
      <c r="CJ364" s="102"/>
      <c r="CK364" s="102"/>
      <c r="CL364" s="102"/>
      <c r="CM364" s="102"/>
      <c r="CN364" s="102"/>
      <c r="CO364" s="102"/>
      <c r="CP364" s="102"/>
      <c r="CQ364" s="102"/>
      <c r="CR364" s="102"/>
      <c r="CS364" s="102"/>
      <c r="CT364" s="102"/>
      <c r="CU364" s="102"/>
      <c r="CV364" s="102"/>
      <c r="CW364" s="102"/>
      <c r="CX364" s="102"/>
      <c r="CY364" s="102"/>
      <c r="CZ364" s="102"/>
      <c r="DA364" s="102"/>
      <c r="DB364" s="102"/>
      <c r="DC364" s="102"/>
      <c r="DD364" s="102"/>
      <c r="DE364" s="102"/>
      <c r="DF364" s="102"/>
      <c r="DG364" s="102"/>
      <c r="DH364" s="102"/>
      <c r="DI364" s="102"/>
      <c r="DJ364" s="102"/>
      <c r="DK364" s="102"/>
      <c r="DL364" s="102"/>
      <c r="DM364" s="102"/>
      <c r="DN364" s="102"/>
      <c r="DO364" s="102"/>
      <c r="DP364" s="102"/>
    </row>
    <row r="365" spans="1:120" x14ac:dyDescent="0.25">
      <c r="A365" s="4"/>
      <c r="F365"/>
      <c r="G365" s="1"/>
      <c r="H365" s="1"/>
      <c r="I365" s="1"/>
      <c r="J365" s="68" t="str">
        <f t="shared" si="126"/>
        <v/>
      </c>
      <c r="K365" s="68" t="str">
        <f t="shared" si="127"/>
        <v/>
      </c>
      <c r="L365" s="69" t="str">
        <f t="shared" si="128"/>
        <v/>
      </c>
      <c r="M365" s="69" t="str">
        <f t="shared" si="129"/>
        <v/>
      </c>
      <c r="N365" s="69" t="str">
        <f>IF(A365="","",Tabela1[[#This Row],[PTC]]*Tabela1[[#This Row],[ODDC]])</f>
        <v/>
      </c>
      <c r="O365" s="69" t="str">
        <f>IF(A365="","",Tabela1[[#This Row],[PTV]]*Tabela1[[#This Row],[ODDV]])</f>
        <v/>
      </c>
      <c r="P365" s="68" t="str">
        <f t="shared" si="130"/>
        <v/>
      </c>
      <c r="Q365" s="68" t="str">
        <f t="shared" si="131"/>
        <v/>
      </c>
      <c r="R365" s="68" t="str">
        <f t="shared" si="132"/>
        <v/>
      </c>
      <c r="S365" s="68" t="str">
        <f t="shared" si="133"/>
        <v/>
      </c>
      <c r="T365" s="68" t="str">
        <f>IF(A365="","",IF(F365="D",Tabela1[[#This Row],[ODDE]]-1,-1))</f>
        <v/>
      </c>
      <c r="U365" s="70" t="str">
        <f>IF(A365="","",IF(AND(Tabela1[[#This Row],[FTHG]]&gt;3,F365="H"),1,0))</f>
        <v/>
      </c>
      <c r="V365" s="70" t="str">
        <f>IF(A365="","",IF(AND(Tabela1[[#This Row],[FTAG]]&gt;3,F365="A"),1,0))</f>
        <v/>
      </c>
      <c r="W365" s="70" t="str">
        <f t="shared" si="134"/>
        <v/>
      </c>
      <c r="X365" s="70" t="str">
        <f t="shared" si="135"/>
        <v/>
      </c>
      <c r="Y365" s="71" t="str">
        <f t="shared" si="136"/>
        <v/>
      </c>
      <c r="Z365" s="70" t="str">
        <f t="shared" si="137"/>
        <v/>
      </c>
      <c r="AA365" s="70" t="str">
        <f t="shared" si="138"/>
        <v/>
      </c>
      <c r="AB365" s="70" t="str">
        <f t="shared" si="139"/>
        <v/>
      </c>
      <c r="AC365" s="71" t="str">
        <f t="shared" si="140"/>
        <v/>
      </c>
      <c r="AD365" s="72" t="str">
        <f t="shared" si="141"/>
        <v/>
      </c>
      <c r="AE365" s="73" t="str">
        <f>IF(A365="","",COUNT($N$2:N365))</f>
        <v/>
      </c>
      <c r="AF365" s="74" t="str">
        <f t="shared" si="142"/>
        <v/>
      </c>
      <c r="AG365" s="74" t="str">
        <f t="shared" si="143"/>
        <v/>
      </c>
      <c r="AH365" s="74" t="str">
        <f t="shared" si="144"/>
        <v/>
      </c>
      <c r="AI365" s="74" t="str">
        <f t="shared" si="145"/>
        <v/>
      </c>
      <c r="AJ365" s="74" t="str">
        <f t="shared" si="146"/>
        <v/>
      </c>
      <c r="AK365" s="74" t="str">
        <f>IF(A365="","",1/Tabela1[[#This Row],[ODDC]])</f>
        <v/>
      </c>
      <c r="AL365" s="74" t="str">
        <f>IF(A365="","",1/Tabela1[[#This Row],[ODDE]])</f>
        <v/>
      </c>
      <c r="AM365" s="74" t="str">
        <f>IF(A365="","",1/Tabela1[[#This Row],[ODDV]])</f>
        <v/>
      </c>
      <c r="AN365" s="74" t="str">
        <f>IF(A365="","",1-(Tabela1[[#This Row],[p(H)]]+Tabela1[[#This Row],[p(D)]]+Tabela1[[#This Row],[p(A)]]))</f>
        <v/>
      </c>
      <c r="AO365" s="74" t="str">
        <f>IF(A365="","",IFERROR(Tabela1[[#This Row],[p(H)]]/Tabela1[[#This Row],[FTHG]],1))</f>
        <v/>
      </c>
      <c r="AP365" s="74" t="str">
        <f>IF(A365="","",IFERROR(Tabela1[[#This Row],[p(A)]]/Tabela1[[#This Row],[FTAG]],1))</f>
        <v/>
      </c>
      <c r="AQ365" s="107"/>
      <c r="AR365" s="107"/>
      <c r="AS365" s="107"/>
      <c r="AT365" s="107"/>
      <c r="AU365" s="107"/>
      <c r="AV365" s="107"/>
      <c r="AW365" s="107"/>
      <c r="AX365" s="107"/>
      <c r="AY365" s="107"/>
      <c r="AZ365" s="75"/>
      <c r="BA365" s="75"/>
      <c r="BB365" s="75"/>
      <c r="BC365" s="107"/>
      <c r="BD365" s="107"/>
      <c r="BE365" s="107"/>
      <c r="BF365" s="107"/>
      <c r="BG365" s="107"/>
      <c r="BH365" s="107"/>
      <c r="BI365" s="107"/>
      <c r="BJ365" s="107"/>
      <c r="BK365" s="107"/>
      <c r="BL365" s="107"/>
      <c r="BM365" s="107"/>
      <c r="BN365" s="107"/>
      <c r="BO365" s="107"/>
      <c r="BP365" s="107"/>
      <c r="BQ365" s="107"/>
      <c r="BR365" s="107"/>
      <c r="BS365" s="107"/>
      <c r="BT365" s="107"/>
      <c r="BU365" s="107"/>
      <c r="BV365" s="107"/>
      <c r="BW365" s="107"/>
      <c r="BX365" s="75"/>
      <c r="BY365" s="75"/>
      <c r="BZ365" s="75"/>
      <c r="CA365" s="75"/>
      <c r="CB365" s="75"/>
      <c r="CC365" s="75"/>
      <c r="CD365" s="75"/>
      <c r="CE365" s="102"/>
      <c r="CF365" s="102"/>
      <c r="CG365" s="102"/>
      <c r="CH365" s="102"/>
      <c r="CI365" s="102"/>
      <c r="CJ365" s="102"/>
      <c r="CK365" s="102"/>
      <c r="CL365" s="102"/>
      <c r="CM365" s="102"/>
      <c r="CN365" s="102"/>
      <c r="CO365" s="102"/>
      <c r="CP365" s="102"/>
      <c r="CQ365" s="102"/>
      <c r="CR365" s="102"/>
      <c r="CS365" s="102"/>
      <c r="CT365" s="102"/>
      <c r="CU365" s="102"/>
      <c r="CV365" s="102"/>
      <c r="CW365" s="102"/>
      <c r="CX365" s="102"/>
      <c r="CY365" s="102"/>
      <c r="CZ365" s="102"/>
      <c r="DA365" s="102"/>
      <c r="DB365" s="102"/>
      <c r="DC365" s="102"/>
      <c r="DD365" s="102"/>
      <c r="DE365" s="102"/>
      <c r="DF365" s="102"/>
      <c r="DG365" s="102"/>
      <c r="DH365" s="102"/>
      <c r="DI365" s="102"/>
      <c r="DJ365" s="102"/>
      <c r="DK365" s="102"/>
      <c r="DL365" s="102"/>
      <c r="DM365" s="102"/>
      <c r="DN365" s="102"/>
      <c r="DO365" s="102"/>
      <c r="DP365" s="102"/>
    </row>
    <row r="366" spans="1:120" x14ac:dyDescent="0.25">
      <c r="A366" s="4"/>
      <c r="F366"/>
      <c r="G366" s="1"/>
      <c r="H366" s="1"/>
      <c r="I366" s="1"/>
      <c r="J366" s="68" t="str">
        <f t="shared" si="126"/>
        <v/>
      </c>
      <c r="K366" s="68" t="str">
        <f t="shared" si="127"/>
        <v/>
      </c>
      <c r="L366" s="69" t="str">
        <f t="shared" si="128"/>
        <v/>
      </c>
      <c r="M366" s="69" t="str">
        <f t="shared" si="129"/>
        <v/>
      </c>
      <c r="N366" s="69" t="str">
        <f>IF(A366="","",Tabela1[[#This Row],[PTC]]*Tabela1[[#This Row],[ODDC]])</f>
        <v/>
      </c>
      <c r="O366" s="69" t="str">
        <f>IF(A366="","",Tabela1[[#This Row],[PTV]]*Tabela1[[#This Row],[ODDV]])</f>
        <v/>
      </c>
      <c r="P366" s="68" t="str">
        <f t="shared" si="130"/>
        <v/>
      </c>
      <c r="Q366" s="68" t="str">
        <f t="shared" si="131"/>
        <v/>
      </c>
      <c r="R366" s="68" t="str">
        <f t="shared" si="132"/>
        <v/>
      </c>
      <c r="S366" s="68" t="str">
        <f t="shared" si="133"/>
        <v/>
      </c>
      <c r="T366" s="68" t="str">
        <f>IF(A366="","",IF(F366="D",Tabela1[[#This Row],[ODDE]]-1,-1))</f>
        <v/>
      </c>
      <c r="U366" s="70" t="str">
        <f>IF(A366="","",IF(AND(Tabela1[[#This Row],[FTHG]]&gt;3,F366="H"),1,0))</f>
        <v/>
      </c>
      <c r="V366" s="70" t="str">
        <f>IF(A366="","",IF(AND(Tabela1[[#This Row],[FTAG]]&gt;3,F366="A"),1,0))</f>
        <v/>
      </c>
      <c r="W366" s="70" t="str">
        <f t="shared" si="134"/>
        <v/>
      </c>
      <c r="X366" s="70" t="str">
        <f t="shared" si="135"/>
        <v/>
      </c>
      <c r="Y366" s="71" t="str">
        <f t="shared" si="136"/>
        <v/>
      </c>
      <c r="Z366" s="70" t="str">
        <f t="shared" si="137"/>
        <v/>
      </c>
      <c r="AA366" s="70" t="str">
        <f t="shared" si="138"/>
        <v/>
      </c>
      <c r="AB366" s="70" t="str">
        <f t="shared" si="139"/>
        <v/>
      </c>
      <c r="AC366" s="71" t="str">
        <f t="shared" si="140"/>
        <v/>
      </c>
      <c r="AD366" s="72" t="str">
        <f t="shared" si="141"/>
        <v/>
      </c>
      <c r="AE366" s="73" t="str">
        <f>IF(A366="","",COUNT($N$2:N366))</f>
        <v/>
      </c>
      <c r="AF366" s="74" t="str">
        <f t="shared" si="142"/>
        <v/>
      </c>
      <c r="AG366" s="74" t="str">
        <f t="shared" si="143"/>
        <v/>
      </c>
      <c r="AH366" s="74" t="str">
        <f t="shared" si="144"/>
        <v/>
      </c>
      <c r="AI366" s="74" t="str">
        <f t="shared" si="145"/>
        <v/>
      </c>
      <c r="AJ366" s="74" t="str">
        <f t="shared" si="146"/>
        <v/>
      </c>
      <c r="AK366" s="74" t="str">
        <f>IF(A366="","",1/Tabela1[[#This Row],[ODDC]])</f>
        <v/>
      </c>
      <c r="AL366" s="74" t="str">
        <f>IF(A366="","",1/Tabela1[[#This Row],[ODDE]])</f>
        <v/>
      </c>
      <c r="AM366" s="74" t="str">
        <f>IF(A366="","",1/Tabela1[[#This Row],[ODDV]])</f>
        <v/>
      </c>
      <c r="AN366" s="74" t="str">
        <f>IF(A366="","",1-(Tabela1[[#This Row],[p(H)]]+Tabela1[[#This Row],[p(D)]]+Tabela1[[#This Row],[p(A)]]))</f>
        <v/>
      </c>
      <c r="AO366" s="74" t="str">
        <f>IF(A366="","",IFERROR(Tabela1[[#This Row],[p(H)]]/Tabela1[[#This Row],[FTHG]],1))</f>
        <v/>
      </c>
      <c r="AP366" s="74" t="str">
        <f>IF(A366="","",IFERROR(Tabela1[[#This Row],[p(A)]]/Tabela1[[#This Row],[FTAG]],1))</f>
        <v/>
      </c>
      <c r="AQ366" s="107"/>
      <c r="AR366" s="107"/>
      <c r="AS366" s="107"/>
      <c r="AT366" s="107"/>
      <c r="AU366" s="107"/>
      <c r="AV366" s="107"/>
      <c r="AW366" s="107"/>
      <c r="AX366" s="107"/>
      <c r="AY366" s="107"/>
      <c r="AZ366" s="75"/>
      <c r="BA366" s="75"/>
      <c r="BB366" s="75"/>
      <c r="BC366" s="107"/>
      <c r="BD366" s="107"/>
      <c r="BE366" s="107"/>
      <c r="BF366" s="107"/>
      <c r="BG366" s="107"/>
      <c r="BH366" s="107"/>
      <c r="BI366" s="107"/>
      <c r="BJ366" s="107"/>
      <c r="BK366" s="107"/>
      <c r="BL366" s="107"/>
      <c r="BM366" s="107"/>
      <c r="BN366" s="107"/>
      <c r="BO366" s="107"/>
      <c r="BP366" s="107"/>
      <c r="BQ366" s="107"/>
      <c r="BR366" s="107"/>
      <c r="BS366" s="107"/>
      <c r="BT366" s="107"/>
      <c r="BU366" s="107"/>
      <c r="BV366" s="107"/>
      <c r="BW366" s="107"/>
      <c r="BX366" s="75"/>
      <c r="BY366" s="75"/>
      <c r="BZ366" s="75"/>
      <c r="CA366" s="75"/>
      <c r="CB366" s="75"/>
      <c r="CC366" s="75"/>
      <c r="CD366" s="75"/>
      <c r="CE366" s="102"/>
      <c r="CF366" s="102"/>
      <c r="CG366" s="102"/>
      <c r="CH366" s="102"/>
      <c r="CI366" s="102"/>
      <c r="CJ366" s="102"/>
      <c r="CK366" s="102"/>
      <c r="CL366" s="102"/>
      <c r="CM366" s="102"/>
      <c r="CN366" s="102"/>
      <c r="CO366" s="102"/>
      <c r="CP366" s="102"/>
      <c r="CQ366" s="102"/>
      <c r="CR366" s="102"/>
      <c r="CS366" s="102"/>
      <c r="CT366" s="102"/>
      <c r="CU366" s="102"/>
      <c r="CV366" s="102"/>
      <c r="CW366" s="102"/>
      <c r="CX366" s="102"/>
      <c r="CY366" s="102"/>
      <c r="CZ366" s="102"/>
      <c r="DA366" s="102"/>
      <c r="DB366" s="102"/>
      <c r="DC366" s="102"/>
      <c r="DD366" s="102"/>
      <c r="DE366" s="102"/>
      <c r="DF366" s="102"/>
      <c r="DG366" s="102"/>
      <c r="DH366" s="102"/>
      <c r="DI366" s="102"/>
      <c r="DJ366" s="102"/>
      <c r="DK366" s="102"/>
      <c r="DL366" s="102"/>
      <c r="DM366" s="102"/>
      <c r="DN366" s="102"/>
      <c r="DO366" s="102"/>
      <c r="DP366" s="102"/>
    </row>
    <row r="367" spans="1:120" x14ac:dyDescent="0.25">
      <c r="A367" s="4"/>
      <c r="F367"/>
      <c r="G367" s="1"/>
      <c r="H367" s="1"/>
      <c r="I367" s="1"/>
      <c r="J367" s="68" t="str">
        <f t="shared" si="126"/>
        <v/>
      </c>
      <c r="K367" s="68" t="str">
        <f t="shared" si="127"/>
        <v/>
      </c>
      <c r="L367" s="69" t="str">
        <f t="shared" si="128"/>
        <v/>
      </c>
      <c r="M367" s="69" t="str">
        <f t="shared" si="129"/>
        <v/>
      </c>
      <c r="N367" s="69" t="str">
        <f>IF(A367="","",Tabela1[[#This Row],[PTC]]*Tabela1[[#This Row],[ODDC]])</f>
        <v/>
      </c>
      <c r="O367" s="69" t="str">
        <f>IF(A367="","",Tabela1[[#This Row],[PTV]]*Tabela1[[#This Row],[ODDV]])</f>
        <v/>
      </c>
      <c r="P367" s="68" t="str">
        <f t="shared" si="130"/>
        <v/>
      </c>
      <c r="Q367" s="68" t="str">
        <f t="shared" si="131"/>
        <v/>
      </c>
      <c r="R367" s="68" t="str">
        <f t="shared" si="132"/>
        <v/>
      </c>
      <c r="S367" s="68" t="str">
        <f t="shared" si="133"/>
        <v/>
      </c>
      <c r="T367" s="68" t="str">
        <f>IF(A367="","",IF(F367="D",Tabela1[[#This Row],[ODDE]]-1,-1))</f>
        <v/>
      </c>
      <c r="U367" s="70" t="str">
        <f>IF(A367="","",IF(AND(Tabela1[[#This Row],[FTHG]]&gt;3,F367="H"),1,0))</f>
        <v/>
      </c>
      <c r="V367" s="70" t="str">
        <f>IF(A367="","",IF(AND(Tabela1[[#This Row],[FTAG]]&gt;3,F367="A"),1,0))</f>
        <v/>
      </c>
      <c r="W367" s="70" t="str">
        <f t="shared" si="134"/>
        <v/>
      </c>
      <c r="X367" s="70" t="str">
        <f t="shared" si="135"/>
        <v/>
      </c>
      <c r="Y367" s="71" t="str">
        <f t="shared" si="136"/>
        <v/>
      </c>
      <c r="Z367" s="70" t="str">
        <f t="shared" si="137"/>
        <v/>
      </c>
      <c r="AA367" s="70" t="str">
        <f t="shared" si="138"/>
        <v/>
      </c>
      <c r="AB367" s="70" t="str">
        <f t="shared" si="139"/>
        <v/>
      </c>
      <c r="AC367" s="71" t="str">
        <f t="shared" si="140"/>
        <v/>
      </c>
      <c r="AD367" s="72" t="str">
        <f t="shared" si="141"/>
        <v/>
      </c>
      <c r="AE367" s="73" t="str">
        <f>IF(A367="","",COUNT($N$2:N367))</f>
        <v/>
      </c>
      <c r="AF367" s="74" t="str">
        <f t="shared" si="142"/>
        <v/>
      </c>
      <c r="AG367" s="74" t="str">
        <f t="shared" si="143"/>
        <v/>
      </c>
      <c r="AH367" s="74" t="str">
        <f t="shared" si="144"/>
        <v/>
      </c>
      <c r="AI367" s="74" t="str">
        <f t="shared" si="145"/>
        <v/>
      </c>
      <c r="AJ367" s="74" t="str">
        <f t="shared" si="146"/>
        <v/>
      </c>
      <c r="AK367" s="74" t="str">
        <f>IF(A367="","",1/Tabela1[[#This Row],[ODDC]])</f>
        <v/>
      </c>
      <c r="AL367" s="74" t="str">
        <f>IF(A367="","",1/Tabela1[[#This Row],[ODDE]])</f>
        <v/>
      </c>
      <c r="AM367" s="74" t="str">
        <f>IF(A367="","",1/Tabela1[[#This Row],[ODDV]])</f>
        <v/>
      </c>
      <c r="AN367" s="74" t="str">
        <f>IF(A367="","",1-(Tabela1[[#This Row],[p(H)]]+Tabela1[[#This Row],[p(D)]]+Tabela1[[#This Row],[p(A)]]))</f>
        <v/>
      </c>
      <c r="AO367" s="74" t="str">
        <f>IF(A367="","",IFERROR(Tabela1[[#This Row],[p(H)]]/Tabela1[[#This Row],[FTHG]],1))</f>
        <v/>
      </c>
      <c r="AP367" s="74" t="str">
        <f>IF(A367="","",IFERROR(Tabela1[[#This Row],[p(A)]]/Tabela1[[#This Row],[FTAG]],1))</f>
        <v/>
      </c>
      <c r="AQ367" s="107"/>
      <c r="AR367" s="107"/>
      <c r="AS367" s="107"/>
      <c r="AT367" s="107"/>
      <c r="AU367" s="107"/>
      <c r="AV367" s="107"/>
      <c r="AW367" s="107"/>
      <c r="AX367" s="107"/>
      <c r="AY367" s="107"/>
      <c r="AZ367" s="75"/>
      <c r="BA367" s="75"/>
      <c r="BB367" s="75"/>
      <c r="BC367" s="107"/>
      <c r="BD367" s="107"/>
      <c r="BE367" s="107"/>
      <c r="BF367" s="107"/>
      <c r="BG367" s="107"/>
      <c r="BH367" s="107"/>
      <c r="BI367" s="107"/>
      <c r="BJ367" s="107"/>
      <c r="BK367" s="107"/>
      <c r="BL367" s="107"/>
      <c r="BM367" s="107"/>
      <c r="BN367" s="107"/>
      <c r="BO367" s="107"/>
      <c r="BP367" s="107"/>
      <c r="BQ367" s="107"/>
      <c r="BR367" s="107"/>
      <c r="BS367" s="107"/>
      <c r="BT367" s="107"/>
      <c r="BU367" s="107"/>
      <c r="BV367" s="107"/>
      <c r="BW367" s="107"/>
      <c r="BX367" s="75"/>
      <c r="BY367" s="75"/>
      <c r="BZ367" s="75"/>
      <c r="CA367" s="75"/>
      <c r="CB367" s="75"/>
      <c r="CC367" s="75"/>
      <c r="CD367" s="75"/>
      <c r="CE367" s="102"/>
      <c r="CF367" s="102"/>
      <c r="CG367" s="102"/>
      <c r="CH367" s="102"/>
      <c r="CI367" s="102"/>
      <c r="CJ367" s="102"/>
      <c r="CK367" s="102"/>
      <c r="CL367" s="102"/>
      <c r="CM367" s="102"/>
      <c r="CN367" s="102"/>
      <c r="CO367" s="102"/>
      <c r="CP367" s="102"/>
      <c r="CQ367" s="102"/>
      <c r="CR367" s="102"/>
      <c r="CS367" s="102"/>
      <c r="CT367" s="102"/>
      <c r="CU367" s="102"/>
      <c r="CV367" s="102"/>
      <c r="CW367" s="102"/>
      <c r="CX367" s="102"/>
      <c r="CY367" s="102"/>
      <c r="CZ367" s="102"/>
      <c r="DA367" s="102"/>
      <c r="DB367" s="102"/>
      <c r="DC367" s="102"/>
      <c r="DD367" s="102"/>
      <c r="DE367" s="102"/>
      <c r="DF367" s="102"/>
      <c r="DG367" s="102"/>
      <c r="DH367" s="102"/>
      <c r="DI367" s="102"/>
      <c r="DJ367" s="102"/>
      <c r="DK367" s="102"/>
      <c r="DL367" s="102"/>
      <c r="DM367" s="102"/>
      <c r="DN367" s="102"/>
      <c r="DO367" s="102"/>
      <c r="DP367" s="102"/>
    </row>
    <row r="368" spans="1:120" x14ac:dyDescent="0.25">
      <c r="A368" s="4"/>
      <c r="F368"/>
      <c r="G368" s="1"/>
      <c r="H368" s="1"/>
      <c r="I368" s="1"/>
      <c r="J368" s="68" t="str">
        <f t="shared" si="126"/>
        <v/>
      </c>
      <c r="K368" s="68" t="str">
        <f t="shared" si="127"/>
        <v/>
      </c>
      <c r="L368" s="69" t="str">
        <f t="shared" si="128"/>
        <v/>
      </c>
      <c r="M368" s="69" t="str">
        <f t="shared" si="129"/>
        <v/>
      </c>
      <c r="N368" s="69" t="str">
        <f>IF(A368="","",Tabela1[[#This Row],[PTC]]*Tabela1[[#This Row],[ODDC]])</f>
        <v/>
      </c>
      <c r="O368" s="69" t="str">
        <f>IF(A368="","",Tabela1[[#This Row],[PTV]]*Tabela1[[#This Row],[ODDV]])</f>
        <v/>
      </c>
      <c r="P368" s="68" t="str">
        <f t="shared" si="130"/>
        <v/>
      </c>
      <c r="Q368" s="68" t="str">
        <f t="shared" si="131"/>
        <v/>
      </c>
      <c r="R368" s="68" t="str">
        <f t="shared" si="132"/>
        <v/>
      </c>
      <c r="S368" s="68" t="str">
        <f t="shared" si="133"/>
        <v/>
      </c>
      <c r="T368" s="68" t="str">
        <f>IF(A368="","",IF(F368="D",Tabela1[[#This Row],[ODDE]]-1,-1))</f>
        <v/>
      </c>
      <c r="U368" s="70" t="str">
        <f>IF(A368="","",IF(AND(Tabela1[[#This Row],[FTHG]]&gt;3,F368="H"),1,0))</f>
        <v/>
      </c>
      <c r="V368" s="70" t="str">
        <f>IF(A368="","",IF(AND(Tabela1[[#This Row],[FTAG]]&gt;3,F368="A"),1,0))</f>
        <v/>
      </c>
      <c r="W368" s="70" t="str">
        <f t="shared" si="134"/>
        <v/>
      </c>
      <c r="X368" s="70" t="str">
        <f t="shared" si="135"/>
        <v/>
      </c>
      <c r="Y368" s="71" t="str">
        <f t="shared" si="136"/>
        <v/>
      </c>
      <c r="Z368" s="70" t="str">
        <f t="shared" si="137"/>
        <v/>
      </c>
      <c r="AA368" s="70" t="str">
        <f t="shared" si="138"/>
        <v/>
      </c>
      <c r="AB368" s="70" t="str">
        <f t="shared" si="139"/>
        <v/>
      </c>
      <c r="AC368" s="71" t="str">
        <f t="shared" si="140"/>
        <v/>
      </c>
      <c r="AD368" s="72" t="str">
        <f t="shared" si="141"/>
        <v/>
      </c>
      <c r="AE368" s="73" t="str">
        <f>IF(A368="","",COUNT($N$2:N368))</f>
        <v/>
      </c>
      <c r="AF368" s="74" t="str">
        <f t="shared" si="142"/>
        <v/>
      </c>
      <c r="AG368" s="74" t="str">
        <f t="shared" si="143"/>
        <v/>
      </c>
      <c r="AH368" s="74" t="str">
        <f t="shared" si="144"/>
        <v/>
      </c>
      <c r="AI368" s="74" t="str">
        <f t="shared" si="145"/>
        <v/>
      </c>
      <c r="AJ368" s="74" t="str">
        <f t="shared" si="146"/>
        <v/>
      </c>
      <c r="AK368" s="74" t="str">
        <f>IF(A368="","",1/Tabela1[[#This Row],[ODDC]])</f>
        <v/>
      </c>
      <c r="AL368" s="74" t="str">
        <f>IF(A368="","",1/Tabela1[[#This Row],[ODDE]])</f>
        <v/>
      </c>
      <c r="AM368" s="74" t="str">
        <f>IF(A368="","",1/Tabela1[[#This Row],[ODDV]])</f>
        <v/>
      </c>
      <c r="AN368" s="74" t="str">
        <f>IF(A368="","",1-(Tabela1[[#This Row],[p(H)]]+Tabela1[[#This Row],[p(D)]]+Tabela1[[#This Row],[p(A)]]))</f>
        <v/>
      </c>
      <c r="AO368" s="74" t="str">
        <f>IF(A368="","",IFERROR(Tabela1[[#This Row],[p(H)]]/Tabela1[[#This Row],[FTHG]],1))</f>
        <v/>
      </c>
      <c r="AP368" s="74" t="str">
        <f>IF(A368="","",IFERROR(Tabela1[[#This Row],[p(A)]]/Tabela1[[#This Row],[FTAG]],1))</f>
        <v/>
      </c>
      <c r="AQ368" s="107"/>
      <c r="AR368" s="107"/>
      <c r="AS368" s="107"/>
      <c r="AT368" s="107"/>
      <c r="AU368" s="107"/>
      <c r="AV368" s="107"/>
      <c r="AW368" s="107"/>
      <c r="AX368" s="107"/>
      <c r="AY368" s="107"/>
      <c r="AZ368" s="75"/>
      <c r="BA368" s="75"/>
      <c r="BB368" s="75"/>
      <c r="BC368" s="107"/>
      <c r="BD368" s="107"/>
      <c r="BE368" s="107"/>
      <c r="BF368" s="107"/>
      <c r="BG368" s="107"/>
      <c r="BH368" s="107"/>
      <c r="BI368" s="107"/>
      <c r="BJ368" s="107"/>
      <c r="BK368" s="107"/>
      <c r="BL368" s="107"/>
      <c r="BM368" s="107"/>
      <c r="BN368" s="107"/>
      <c r="BO368" s="107"/>
      <c r="BP368" s="107"/>
      <c r="BQ368" s="107"/>
      <c r="BR368" s="107"/>
      <c r="BS368" s="107"/>
      <c r="BT368" s="107"/>
      <c r="BU368" s="107"/>
      <c r="BV368" s="107"/>
      <c r="BW368" s="107"/>
      <c r="BX368" s="75"/>
      <c r="BY368" s="75"/>
      <c r="BZ368" s="75"/>
      <c r="CA368" s="75"/>
      <c r="CB368" s="75"/>
      <c r="CC368" s="75"/>
      <c r="CD368" s="75"/>
      <c r="CE368" s="102"/>
      <c r="CF368" s="102"/>
      <c r="CG368" s="102"/>
      <c r="CH368" s="102"/>
      <c r="CI368" s="102"/>
      <c r="CJ368" s="102"/>
      <c r="CK368" s="102"/>
      <c r="CL368" s="102"/>
      <c r="CM368" s="102"/>
      <c r="CN368" s="102"/>
      <c r="CO368" s="102"/>
      <c r="CP368" s="102"/>
      <c r="CQ368" s="102"/>
      <c r="CR368" s="102"/>
      <c r="CS368" s="102"/>
      <c r="CT368" s="102"/>
      <c r="CU368" s="102"/>
      <c r="CV368" s="102"/>
      <c r="CW368" s="102"/>
      <c r="CX368" s="102"/>
      <c r="CY368" s="102"/>
      <c r="CZ368" s="102"/>
      <c r="DA368" s="102"/>
      <c r="DB368" s="102"/>
      <c r="DC368" s="102"/>
      <c r="DD368" s="102"/>
      <c r="DE368" s="102"/>
      <c r="DF368" s="102"/>
      <c r="DG368" s="102"/>
      <c r="DH368" s="102"/>
      <c r="DI368" s="102"/>
      <c r="DJ368" s="102"/>
      <c r="DK368" s="102"/>
      <c r="DL368" s="102"/>
      <c r="DM368" s="102"/>
      <c r="DN368" s="102"/>
      <c r="DO368" s="102"/>
      <c r="DP368" s="102"/>
    </row>
    <row r="369" spans="1:120" x14ac:dyDescent="0.25">
      <c r="A369" s="4"/>
      <c r="F369"/>
      <c r="G369" s="1"/>
      <c r="H369" s="1"/>
      <c r="I369" s="1"/>
      <c r="J369" s="68" t="str">
        <f t="shared" si="126"/>
        <v/>
      </c>
      <c r="K369" s="68" t="str">
        <f t="shared" si="127"/>
        <v/>
      </c>
      <c r="L369" s="69" t="str">
        <f t="shared" si="128"/>
        <v/>
      </c>
      <c r="M369" s="69" t="str">
        <f t="shared" si="129"/>
        <v/>
      </c>
      <c r="N369" s="69" t="str">
        <f>IF(A369="","",Tabela1[[#This Row],[PTC]]*Tabela1[[#This Row],[ODDC]])</f>
        <v/>
      </c>
      <c r="O369" s="69" t="str">
        <f>IF(A369="","",Tabela1[[#This Row],[PTV]]*Tabela1[[#This Row],[ODDV]])</f>
        <v/>
      </c>
      <c r="P369" s="68" t="str">
        <f t="shared" si="130"/>
        <v/>
      </c>
      <c r="Q369" s="68" t="str">
        <f t="shared" si="131"/>
        <v/>
      </c>
      <c r="R369" s="68" t="str">
        <f t="shared" si="132"/>
        <v/>
      </c>
      <c r="S369" s="68" t="str">
        <f t="shared" si="133"/>
        <v/>
      </c>
      <c r="T369" s="68" t="str">
        <f>IF(A369="","",IF(F369="D",Tabela1[[#This Row],[ODDE]]-1,-1))</f>
        <v/>
      </c>
      <c r="U369" s="70" t="str">
        <f>IF(A369="","",IF(AND(Tabela1[[#This Row],[FTHG]]&gt;3,F369="H"),1,0))</f>
        <v/>
      </c>
      <c r="V369" s="70" t="str">
        <f>IF(A369="","",IF(AND(Tabela1[[#This Row],[FTAG]]&gt;3,F369="A"),1,0))</f>
        <v/>
      </c>
      <c r="W369" s="70" t="str">
        <f t="shared" si="134"/>
        <v/>
      </c>
      <c r="X369" s="70" t="str">
        <f t="shared" si="135"/>
        <v/>
      </c>
      <c r="Y369" s="71" t="str">
        <f t="shared" si="136"/>
        <v/>
      </c>
      <c r="Z369" s="70" t="str">
        <f t="shared" si="137"/>
        <v/>
      </c>
      <c r="AA369" s="70" t="str">
        <f t="shared" si="138"/>
        <v/>
      </c>
      <c r="AB369" s="70" t="str">
        <f t="shared" si="139"/>
        <v/>
      </c>
      <c r="AC369" s="71" t="str">
        <f t="shared" si="140"/>
        <v/>
      </c>
      <c r="AD369" s="72" t="str">
        <f t="shared" si="141"/>
        <v/>
      </c>
      <c r="AE369" s="73" t="str">
        <f>IF(A369="","",COUNT($N$2:N369))</f>
        <v/>
      </c>
      <c r="AF369" s="74" t="str">
        <f t="shared" si="142"/>
        <v/>
      </c>
      <c r="AG369" s="74" t="str">
        <f t="shared" si="143"/>
        <v/>
      </c>
      <c r="AH369" s="74" t="str">
        <f t="shared" si="144"/>
        <v/>
      </c>
      <c r="AI369" s="74" t="str">
        <f t="shared" si="145"/>
        <v/>
      </c>
      <c r="AJ369" s="74" t="str">
        <f t="shared" si="146"/>
        <v/>
      </c>
      <c r="AK369" s="74" t="str">
        <f>IF(A369="","",1/Tabela1[[#This Row],[ODDC]])</f>
        <v/>
      </c>
      <c r="AL369" s="74" t="str">
        <f>IF(A369="","",1/Tabela1[[#This Row],[ODDE]])</f>
        <v/>
      </c>
      <c r="AM369" s="74" t="str">
        <f>IF(A369="","",1/Tabela1[[#This Row],[ODDV]])</f>
        <v/>
      </c>
      <c r="AN369" s="74" t="str">
        <f>IF(A369="","",1-(Tabela1[[#This Row],[p(H)]]+Tabela1[[#This Row],[p(D)]]+Tabela1[[#This Row],[p(A)]]))</f>
        <v/>
      </c>
      <c r="AO369" s="74" t="str">
        <f>IF(A369="","",IFERROR(Tabela1[[#This Row],[p(H)]]/Tabela1[[#This Row],[FTHG]],1))</f>
        <v/>
      </c>
      <c r="AP369" s="74" t="str">
        <f>IF(A369="","",IFERROR(Tabela1[[#This Row],[p(A)]]/Tabela1[[#This Row],[FTAG]],1))</f>
        <v/>
      </c>
      <c r="AQ369" s="107"/>
      <c r="AR369" s="107"/>
      <c r="AS369" s="107"/>
      <c r="AT369" s="107"/>
      <c r="AU369" s="107"/>
      <c r="AV369" s="107"/>
      <c r="AW369" s="107"/>
      <c r="AX369" s="107"/>
      <c r="AY369" s="107"/>
      <c r="AZ369" s="75"/>
      <c r="BA369" s="75"/>
      <c r="BB369" s="75"/>
      <c r="BC369" s="107"/>
      <c r="BD369" s="107"/>
      <c r="BE369" s="107"/>
      <c r="BF369" s="107"/>
      <c r="BG369" s="107"/>
      <c r="BH369" s="107"/>
      <c r="BI369" s="107"/>
      <c r="BJ369" s="107"/>
      <c r="BK369" s="107"/>
      <c r="BL369" s="107"/>
      <c r="BM369" s="107"/>
      <c r="BN369" s="107"/>
      <c r="BO369" s="107"/>
      <c r="BP369" s="107"/>
      <c r="BQ369" s="107"/>
      <c r="BR369" s="107"/>
      <c r="BS369" s="107"/>
      <c r="BT369" s="107"/>
      <c r="BU369" s="107"/>
      <c r="BV369" s="107"/>
      <c r="BW369" s="107"/>
      <c r="BX369" s="75"/>
      <c r="BY369" s="75"/>
      <c r="BZ369" s="75"/>
      <c r="CA369" s="75"/>
      <c r="CB369" s="75"/>
      <c r="CC369" s="75"/>
      <c r="CD369" s="75"/>
      <c r="CE369" s="102"/>
      <c r="CF369" s="102"/>
      <c r="CG369" s="102"/>
      <c r="CH369" s="102"/>
      <c r="CI369" s="102"/>
      <c r="CJ369" s="102"/>
      <c r="CK369" s="102"/>
      <c r="CL369" s="102"/>
      <c r="CM369" s="102"/>
      <c r="CN369" s="102"/>
      <c r="CO369" s="102"/>
      <c r="CP369" s="102"/>
      <c r="CQ369" s="102"/>
      <c r="CR369" s="102"/>
      <c r="CS369" s="102"/>
      <c r="CT369" s="102"/>
      <c r="CU369" s="102"/>
      <c r="CV369" s="102"/>
      <c r="CW369" s="102"/>
      <c r="CX369" s="102"/>
      <c r="CY369" s="102"/>
      <c r="CZ369" s="102"/>
      <c r="DA369" s="102"/>
      <c r="DB369" s="102"/>
      <c r="DC369" s="102"/>
      <c r="DD369" s="102"/>
      <c r="DE369" s="102"/>
      <c r="DF369" s="102"/>
      <c r="DG369" s="102"/>
      <c r="DH369" s="102"/>
      <c r="DI369" s="102"/>
      <c r="DJ369" s="102"/>
      <c r="DK369" s="102"/>
      <c r="DL369" s="102"/>
      <c r="DM369" s="102"/>
      <c r="DN369" s="102"/>
      <c r="DO369" s="102"/>
      <c r="DP369" s="102"/>
    </row>
    <row r="370" spans="1:120" x14ac:dyDescent="0.25">
      <c r="A370" s="4"/>
      <c r="F370"/>
      <c r="G370" s="1"/>
      <c r="H370" s="1"/>
      <c r="I370" s="1"/>
      <c r="J370" s="68" t="str">
        <f t="shared" si="126"/>
        <v/>
      </c>
      <c r="K370" s="68" t="str">
        <f t="shared" si="127"/>
        <v/>
      </c>
      <c r="L370" s="69" t="str">
        <f t="shared" si="128"/>
        <v/>
      </c>
      <c r="M370" s="69" t="str">
        <f t="shared" si="129"/>
        <v/>
      </c>
      <c r="N370" s="69" t="str">
        <f>IF(A370="","",Tabela1[[#This Row],[PTC]]*Tabela1[[#This Row],[ODDC]])</f>
        <v/>
      </c>
      <c r="O370" s="69" t="str">
        <f>IF(A370="","",Tabela1[[#This Row],[PTV]]*Tabela1[[#This Row],[ODDV]])</f>
        <v/>
      </c>
      <c r="P370" s="68" t="str">
        <f t="shared" si="130"/>
        <v/>
      </c>
      <c r="Q370" s="68" t="str">
        <f t="shared" si="131"/>
        <v/>
      </c>
      <c r="R370" s="68" t="str">
        <f t="shared" si="132"/>
        <v/>
      </c>
      <c r="S370" s="68" t="str">
        <f t="shared" si="133"/>
        <v/>
      </c>
      <c r="T370" s="68" t="str">
        <f>IF(A370="","",IF(F370="D",Tabela1[[#This Row],[ODDE]]-1,-1))</f>
        <v/>
      </c>
      <c r="U370" s="70" t="str">
        <f>IF(A370="","",IF(AND(Tabela1[[#This Row],[FTHG]]&gt;3,F370="H"),1,0))</f>
        <v/>
      </c>
      <c r="V370" s="70" t="str">
        <f>IF(A370="","",IF(AND(Tabela1[[#This Row],[FTAG]]&gt;3,F370="A"),1,0))</f>
        <v/>
      </c>
      <c r="W370" s="70" t="str">
        <f t="shared" si="134"/>
        <v/>
      </c>
      <c r="X370" s="70" t="str">
        <f t="shared" si="135"/>
        <v/>
      </c>
      <c r="Y370" s="71" t="str">
        <f t="shared" si="136"/>
        <v/>
      </c>
      <c r="Z370" s="70" t="str">
        <f t="shared" si="137"/>
        <v/>
      </c>
      <c r="AA370" s="70" t="str">
        <f t="shared" si="138"/>
        <v/>
      </c>
      <c r="AB370" s="70" t="str">
        <f t="shared" si="139"/>
        <v/>
      </c>
      <c r="AC370" s="71" t="str">
        <f t="shared" si="140"/>
        <v/>
      </c>
      <c r="AD370" s="72" t="str">
        <f t="shared" si="141"/>
        <v/>
      </c>
      <c r="AE370" s="73" t="str">
        <f>IF(A370="","",COUNT($N$2:N370))</f>
        <v/>
      </c>
      <c r="AF370" s="74" t="str">
        <f t="shared" si="142"/>
        <v/>
      </c>
      <c r="AG370" s="74" t="str">
        <f t="shared" si="143"/>
        <v/>
      </c>
      <c r="AH370" s="74" t="str">
        <f t="shared" si="144"/>
        <v/>
      </c>
      <c r="AI370" s="74" t="str">
        <f t="shared" si="145"/>
        <v/>
      </c>
      <c r="AJ370" s="74" t="str">
        <f t="shared" si="146"/>
        <v/>
      </c>
      <c r="AK370" s="74" t="str">
        <f>IF(A370="","",1/Tabela1[[#This Row],[ODDC]])</f>
        <v/>
      </c>
      <c r="AL370" s="74" t="str">
        <f>IF(A370="","",1/Tabela1[[#This Row],[ODDE]])</f>
        <v/>
      </c>
      <c r="AM370" s="74" t="str">
        <f>IF(A370="","",1/Tabela1[[#This Row],[ODDV]])</f>
        <v/>
      </c>
      <c r="AN370" s="74" t="str">
        <f>IF(A370="","",1-(Tabela1[[#This Row],[p(H)]]+Tabela1[[#This Row],[p(D)]]+Tabela1[[#This Row],[p(A)]]))</f>
        <v/>
      </c>
      <c r="AO370" s="74" t="str">
        <f>IF(A370="","",IFERROR(Tabela1[[#This Row],[p(H)]]/Tabela1[[#This Row],[FTHG]],1))</f>
        <v/>
      </c>
      <c r="AP370" s="74" t="str">
        <f>IF(A370="","",IFERROR(Tabela1[[#This Row],[p(A)]]/Tabela1[[#This Row],[FTAG]],1))</f>
        <v/>
      </c>
      <c r="AQ370" s="107"/>
      <c r="AR370" s="107"/>
      <c r="AS370" s="107"/>
      <c r="AT370" s="107"/>
      <c r="AU370" s="107"/>
      <c r="AV370" s="107"/>
      <c r="AW370" s="107"/>
      <c r="AX370" s="107"/>
      <c r="AY370" s="107"/>
      <c r="AZ370" s="75"/>
      <c r="BA370" s="75"/>
      <c r="BB370" s="75"/>
      <c r="BC370" s="107"/>
      <c r="BD370" s="107"/>
      <c r="BE370" s="107"/>
      <c r="BF370" s="107"/>
      <c r="BG370" s="107"/>
      <c r="BH370" s="107"/>
      <c r="BI370" s="107"/>
      <c r="BJ370" s="107"/>
      <c r="BK370" s="107"/>
      <c r="BL370" s="107"/>
      <c r="BM370" s="107"/>
      <c r="BN370" s="107"/>
      <c r="BO370" s="107"/>
      <c r="BP370" s="107"/>
      <c r="BQ370" s="107"/>
      <c r="BR370" s="107"/>
      <c r="BS370" s="107"/>
      <c r="BT370" s="107"/>
      <c r="BU370" s="107"/>
      <c r="BV370" s="107"/>
      <c r="BW370" s="107"/>
      <c r="BX370" s="75"/>
      <c r="BY370" s="75"/>
      <c r="BZ370" s="75"/>
      <c r="CA370" s="75"/>
      <c r="CB370" s="75"/>
      <c r="CC370" s="75"/>
      <c r="CD370" s="75"/>
      <c r="CE370" s="102"/>
      <c r="CF370" s="102"/>
      <c r="CG370" s="102"/>
      <c r="CH370" s="102"/>
      <c r="CI370" s="102"/>
      <c r="CJ370" s="102"/>
      <c r="CK370" s="102"/>
      <c r="CL370" s="102"/>
      <c r="CM370" s="102"/>
      <c r="CN370" s="102"/>
      <c r="CO370" s="102"/>
      <c r="CP370" s="102"/>
      <c r="CQ370" s="102"/>
      <c r="CR370" s="102"/>
      <c r="CS370" s="102"/>
      <c r="CT370" s="102"/>
      <c r="CU370" s="102"/>
      <c r="CV370" s="102"/>
      <c r="CW370" s="102"/>
      <c r="CX370" s="102"/>
      <c r="CY370" s="102"/>
      <c r="CZ370" s="102"/>
      <c r="DA370" s="102"/>
      <c r="DB370" s="102"/>
      <c r="DC370" s="102"/>
      <c r="DD370" s="102"/>
      <c r="DE370" s="102"/>
      <c r="DF370" s="102"/>
      <c r="DG370" s="102"/>
      <c r="DH370" s="102"/>
      <c r="DI370" s="102"/>
      <c r="DJ370" s="102"/>
      <c r="DK370" s="102"/>
      <c r="DL370" s="102"/>
      <c r="DM370" s="102"/>
      <c r="DN370" s="102"/>
      <c r="DO370" s="102"/>
      <c r="DP370" s="102"/>
    </row>
    <row r="371" spans="1:120" x14ac:dyDescent="0.25">
      <c r="A371" s="4"/>
      <c r="F371"/>
      <c r="G371" s="1"/>
      <c r="H371" s="1"/>
      <c r="I371" s="1"/>
      <c r="J371" s="68" t="str">
        <f t="shared" si="126"/>
        <v/>
      </c>
      <c r="K371" s="68" t="str">
        <f t="shared" si="127"/>
        <v/>
      </c>
      <c r="L371" s="69" t="str">
        <f t="shared" si="128"/>
        <v/>
      </c>
      <c r="M371" s="69" t="str">
        <f t="shared" si="129"/>
        <v/>
      </c>
      <c r="N371" s="69" t="str">
        <f>IF(A371="","",Tabela1[[#This Row],[PTC]]*Tabela1[[#This Row],[ODDC]])</f>
        <v/>
      </c>
      <c r="O371" s="69" t="str">
        <f>IF(A371="","",Tabela1[[#This Row],[PTV]]*Tabela1[[#This Row],[ODDV]])</f>
        <v/>
      </c>
      <c r="P371" s="68" t="str">
        <f t="shared" si="130"/>
        <v/>
      </c>
      <c r="Q371" s="68" t="str">
        <f t="shared" si="131"/>
        <v/>
      </c>
      <c r="R371" s="68" t="str">
        <f t="shared" si="132"/>
        <v/>
      </c>
      <c r="S371" s="68" t="str">
        <f t="shared" si="133"/>
        <v/>
      </c>
      <c r="T371" s="68" t="str">
        <f>IF(A371="","",IF(F371="D",Tabela1[[#This Row],[ODDE]]-1,-1))</f>
        <v/>
      </c>
      <c r="U371" s="70" t="str">
        <f>IF(A371="","",IF(AND(Tabela1[[#This Row],[FTHG]]&gt;3,F371="H"),1,0))</f>
        <v/>
      </c>
      <c r="V371" s="70" t="str">
        <f>IF(A371="","",IF(AND(Tabela1[[#This Row],[FTAG]]&gt;3,F371="A"),1,0))</f>
        <v/>
      </c>
      <c r="W371" s="70" t="str">
        <f t="shared" si="134"/>
        <v/>
      </c>
      <c r="X371" s="70" t="str">
        <f t="shared" si="135"/>
        <v/>
      </c>
      <c r="Y371" s="71" t="str">
        <f t="shared" si="136"/>
        <v/>
      </c>
      <c r="Z371" s="70" t="str">
        <f t="shared" si="137"/>
        <v/>
      </c>
      <c r="AA371" s="70" t="str">
        <f t="shared" si="138"/>
        <v/>
      </c>
      <c r="AB371" s="70" t="str">
        <f t="shared" si="139"/>
        <v/>
      </c>
      <c r="AC371" s="71" t="str">
        <f t="shared" si="140"/>
        <v/>
      </c>
      <c r="AD371" s="72" t="str">
        <f t="shared" si="141"/>
        <v/>
      </c>
      <c r="AE371" s="73" t="str">
        <f>IF(A371="","",COUNT($N$2:N371))</f>
        <v/>
      </c>
      <c r="AF371" s="74" t="str">
        <f t="shared" si="142"/>
        <v/>
      </c>
      <c r="AG371" s="74" t="str">
        <f t="shared" si="143"/>
        <v/>
      </c>
      <c r="AH371" s="74" t="str">
        <f t="shared" si="144"/>
        <v/>
      </c>
      <c r="AI371" s="74" t="str">
        <f t="shared" si="145"/>
        <v/>
      </c>
      <c r="AJ371" s="74" t="str">
        <f t="shared" si="146"/>
        <v/>
      </c>
      <c r="AK371" s="74" t="str">
        <f>IF(A371="","",1/Tabela1[[#This Row],[ODDC]])</f>
        <v/>
      </c>
      <c r="AL371" s="74" t="str">
        <f>IF(A371="","",1/Tabela1[[#This Row],[ODDE]])</f>
        <v/>
      </c>
      <c r="AM371" s="74" t="str">
        <f>IF(A371="","",1/Tabela1[[#This Row],[ODDV]])</f>
        <v/>
      </c>
      <c r="AN371" s="74" t="str">
        <f>IF(A371="","",1-(Tabela1[[#This Row],[p(H)]]+Tabela1[[#This Row],[p(D)]]+Tabela1[[#This Row],[p(A)]]))</f>
        <v/>
      </c>
      <c r="AO371" s="74" t="str">
        <f>IF(A371="","",IFERROR(Tabela1[[#This Row],[p(H)]]/Tabela1[[#This Row],[FTHG]],1))</f>
        <v/>
      </c>
      <c r="AP371" s="74" t="str">
        <f>IF(A371="","",IFERROR(Tabela1[[#This Row],[p(A)]]/Tabela1[[#This Row],[FTAG]],1))</f>
        <v/>
      </c>
      <c r="AQ371" s="107"/>
      <c r="AR371" s="107"/>
      <c r="AS371" s="107"/>
      <c r="AT371" s="107"/>
      <c r="AU371" s="107"/>
      <c r="AV371" s="107"/>
      <c r="AW371" s="107"/>
      <c r="AX371" s="107"/>
      <c r="AY371" s="107"/>
      <c r="AZ371" s="75"/>
      <c r="BA371" s="75"/>
      <c r="BB371" s="75"/>
      <c r="BC371" s="107"/>
      <c r="BD371" s="107"/>
      <c r="BE371" s="107"/>
      <c r="BF371" s="107"/>
      <c r="BG371" s="107"/>
      <c r="BH371" s="107"/>
      <c r="BI371" s="107"/>
      <c r="BJ371" s="107"/>
      <c r="BK371" s="107"/>
      <c r="BL371" s="107"/>
      <c r="BM371" s="107"/>
      <c r="BN371" s="107"/>
      <c r="BO371" s="107"/>
      <c r="BP371" s="107"/>
      <c r="BQ371" s="107"/>
      <c r="BR371" s="107"/>
      <c r="BS371" s="107"/>
      <c r="BT371" s="107"/>
      <c r="BU371" s="107"/>
      <c r="BV371" s="107"/>
      <c r="BW371" s="107"/>
      <c r="BX371" s="75"/>
      <c r="BY371" s="75"/>
      <c r="BZ371" s="75"/>
      <c r="CA371" s="75"/>
      <c r="CB371" s="75"/>
      <c r="CC371" s="75"/>
      <c r="CD371" s="75"/>
      <c r="CE371" s="102"/>
      <c r="CF371" s="102"/>
      <c r="CG371" s="102"/>
      <c r="CH371" s="102"/>
      <c r="CI371" s="102"/>
      <c r="CJ371" s="102"/>
      <c r="CK371" s="102"/>
      <c r="CL371" s="102"/>
      <c r="CM371" s="102"/>
      <c r="CN371" s="102"/>
      <c r="CO371" s="102"/>
      <c r="CP371" s="102"/>
      <c r="CQ371" s="102"/>
      <c r="CR371" s="102"/>
      <c r="CS371" s="102"/>
      <c r="CT371" s="102"/>
      <c r="CU371" s="102"/>
      <c r="CV371" s="102"/>
      <c r="CW371" s="102"/>
      <c r="CX371" s="102"/>
      <c r="CY371" s="102"/>
      <c r="CZ371" s="102"/>
      <c r="DA371" s="102"/>
      <c r="DB371" s="102"/>
      <c r="DC371" s="102"/>
      <c r="DD371" s="102"/>
      <c r="DE371" s="102"/>
      <c r="DF371" s="102"/>
      <c r="DG371" s="102"/>
      <c r="DH371" s="102"/>
      <c r="DI371" s="102"/>
      <c r="DJ371" s="102"/>
      <c r="DK371" s="102"/>
      <c r="DL371" s="102"/>
      <c r="DM371" s="102"/>
      <c r="DN371" s="102"/>
      <c r="DO371" s="102"/>
      <c r="DP371" s="102"/>
    </row>
    <row r="372" spans="1:120" x14ac:dyDescent="0.25">
      <c r="A372" s="4"/>
      <c r="F372"/>
      <c r="G372" s="1"/>
      <c r="H372" s="1"/>
      <c r="I372" s="1"/>
      <c r="J372" s="68" t="str">
        <f t="shared" si="126"/>
        <v/>
      </c>
      <c r="K372" s="68" t="str">
        <f t="shared" si="127"/>
        <v/>
      </c>
      <c r="L372" s="69" t="str">
        <f t="shared" si="128"/>
        <v/>
      </c>
      <c r="M372" s="69" t="str">
        <f t="shared" si="129"/>
        <v/>
      </c>
      <c r="N372" s="69" t="str">
        <f>IF(A372="","",Tabela1[[#This Row],[PTC]]*Tabela1[[#This Row],[ODDC]])</f>
        <v/>
      </c>
      <c r="O372" s="69" t="str">
        <f>IF(A372="","",Tabela1[[#This Row],[PTV]]*Tabela1[[#This Row],[ODDV]])</f>
        <v/>
      </c>
      <c r="P372" s="68" t="str">
        <f t="shared" si="130"/>
        <v/>
      </c>
      <c r="Q372" s="68" t="str">
        <f t="shared" si="131"/>
        <v/>
      </c>
      <c r="R372" s="68" t="str">
        <f t="shared" si="132"/>
        <v/>
      </c>
      <c r="S372" s="68" t="str">
        <f t="shared" si="133"/>
        <v/>
      </c>
      <c r="T372" s="68" t="str">
        <f>IF(A372="","",IF(F372="D",Tabela1[[#This Row],[ODDE]]-1,-1))</f>
        <v/>
      </c>
      <c r="U372" s="70" t="str">
        <f>IF(A372="","",IF(AND(Tabela1[[#This Row],[FTHG]]&gt;3,F372="H"),1,0))</f>
        <v/>
      </c>
      <c r="V372" s="70" t="str">
        <f>IF(A372="","",IF(AND(Tabela1[[#This Row],[FTAG]]&gt;3,F372="A"),1,0))</f>
        <v/>
      </c>
      <c r="W372" s="70" t="str">
        <f t="shared" si="134"/>
        <v/>
      </c>
      <c r="X372" s="70" t="str">
        <f t="shared" si="135"/>
        <v/>
      </c>
      <c r="Y372" s="71" t="str">
        <f t="shared" si="136"/>
        <v/>
      </c>
      <c r="Z372" s="70" t="str">
        <f t="shared" si="137"/>
        <v/>
      </c>
      <c r="AA372" s="70" t="str">
        <f t="shared" si="138"/>
        <v/>
      </c>
      <c r="AB372" s="70" t="str">
        <f t="shared" si="139"/>
        <v/>
      </c>
      <c r="AC372" s="71" t="str">
        <f t="shared" si="140"/>
        <v/>
      </c>
      <c r="AD372" s="72" t="str">
        <f t="shared" si="141"/>
        <v/>
      </c>
      <c r="AE372" s="73" t="str">
        <f>IF(A372="","",COUNT($N$2:N372))</f>
        <v/>
      </c>
      <c r="AF372" s="74" t="str">
        <f t="shared" si="142"/>
        <v/>
      </c>
      <c r="AG372" s="74" t="str">
        <f t="shared" si="143"/>
        <v/>
      </c>
      <c r="AH372" s="74" t="str">
        <f t="shared" si="144"/>
        <v/>
      </c>
      <c r="AI372" s="74" t="str">
        <f t="shared" si="145"/>
        <v/>
      </c>
      <c r="AJ372" s="74" t="str">
        <f t="shared" si="146"/>
        <v/>
      </c>
      <c r="AK372" s="74" t="str">
        <f>IF(A372="","",1/Tabela1[[#This Row],[ODDC]])</f>
        <v/>
      </c>
      <c r="AL372" s="74" t="str">
        <f>IF(A372="","",1/Tabela1[[#This Row],[ODDE]])</f>
        <v/>
      </c>
      <c r="AM372" s="74" t="str">
        <f>IF(A372="","",1/Tabela1[[#This Row],[ODDV]])</f>
        <v/>
      </c>
      <c r="AN372" s="74" t="str">
        <f>IF(A372="","",1-(Tabela1[[#This Row],[p(H)]]+Tabela1[[#This Row],[p(D)]]+Tabela1[[#This Row],[p(A)]]))</f>
        <v/>
      </c>
      <c r="AO372" s="74" t="str">
        <f>IF(A372="","",IFERROR(Tabela1[[#This Row],[p(H)]]/Tabela1[[#This Row],[FTHG]],1))</f>
        <v/>
      </c>
      <c r="AP372" s="74" t="str">
        <f>IF(A372="","",IFERROR(Tabela1[[#This Row],[p(A)]]/Tabela1[[#This Row],[FTAG]],1))</f>
        <v/>
      </c>
      <c r="AQ372" s="107"/>
      <c r="AR372" s="107"/>
      <c r="AS372" s="107"/>
      <c r="AT372" s="107"/>
      <c r="AU372" s="107"/>
      <c r="AV372" s="107"/>
      <c r="AW372" s="107"/>
      <c r="AX372" s="107"/>
      <c r="AY372" s="107"/>
      <c r="AZ372" s="75"/>
      <c r="BA372" s="75"/>
      <c r="BB372" s="75"/>
      <c r="BC372" s="107"/>
      <c r="BD372" s="107"/>
      <c r="BE372" s="107"/>
      <c r="BF372" s="107"/>
      <c r="BG372" s="107"/>
      <c r="BH372" s="107"/>
      <c r="BI372" s="107"/>
      <c r="BJ372" s="107"/>
      <c r="BK372" s="107"/>
      <c r="BL372" s="107"/>
      <c r="BM372" s="107"/>
      <c r="BN372" s="107"/>
      <c r="BO372" s="107"/>
      <c r="BP372" s="107"/>
      <c r="BQ372" s="107"/>
      <c r="BR372" s="107"/>
      <c r="BS372" s="107"/>
      <c r="BT372" s="107"/>
      <c r="BU372" s="107"/>
      <c r="BV372" s="107"/>
      <c r="BW372" s="107"/>
      <c r="BX372" s="75"/>
      <c r="BY372" s="75"/>
      <c r="BZ372" s="75"/>
      <c r="CA372" s="75"/>
      <c r="CB372" s="75"/>
      <c r="CC372" s="75"/>
      <c r="CD372" s="75"/>
      <c r="CE372" s="102"/>
      <c r="CF372" s="102"/>
      <c r="CG372" s="102"/>
      <c r="CH372" s="102"/>
      <c r="CI372" s="102"/>
      <c r="CJ372" s="102"/>
      <c r="CK372" s="102"/>
      <c r="CL372" s="102"/>
      <c r="CM372" s="102"/>
      <c r="CN372" s="102"/>
      <c r="CO372" s="102"/>
      <c r="CP372" s="102"/>
      <c r="CQ372" s="102"/>
      <c r="CR372" s="102"/>
      <c r="CS372" s="102"/>
      <c r="CT372" s="102"/>
      <c r="CU372" s="102"/>
      <c r="CV372" s="102"/>
      <c r="CW372" s="102"/>
      <c r="CX372" s="102"/>
      <c r="CY372" s="102"/>
      <c r="CZ372" s="102"/>
      <c r="DA372" s="102"/>
      <c r="DB372" s="102"/>
      <c r="DC372" s="102"/>
      <c r="DD372" s="102"/>
      <c r="DE372" s="102"/>
      <c r="DF372" s="102"/>
      <c r="DG372" s="102"/>
      <c r="DH372" s="102"/>
      <c r="DI372" s="102"/>
      <c r="DJ372" s="102"/>
      <c r="DK372" s="102"/>
      <c r="DL372" s="102"/>
      <c r="DM372" s="102"/>
      <c r="DN372" s="102"/>
      <c r="DO372" s="102"/>
      <c r="DP372" s="102"/>
    </row>
    <row r="373" spans="1:120" x14ac:dyDescent="0.25">
      <c r="A373" s="4"/>
      <c r="F373"/>
      <c r="G373" s="1"/>
      <c r="H373" s="1"/>
      <c r="I373" s="1"/>
      <c r="J373" s="68" t="str">
        <f t="shared" si="126"/>
        <v/>
      </c>
      <c r="K373" s="68" t="str">
        <f t="shared" si="127"/>
        <v/>
      </c>
      <c r="L373" s="69" t="str">
        <f t="shared" si="128"/>
        <v/>
      </c>
      <c r="M373" s="69" t="str">
        <f t="shared" si="129"/>
        <v/>
      </c>
      <c r="N373" s="69" t="str">
        <f>IF(A373="","",Tabela1[[#This Row],[PTC]]*Tabela1[[#This Row],[ODDC]])</f>
        <v/>
      </c>
      <c r="O373" s="69" t="str">
        <f>IF(A373="","",Tabela1[[#This Row],[PTV]]*Tabela1[[#This Row],[ODDV]])</f>
        <v/>
      </c>
      <c r="P373" s="68" t="str">
        <f t="shared" si="130"/>
        <v/>
      </c>
      <c r="Q373" s="68" t="str">
        <f t="shared" si="131"/>
        <v/>
      </c>
      <c r="R373" s="68" t="str">
        <f t="shared" si="132"/>
        <v/>
      </c>
      <c r="S373" s="68" t="str">
        <f t="shared" si="133"/>
        <v/>
      </c>
      <c r="T373" s="68" t="str">
        <f>IF(A373="","",IF(F373="D",Tabela1[[#This Row],[ODDE]]-1,-1))</f>
        <v/>
      </c>
      <c r="U373" s="70" t="str">
        <f>IF(A373="","",IF(AND(Tabela1[[#This Row],[FTHG]]&gt;3,F373="H"),1,0))</f>
        <v/>
      </c>
      <c r="V373" s="70" t="str">
        <f>IF(A373="","",IF(AND(Tabela1[[#This Row],[FTAG]]&gt;3,F373="A"),1,0))</f>
        <v/>
      </c>
      <c r="W373" s="70" t="str">
        <f t="shared" si="134"/>
        <v/>
      </c>
      <c r="X373" s="70" t="str">
        <f t="shared" si="135"/>
        <v/>
      </c>
      <c r="Y373" s="71" t="str">
        <f t="shared" si="136"/>
        <v/>
      </c>
      <c r="Z373" s="70" t="str">
        <f t="shared" si="137"/>
        <v/>
      </c>
      <c r="AA373" s="70" t="str">
        <f t="shared" si="138"/>
        <v/>
      </c>
      <c r="AB373" s="70" t="str">
        <f t="shared" si="139"/>
        <v/>
      </c>
      <c r="AC373" s="71" t="str">
        <f t="shared" si="140"/>
        <v/>
      </c>
      <c r="AD373" s="72" t="str">
        <f t="shared" si="141"/>
        <v/>
      </c>
      <c r="AE373" s="73" t="str">
        <f>IF(A373="","",COUNT($N$2:N373))</f>
        <v/>
      </c>
      <c r="AF373" s="74" t="str">
        <f t="shared" si="142"/>
        <v/>
      </c>
      <c r="AG373" s="74" t="str">
        <f t="shared" si="143"/>
        <v/>
      </c>
      <c r="AH373" s="74" t="str">
        <f t="shared" si="144"/>
        <v/>
      </c>
      <c r="AI373" s="74" t="str">
        <f t="shared" si="145"/>
        <v/>
      </c>
      <c r="AJ373" s="74" t="str">
        <f t="shared" si="146"/>
        <v/>
      </c>
      <c r="AK373" s="74" t="str">
        <f>IF(A373="","",1/Tabela1[[#This Row],[ODDC]])</f>
        <v/>
      </c>
      <c r="AL373" s="74" t="str">
        <f>IF(A373="","",1/Tabela1[[#This Row],[ODDE]])</f>
        <v/>
      </c>
      <c r="AM373" s="74" t="str">
        <f>IF(A373="","",1/Tabela1[[#This Row],[ODDV]])</f>
        <v/>
      </c>
      <c r="AN373" s="74" t="str">
        <f>IF(A373="","",1-(Tabela1[[#This Row],[p(H)]]+Tabela1[[#This Row],[p(D)]]+Tabela1[[#This Row],[p(A)]]))</f>
        <v/>
      </c>
      <c r="AO373" s="74" t="str">
        <f>IF(A373="","",IFERROR(Tabela1[[#This Row],[p(H)]]/Tabela1[[#This Row],[FTHG]],1))</f>
        <v/>
      </c>
      <c r="AP373" s="74" t="str">
        <f>IF(A373="","",IFERROR(Tabela1[[#This Row],[p(A)]]/Tabela1[[#This Row],[FTAG]],1))</f>
        <v/>
      </c>
      <c r="AQ373" s="107"/>
      <c r="AR373" s="107"/>
      <c r="AS373" s="107"/>
      <c r="AT373" s="107"/>
      <c r="AU373" s="107"/>
      <c r="AV373" s="107"/>
      <c r="AW373" s="107"/>
      <c r="AX373" s="107"/>
      <c r="AY373" s="107"/>
      <c r="AZ373" s="75"/>
      <c r="BA373" s="75"/>
      <c r="BB373" s="75"/>
      <c r="BC373" s="107"/>
      <c r="BD373" s="107"/>
      <c r="BE373" s="107"/>
      <c r="BF373" s="107"/>
      <c r="BG373" s="107"/>
      <c r="BH373" s="107"/>
      <c r="BI373" s="107"/>
      <c r="BJ373" s="107"/>
      <c r="BK373" s="107"/>
      <c r="BL373" s="107"/>
      <c r="BM373" s="107"/>
      <c r="BN373" s="107"/>
      <c r="BO373" s="107"/>
      <c r="BP373" s="107"/>
      <c r="BQ373" s="107"/>
      <c r="BR373" s="107"/>
      <c r="BS373" s="107"/>
      <c r="BT373" s="107"/>
      <c r="BU373" s="107"/>
      <c r="BV373" s="107"/>
      <c r="BW373" s="107"/>
      <c r="BX373" s="75"/>
      <c r="BY373" s="75"/>
      <c r="BZ373" s="75"/>
      <c r="CA373" s="75"/>
      <c r="CB373" s="75"/>
      <c r="CC373" s="75"/>
      <c r="CD373" s="75"/>
      <c r="CE373" s="102"/>
      <c r="CF373" s="102"/>
      <c r="CG373" s="102"/>
      <c r="CH373" s="102"/>
      <c r="CI373" s="102"/>
      <c r="CJ373" s="102"/>
      <c r="CK373" s="102"/>
      <c r="CL373" s="102"/>
      <c r="CM373" s="102"/>
      <c r="CN373" s="102"/>
      <c r="CO373" s="102"/>
      <c r="CP373" s="102"/>
      <c r="CQ373" s="102"/>
      <c r="CR373" s="102"/>
      <c r="CS373" s="102"/>
      <c r="CT373" s="102"/>
      <c r="CU373" s="102"/>
      <c r="CV373" s="102"/>
      <c r="CW373" s="102"/>
      <c r="CX373" s="102"/>
      <c r="CY373" s="102"/>
      <c r="CZ373" s="102"/>
      <c r="DA373" s="102"/>
      <c r="DB373" s="102"/>
      <c r="DC373" s="102"/>
      <c r="DD373" s="102"/>
      <c r="DE373" s="102"/>
      <c r="DF373" s="102"/>
      <c r="DG373" s="102"/>
      <c r="DH373" s="102"/>
      <c r="DI373" s="102"/>
      <c r="DJ373" s="102"/>
      <c r="DK373" s="102"/>
      <c r="DL373" s="102"/>
      <c r="DM373" s="102"/>
      <c r="DN373" s="102"/>
      <c r="DO373" s="102"/>
      <c r="DP373" s="102"/>
    </row>
    <row r="374" spans="1:120" x14ac:dyDescent="0.25">
      <c r="A374" s="4"/>
      <c r="F374"/>
      <c r="G374" s="1"/>
      <c r="H374" s="1"/>
      <c r="I374" s="1"/>
      <c r="J374" s="68" t="str">
        <f t="shared" si="126"/>
        <v/>
      </c>
      <c r="K374" s="68" t="str">
        <f t="shared" si="127"/>
        <v/>
      </c>
      <c r="L374" s="69" t="str">
        <f t="shared" si="128"/>
        <v/>
      </c>
      <c r="M374" s="69" t="str">
        <f t="shared" si="129"/>
        <v/>
      </c>
      <c r="N374" s="69" t="str">
        <f>IF(A374="","",Tabela1[[#This Row],[PTC]]*Tabela1[[#This Row],[ODDC]])</f>
        <v/>
      </c>
      <c r="O374" s="69" t="str">
        <f>IF(A374="","",Tabela1[[#This Row],[PTV]]*Tabela1[[#This Row],[ODDV]])</f>
        <v/>
      </c>
      <c r="P374" s="68" t="str">
        <f t="shared" si="130"/>
        <v/>
      </c>
      <c r="Q374" s="68" t="str">
        <f t="shared" si="131"/>
        <v/>
      </c>
      <c r="R374" s="68" t="str">
        <f t="shared" si="132"/>
        <v/>
      </c>
      <c r="S374" s="68" t="str">
        <f t="shared" si="133"/>
        <v/>
      </c>
      <c r="T374" s="68" t="str">
        <f>IF(A374="","",IF(F374="D",Tabela1[[#This Row],[ODDE]]-1,-1))</f>
        <v/>
      </c>
      <c r="U374" s="70" t="str">
        <f>IF(A374="","",IF(AND(Tabela1[[#This Row],[FTHG]]&gt;3,F374="H"),1,0))</f>
        <v/>
      </c>
      <c r="V374" s="70" t="str">
        <f>IF(A374="","",IF(AND(Tabela1[[#This Row],[FTAG]]&gt;3,F374="A"),1,0))</f>
        <v/>
      </c>
      <c r="W374" s="70" t="str">
        <f t="shared" si="134"/>
        <v/>
      </c>
      <c r="X374" s="70" t="str">
        <f t="shared" si="135"/>
        <v/>
      </c>
      <c r="Y374" s="71" t="str">
        <f t="shared" si="136"/>
        <v/>
      </c>
      <c r="Z374" s="70" t="str">
        <f t="shared" si="137"/>
        <v/>
      </c>
      <c r="AA374" s="70" t="str">
        <f t="shared" si="138"/>
        <v/>
      </c>
      <c r="AB374" s="70" t="str">
        <f t="shared" si="139"/>
        <v/>
      </c>
      <c r="AC374" s="71" t="str">
        <f t="shared" si="140"/>
        <v/>
      </c>
      <c r="AD374" s="72" t="str">
        <f t="shared" si="141"/>
        <v/>
      </c>
      <c r="AE374" s="73" t="str">
        <f>IF(A374="","",COUNT($N$2:N374))</f>
        <v/>
      </c>
      <c r="AF374" s="74" t="str">
        <f t="shared" si="142"/>
        <v/>
      </c>
      <c r="AG374" s="74" t="str">
        <f t="shared" si="143"/>
        <v/>
      </c>
      <c r="AH374" s="74" t="str">
        <f t="shared" si="144"/>
        <v/>
      </c>
      <c r="AI374" s="74" t="str">
        <f t="shared" si="145"/>
        <v/>
      </c>
      <c r="AJ374" s="74" t="str">
        <f t="shared" si="146"/>
        <v/>
      </c>
      <c r="AK374" s="74" t="str">
        <f>IF(A374="","",1/Tabela1[[#This Row],[ODDC]])</f>
        <v/>
      </c>
      <c r="AL374" s="74" t="str">
        <f>IF(A374="","",1/Tabela1[[#This Row],[ODDE]])</f>
        <v/>
      </c>
      <c r="AM374" s="74" t="str">
        <f>IF(A374="","",1/Tabela1[[#This Row],[ODDV]])</f>
        <v/>
      </c>
      <c r="AN374" s="74" t="str">
        <f>IF(A374="","",1-(Tabela1[[#This Row],[p(H)]]+Tabela1[[#This Row],[p(D)]]+Tabela1[[#This Row],[p(A)]]))</f>
        <v/>
      </c>
      <c r="AO374" s="74" t="str">
        <f>IF(A374="","",IFERROR(Tabela1[[#This Row],[p(H)]]/Tabela1[[#This Row],[FTHG]],1))</f>
        <v/>
      </c>
      <c r="AP374" s="74" t="str">
        <f>IF(A374="","",IFERROR(Tabela1[[#This Row],[p(A)]]/Tabela1[[#This Row],[FTAG]],1))</f>
        <v/>
      </c>
      <c r="AQ374" s="107"/>
      <c r="AR374" s="107"/>
      <c r="AS374" s="107"/>
      <c r="AT374" s="107"/>
      <c r="AU374" s="107"/>
      <c r="AV374" s="107"/>
      <c r="AW374" s="107"/>
      <c r="AX374" s="107"/>
      <c r="AY374" s="107"/>
      <c r="AZ374" s="75"/>
      <c r="BA374" s="75"/>
      <c r="BB374" s="75"/>
      <c r="BC374" s="107"/>
      <c r="BD374" s="107"/>
      <c r="BE374" s="107"/>
      <c r="BF374" s="107"/>
      <c r="BG374" s="107"/>
      <c r="BH374" s="107"/>
      <c r="BI374" s="107"/>
      <c r="BJ374" s="107"/>
      <c r="BK374" s="107"/>
      <c r="BL374" s="107"/>
      <c r="BM374" s="107"/>
      <c r="BN374" s="107"/>
      <c r="BO374" s="107"/>
      <c r="BP374" s="107"/>
      <c r="BQ374" s="107"/>
      <c r="BR374" s="107"/>
      <c r="BS374" s="107"/>
      <c r="BT374" s="107"/>
      <c r="BU374" s="107"/>
      <c r="BV374" s="107"/>
      <c r="BW374" s="107"/>
      <c r="BX374" s="75"/>
      <c r="BY374" s="75"/>
      <c r="BZ374" s="75"/>
      <c r="CA374" s="75"/>
      <c r="CB374" s="75"/>
      <c r="CC374" s="75"/>
      <c r="CD374" s="75"/>
      <c r="CE374" s="102"/>
      <c r="CF374" s="102"/>
      <c r="CG374" s="102"/>
      <c r="CH374" s="102"/>
      <c r="CI374" s="102"/>
      <c r="CJ374" s="102"/>
      <c r="CK374" s="102"/>
      <c r="CL374" s="102"/>
      <c r="CM374" s="102"/>
      <c r="CN374" s="102"/>
      <c r="CO374" s="102"/>
      <c r="CP374" s="102"/>
      <c r="CQ374" s="102"/>
      <c r="CR374" s="102"/>
      <c r="CS374" s="102"/>
      <c r="CT374" s="102"/>
      <c r="CU374" s="102"/>
      <c r="CV374" s="102"/>
      <c r="CW374" s="102"/>
      <c r="CX374" s="102"/>
      <c r="CY374" s="102"/>
      <c r="CZ374" s="102"/>
      <c r="DA374" s="102"/>
      <c r="DB374" s="102"/>
      <c r="DC374" s="102"/>
      <c r="DD374" s="102"/>
      <c r="DE374" s="102"/>
      <c r="DF374" s="102"/>
      <c r="DG374" s="102"/>
      <c r="DH374" s="102"/>
      <c r="DI374" s="102"/>
      <c r="DJ374" s="102"/>
      <c r="DK374" s="102"/>
      <c r="DL374" s="102"/>
      <c r="DM374" s="102"/>
      <c r="DN374" s="102"/>
      <c r="DO374" s="102"/>
      <c r="DP374" s="102"/>
    </row>
    <row r="375" spans="1:120" x14ac:dyDescent="0.25">
      <c r="A375" s="4"/>
      <c r="F375"/>
      <c r="G375" s="1"/>
      <c r="H375" s="1"/>
      <c r="I375" s="1"/>
      <c r="J375" s="68" t="str">
        <f t="shared" si="126"/>
        <v/>
      </c>
      <c r="K375" s="68" t="str">
        <f t="shared" si="127"/>
        <v/>
      </c>
      <c r="L375" s="69" t="str">
        <f t="shared" si="128"/>
        <v/>
      </c>
      <c r="M375" s="69" t="str">
        <f t="shared" si="129"/>
        <v/>
      </c>
      <c r="N375" s="69" t="str">
        <f>IF(A375="","",Tabela1[[#This Row],[PTC]]*Tabela1[[#This Row],[ODDC]])</f>
        <v/>
      </c>
      <c r="O375" s="69" t="str">
        <f>IF(A375="","",Tabela1[[#This Row],[PTV]]*Tabela1[[#This Row],[ODDV]])</f>
        <v/>
      </c>
      <c r="P375" s="68" t="str">
        <f t="shared" si="130"/>
        <v/>
      </c>
      <c r="Q375" s="68" t="str">
        <f t="shared" si="131"/>
        <v/>
      </c>
      <c r="R375" s="68" t="str">
        <f t="shared" si="132"/>
        <v/>
      </c>
      <c r="S375" s="68" t="str">
        <f t="shared" si="133"/>
        <v/>
      </c>
      <c r="T375" s="68" t="str">
        <f>IF(A375="","",IF(F375="D",Tabela1[[#This Row],[ODDE]]-1,-1))</f>
        <v/>
      </c>
      <c r="U375" s="70" t="str">
        <f>IF(A375="","",IF(AND(Tabela1[[#This Row],[FTHG]]&gt;3,F375="H"),1,0))</f>
        <v/>
      </c>
      <c r="V375" s="70" t="str">
        <f>IF(A375="","",IF(AND(Tabela1[[#This Row],[FTAG]]&gt;3,F375="A"),1,0))</f>
        <v/>
      </c>
      <c r="W375" s="70" t="str">
        <f t="shared" si="134"/>
        <v/>
      </c>
      <c r="X375" s="70" t="str">
        <f t="shared" si="135"/>
        <v/>
      </c>
      <c r="Y375" s="71" t="str">
        <f t="shared" si="136"/>
        <v/>
      </c>
      <c r="Z375" s="70" t="str">
        <f t="shared" si="137"/>
        <v/>
      </c>
      <c r="AA375" s="70" t="str">
        <f t="shared" si="138"/>
        <v/>
      </c>
      <c r="AB375" s="70" t="str">
        <f t="shared" si="139"/>
        <v/>
      </c>
      <c r="AC375" s="71" t="str">
        <f t="shared" si="140"/>
        <v/>
      </c>
      <c r="AD375" s="72" t="str">
        <f t="shared" si="141"/>
        <v/>
      </c>
      <c r="AE375" s="73" t="str">
        <f>IF(A375="","",COUNT($N$2:N375))</f>
        <v/>
      </c>
      <c r="AF375" s="74" t="str">
        <f t="shared" si="142"/>
        <v/>
      </c>
      <c r="AG375" s="74" t="str">
        <f t="shared" si="143"/>
        <v/>
      </c>
      <c r="AH375" s="74" t="str">
        <f t="shared" si="144"/>
        <v/>
      </c>
      <c r="AI375" s="74" t="str">
        <f t="shared" si="145"/>
        <v/>
      </c>
      <c r="AJ375" s="74" t="str">
        <f t="shared" si="146"/>
        <v/>
      </c>
      <c r="AK375" s="74" t="str">
        <f>IF(A375="","",1/Tabela1[[#This Row],[ODDC]])</f>
        <v/>
      </c>
      <c r="AL375" s="74" t="str">
        <f>IF(A375="","",1/Tabela1[[#This Row],[ODDE]])</f>
        <v/>
      </c>
      <c r="AM375" s="74" t="str">
        <f>IF(A375="","",1/Tabela1[[#This Row],[ODDV]])</f>
        <v/>
      </c>
      <c r="AN375" s="74" t="str">
        <f>IF(A375="","",1-(Tabela1[[#This Row],[p(H)]]+Tabela1[[#This Row],[p(D)]]+Tabela1[[#This Row],[p(A)]]))</f>
        <v/>
      </c>
      <c r="AO375" s="74" t="str">
        <f>IF(A375="","",IFERROR(Tabela1[[#This Row],[p(H)]]/Tabela1[[#This Row],[FTHG]],1))</f>
        <v/>
      </c>
      <c r="AP375" s="74" t="str">
        <f>IF(A375="","",IFERROR(Tabela1[[#This Row],[p(A)]]/Tabela1[[#This Row],[FTAG]],1))</f>
        <v/>
      </c>
      <c r="AQ375" s="107"/>
      <c r="AR375" s="107"/>
      <c r="AS375" s="107"/>
      <c r="AT375" s="107"/>
      <c r="AU375" s="107"/>
      <c r="AV375" s="107"/>
      <c r="AW375" s="107"/>
      <c r="AX375" s="107"/>
      <c r="AY375" s="107"/>
      <c r="AZ375" s="75"/>
      <c r="BA375" s="75"/>
      <c r="BB375" s="75"/>
      <c r="BC375" s="107"/>
      <c r="BD375" s="107"/>
      <c r="BE375" s="107"/>
      <c r="BF375" s="107"/>
      <c r="BG375" s="107"/>
      <c r="BH375" s="107"/>
      <c r="BI375" s="107"/>
      <c r="BJ375" s="107"/>
      <c r="BK375" s="107"/>
      <c r="BL375" s="107"/>
      <c r="BM375" s="107"/>
      <c r="BN375" s="107"/>
      <c r="BO375" s="107"/>
      <c r="BP375" s="107"/>
      <c r="BQ375" s="107"/>
      <c r="BR375" s="107"/>
      <c r="BS375" s="107"/>
      <c r="BT375" s="107"/>
      <c r="BU375" s="107"/>
      <c r="BV375" s="107"/>
      <c r="BW375" s="107"/>
      <c r="BX375" s="75"/>
      <c r="BY375" s="75"/>
      <c r="BZ375" s="75"/>
      <c r="CA375" s="75"/>
      <c r="CB375" s="75"/>
      <c r="CC375" s="75"/>
      <c r="CD375" s="75"/>
      <c r="CE375" s="102"/>
      <c r="CF375" s="102"/>
      <c r="CG375" s="102"/>
      <c r="CH375" s="102"/>
      <c r="CI375" s="102"/>
      <c r="CJ375" s="102"/>
      <c r="CK375" s="102"/>
      <c r="CL375" s="102"/>
      <c r="CM375" s="102"/>
      <c r="CN375" s="102"/>
      <c r="CO375" s="102"/>
      <c r="CP375" s="102"/>
      <c r="CQ375" s="102"/>
      <c r="CR375" s="102"/>
      <c r="CS375" s="102"/>
      <c r="CT375" s="102"/>
      <c r="CU375" s="102"/>
      <c r="CV375" s="102"/>
      <c r="CW375" s="102"/>
      <c r="CX375" s="102"/>
      <c r="CY375" s="102"/>
      <c r="CZ375" s="102"/>
      <c r="DA375" s="102"/>
      <c r="DB375" s="102"/>
      <c r="DC375" s="102"/>
      <c r="DD375" s="102"/>
      <c r="DE375" s="102"/>
      <c r="DF375" s="102"/>
      <c r="DG375" s="102"/>
      <c r="DH375" s="102"/>
      <c r="DI375" s="102"/>
      <c r="DJ375" s="102"/>
      <c r="DK375" s="102"/>
      <c r="DL375" s="102"/>
      <c r="DM375" s="102"/>
      <c r="DN375" s="102"/>
      <c r="DO375" s="102"/>
      <c r="DP375" s="102"/>
    </row>
    <row r="376" spans="1:120" x14ac:dyDescent="0.25">
      <c r="A376" s="4"/>
      <c r="F376"/>
      <c r="G376" s="1"/>
      <c r="H376" s="1"/>
      <c r="I376" s="1"/>
      <c r="J376" s="68" t="str">
        <f t="shared" si="126"/>
        <v/>
      </c>
      <c r="K376" s="68" t="str">
        <f t="shared" si="127"/>
        <v/>
      </c>
      <c r="L376" s="69" t="str">
        <f t="shared" si="128"/>
        <v/>
      </c>
      <c r="M376" s="69" t="str">
        <f t="shared" si="129"/>
        <v/>
      </c>
      <c r="N376" s="69" t="str">
        <f>IF(A376="","",Tabela1[[#This Row],[PTC]]*Tabela1[[#This Row],[ODDC]])</f>
        <v/>
      </c>
      <c r="O376" s="69" t="str">
        <f>IF(A376="","",Tabela1[[#This Row],[PTV]]*Tabela1[[#This Row],[ODDV]])</f>
        <v/>
      </c>
      <c r="P376" s="68" t="str">
        <f t="shared" si="130"/>
        <v/>
      </c>
      <c r="Q376" s="68" t="str">
        <f t="shared" si="131"/>
        <v/>
      </c>
      <c r="R376" s="68" t="str">
        <f t="shared" si="132"/>
        <v/>
      </c>
      <c r="S376" s="68" t="str">
        <f t="shared" si="133"/>
        <v/>
      </c>
      <c r="T376" s="68" t="str">
        <f>IF(A376="","",IF(F376="D",Tabela1[[#This Row],[ODDE]]-1,-1))</f>
        <v/>
      </c>
      <c r="U376" s="70" t="str">
        <f>IF(A376="","",IF(AND(Tabela1[[#This Row],[FTHG]]&gt;3,F376="H"),1,0))</f>
        <v/>
      </c>
      <c r="V376" s="70" t="str">
        <f>IF(A376="","",IF(AND(Tabela1[[#This Row],[FTAG]]&gt;3,F376="A"),1,0))</f>
        <v/>
      </c>
      <c r="W376" s="70" t="str">
        <f t="shared" si="134"/>
        <v/>
      </c>
      <c r="X376" s="70" t="str">
        <f t="shared" si="135"/>
        <v/>
      </c>
      <c r="Y376" s="71" t="str">
        <f t="shared" si="136"/>
        <v/>
      </c>
      <c r="Z376" s="70" t="str">
        <f t="shared" si="137"/>
        <v/>
      </c>
      <c r="AA376" s="70" t="str">
        <f t="shared" si="138"/>
        <v/>
      </c>
      <c r="AB376" s="70" t="str">
        <f t="shared" si="139"/>
        <v/>
      </c>
      <c r="AC376" s="71" t="str">
        <f t="shared" si="140"/>
        <v/>
      </c>
      <c r="AD376" s="72" t="str">
        <f t="shared" si="141"/>
        <v/>
      </c>
      <c r="AE376" s="73" t="str">
        <f>IF(A376="","",COUNT($N$2:N376))</f>
        <v/>
      </c>
      <c r="AF376" s="74" t="str">
        <f t="shared" si="142"/>
        <v/>
      </c>
      <c r="AG376" s="74" t="str">
        <f t="shared" si="143"/>
        <v/>
      </c>
      <c r="AH376" s="74" t="str">
        <f t="shared" si="144"/>
        <v/>
      </c>
      <c r="AI376" s="74" t="str">
        <f t="shared" si="145"/>
        <v/>
      </c>
      <c r="AJ376" s="74" t="str">
        <f t="shared" si="146"/>
        <v/>
      </c>
      <c r="AK376" s="74" t="str">
        <f>IF(A376="","",1/Tabela1[[#This Row],[ODDC]])</f>
        <v/>
      </c>
      <c r="AL376" s="74" t="str">
        <f>IF(A376="","",1/Tabela1[[#This Row],[ODDE]])</f>
        <v/>
      </c>
      <c r="AM376" s="74" t="str">
        <f>IF(A376="","",1/Tabela1[[#This Row],[ODDV]])</f>
        <v/>
      </c>
      <c r="AN376" s="74" t="str">
        <f>IF(A376="","",1-(Tabela1[[#This Row],[p(H)]]+Tabela1[[#This Row],[p(D)]]+Tabela1[[#This Row],[p(A)]]))</f>
        <v/>
      </c>
      <c r="AO376" s="74" t="str">
        <f>IF(A376="","",IFERROR(Tabela1[[#This Row],[p(H)]]/Tabela1[[#This Row],[FTHG]],1))</f>
        <v/>
      </c>
      <c r="AP376" s="74" t="str">
        <f>IF(A376="","",IFERROR(Tabela1[[#This Row],[p(A)]]/Tabela1[[#This Row],[FTAG]],1))</f>
        <v/>
      </c>
      <c r="AQ376" s="107"/>
      <c r="AR376" s="107"/>
      <c r="AS376" s="107"/>
      <c r="AT376" s="107"/>
      <c r="AU376" s="107"/>
      <c r="AV376" s="107"/>
      <c r="AW376" s="107"/>
      <c r="AX376" s="107"/>
      <c r="AY376" s="107"/>
      <c r="AZ376" s="75"/>
      <c r="BA376" s="75"/>
      <c r="BB376" s="75"/>
      <c r="BC376" s="107"/>
      <c r="BD376" s="107"/>
      <c r="BE376" s="107"/>
      <c r="BF376" s="107"/>
      <c r="BG376" s="107"/>
      <c r="BH376" s="107"/>
      <c r="BI376" s="107"/>
      <c r="BJ376" s="107"/>
      <c r="BK376" s="107"/>
      <c r="BL376" s="107"/>
      <c r="BM376" s="107"/>
      <c r="BN376" s="107"/>
      <c r="BO376" s="107"/>
      <c r="BP376" s="107"/>
      <c r="BQ376" s="107"/>
      <c r="BR376" s="107"/>
      <c r="BS376" s="107"/>
      <c r="BT376" s="107"/>
      <c r="BU376" s="107"/>
      <c r="BV376" s="107"/>
      <c r="BW376" s="107"/>
      <c r="BX376" s="75"/>
      <c r="BY376" s="75"/>
      <c r="BZ376" s="75"/>
      <c r="CA376" s="75"/>
      <c r="CB376" s="75"/>
      <c r="CC376" s="75"/>
      <c r="CD376" s="75"/>
      <c r="CE376" s="102"/>
      <c r="CF376" s="102"/>
      <c r="CG376" s="102"/>
      <c r="CH376" s="102"/>
      <c r="CI376" s="102"/>
      <c r="CJ376" s="102"/>
      <c r="CK376" s="102"/>
      <c r="CL376" s="102"/>
      <c r="CM376" s="102"/>
      <c r="CN376" s="102"/>
      <c r="CO376" s="102"/>
      <c r="CP376" s="102"/>
      <c r="CQ376" s="102"/>
      <c r="CR376" s="102"/>
      <c r="CS376" s="102"/>
      <c r="CT376" s="102"/>
      <c r="CU376" s="102"/>
      <c r="CV376" s="102"/>
      <c r="CW376" s="102"/>
      <c r="CX376" s="102"/>
      <c r="CY376" s="102"/>
      <c r="CZ376" s="102"/>
      <c r="DA376" s="102"/>
      <c r="DB376" s="102"/>
      <c r="DC376" s="102"/>
      <c r="DD376" s="102"/>
      <c r="DE376" s="102"/>
      <c r="DF376" s="102"/>
      <c r="DG376" s="102"/>
      <c r="DH376" s="102"/>
      <c r="DI376" s="102"/>
      <c r="DJ376" s="102"/>
      <c r="DK376" s="102"/>
      <c r="DL376" s="102"/>
      <c r="DM376" s="102"/>
      <c r="DN376" s="102"/>
      <c r="DO376" s="102"/>
      <c r="DP376" s="102"/>
    </row>
    <row r="377" spans="1:120" x14ac:dyDescent="0.25">
      <c r="A377" s="4"/>
      <c r="F377"/>
      <c r="G377" s="1"/>
      <c r="H377" s="1"/>
      <c r="I377" s="1"/>
      <c r="J377" s="68" t="str">
        <f t="shared" si="126"/>
        <v/>
      </c>
      <c r="K377" s="68" t="str">
        <f t="shared" si="127"/>
        <v/>
      </c>
      <c r="L377" s="69" t="str">
        <f t="shared" si="128"/>
        <v/>
      </c>
      <c r="M377" s="69" t="str">
        <f t="shared" si="129"/>
        <v/>
      </c>
      <c r="N377" s="69" t="str">
        <f>IF(A377="","",Tabela1[[#This Row],[PTC]]*Tabela1[[#This Row],[ODDC]])</f>
        <v/>
      </c>
      <c r="O377" s="69" t="str">
        <f>IF(A377="","",Tabela1[[#This Row],[PTV]]*Tabela1[[#This Row],[ODDV]])</f>
        <v/>
      </c>
      <c r="P377" s="68" t="str">
        <f t="shared" si="130"/>
        <v/>
      </c>
      <c r="Q377" s="68" t="str">
        <f t="shared" si="131"/>
        <v/>
      </c>
      <c r="R377" s="68" t="str">
        <f t="shared" si="132"/>
        <v/>
      </c>
      <c r="S377" s="68" t="str">
        <f t="shared" si="133"/>
        <v/>
      </c>
      <c r="T377" s="68" t="str">
        <f>IF(A377="","",IF(F377="D",Tabela1[[#This Row],[ODDE]]-1,-1))</f>
        <v/>
      </c>
      <c r="U377" s="70" t="str">
        <f>IF(A377="","",IF(AND(Tabela1[[#This Row],[FTHG]]&gt;3,F377="H"),1,0))</f>
        <v/>
      </c>
      <c r="V377" s="70" t="str">
        <f>IF(A377="","",IF(AND(Tabela1[[#This Row],[FTAG]]&gt;3,F377="A"),1,0))</f>
        <v/>
      </c>
      <c r="W377" s="70" t="str">
        <f t="shared" si="134"/>
        <v/>
      </c>
      <c r="X377" s="70" t="str">
        <f t="shared" si="135"/>
        <v/>
      </c>
      <c r="Y377" s="71" t="str">
        <f t="shared" si="136"/>
        <v/>
      </c>
      <c r="Z377" s="70" t="str">
        <f t="shared" si="137"/>
        <v/>
      </c>
      <c r="AA377" s="70" t="str">
        <f t="shared" si="138"/>
        <v/>
      </c>
      <c r="AB377" s="70" t="str">
        <f t="shared" si="139"/>
        <v/>
      </c>
      <c r="AC377" s="71" t="str">
        <f t="shared" si="140"/>
        <v/>
      </c>
      <c r="AD377" s="72" t="str">
        <f t="shared" si="141"/>
        <v/>
      </c>
      <c r="AE377" s="73" t="str">
        <f>IF(A377="","",COUNT($N$2:N377))</f>
        <v/>
      </c>
      <c r="AF377" s="74" t="str">
        <f t="shared" si="142"/>
        <v/>
      </c>
      <c r="AG377" s="74" t="str">
        <f t="shared" si="143"/>
        <v/>
      </c>
      <c r="AH377" s="74" t="str">
        <f t="shared" si="144"/>
        <v/>
      </c>
      <c r="AI377" s="74" t="str">
        <f t="shared" si="145"/>
        <v/>
      </c>
      <c r="AJ377" s="74" t="str">
        <f t="shared" si="146"/>
        <v/>
      </c>
      <c r="AK377" s="74" t="str">
        <f>IF(A377="","",1/Tabela1[[#This Row],[ODDC]])</f>
        <v/>
      </c>
      <c r="AL377" s="74" t="str">
        <f>IF(A377="","",1/Tabela1[[#This Row],[ODDE]])</f>
        <v/>
      </c>
      <c r="AM377" s="74" t="str">
        <f>IF(A377="","",1/Tabela1[[#This Row],[ODDV]])</f>
        <v/>
      </c>
      <c r="AN377" s="74" t="str">
        <f>IF(A377="","",1-(Tabela1[[#This Row],[p(H)]]+Tabela1[[#This Row],[p(D)]]+Tabela1[[#This Row],[p(A)]]))</f>
        <v/>
      </c>
      <c r="AO377" s="74" t="str">
        <f>IF(A377="","",IFERROR(Tabela1[[#This Row],[p(H)]]/Tabela1[[#This Row],[FTHG]],1))</f>
        <v/>
      </c>
      <c r="AP377" s="74" t="str">
        <f>IF(A377="","",IFERROR(Tabela1[[#This Row],[p(A)]]/Tabela1[[#This Row],[FTAG]],1))</f>
        <v/>
      </c>
      <c r="AQ377" s="107"/>
      <c r="AR377" s="107"/>
      <c r="AS377" s="107"/>
      <c r="AT377" s="107"/>
      <c r="AU377" s="107"/>
      <c r="AV377" s="107"/>
      <c r="AW377" s="107"/>
      <c r="AX377" s="107"/>
      <c r="AY377" s="107"/>
      <c r="AZ377" s="75"/>
      <c r="BA377" s="75"/>
      <c r="BB377" s="75"/>
      <c r="BC377" s="107"/>
      <c r="BD377" s="107"/>
      <c r="BE377" s="107"/>
      <c r="BF377" s="107"/>
      <c r="BG377" s="107"/>
      <c r="BH377" s="107"/>
      <c r="BI377" s="107"/>
      <c r="BJ377" s="107"/>
      <c r="BK377" s="107"/>
      <c r="BL377" s="107"/>
      <c r="BM377" s="107"/>
      <c r="BN377" s="107"/>
      <c r="BO377" s="107"/>
      <c r="BP377" s="107"/>
      <c r="BQ377" s="107"/>
      <c r="BR377" s="107"/>
      <c r="BS377" s="107"/>
      <c r="BT377" s="107"/>
      <c r="BU377" s="107"/>
      <c r="BV377" s="107"/>
      <c r="BW377" s="107"/>
      <c r="BX377" s="75"/>
      <c r="BY377" s="75"/>
      <c r="BZ377" s="75"/>
      <c r="CA377" s="75"/>
      <c r="CB377" s="75"/>
      <c r="CC377" s="75"/>
      <c r="CD377" s="75"/>
      <c r="CE377" s="102"/>
      <c r="CF377" s="102"/>
      <c r="CG377" s="102"/>
      <c r="CH377" s="102"/>
      <c r="CI377" s="102"/>
      <c r="CJ377" s="102"/>
      <c r="CK377" s="102"/>
      <c r="CL377" s="102"/>
      <c r="CM377" s="102"/>
      <c r="CN377" s="102"/>
      <c r="CO377" s="102"/>
      <c r="CP377" s="102"/>
      <c r="CQ377" s="102"/>
      <c r="CR377" s="102"/>
      <c r="CS377" s="102"/>
      <c r="CT377" s="102"/>
      <c r="CU377" s="102"/>
      <c r="CV377" s="102"/>
      <c r="CW377" s="102"/>
      <c r="CX377" s="102"/>
      <c r="CY377" s="102"/>
      <c r="CZ377" s="102"/>
      <c r="DA377" s="102"/>
      <c r="DB377" s="102"/>
      <c r="DC377" s="102"/>
      <c r="DD377" s="102"/>
      <c r="DE377" s="102"/>
      <c r="DF377" s="102"/>
      <c r="DG377" s="102"/>
      <c r="DH377" s="102"/>
      <c r="DI377" s="102"/>
      <c r="DJ377" s="102"/>
      <c r="DK377" s="102"/>
      <c r="DL377" s="102"/>
      <c r="DM377" s="102"/>
      <c r="DN377" s="102"/>
      <c r="DO377" s="102"/>
      <c r="DP377" s="102"/>
    </row>
    <row r="378" spans="1:120" x14ac:dyDescent="0.25">
      <c r="A378" s="4"/>
      <c r="F378"/>
      <c r="G378" s="1"/>
      <c r="H378" s="1"/>
      <c r="I378" s="1"/>
      <c r="J378" s="68" t="str">
        <f t="shared" si="126"/>
        <v/>
      </c>
      <c r="K378" s="68" t="str">
        <f t="shared" si="127"/>
        <v/>
      </c>
      <c r="L378" s="69" t="str">
        <f t="shared" si="128"/>
        <v/>
      </c>
      <c r="M378" s="69" t="str">
        <f t="shared" si="129"/>
        <v/>
      </c>
      <c r="N378" s="69" t="str">
        <f>IF(A378="","",Tabela1[[#This Row],[PTC]]*Tabela1[[#This Row],[ODDC]])</f>
        <v/>
      </c>
      <c r="O378" s="69" t="str">
        <f>IF(A378="","",Tabela1[[#This Row],[PTV]]*Tabela1[[#This Row],[ODDV]])</f>
        <v/>
      </c>
      <c r="P378" s="68" t="str">
        <f t="shared" si="130"/>
        <v/>
      </c>
      <c r="Q378" s="68" t="str">
        <f t="shared" si="131"/>
        <v/>
      </c>
      <c r="R378" s="68" t="str">
        <f t="shared" si="132"/>
        <v/>
      </c>
      <c r="S378" s="68" t="str">
        <f t="shared" si="133"/>
        <v/>
      </c>
      <c r="T378" s="68" t="str">
        <f>IF(A378="","",IF(F378="D",Tabela1[[#This Row],[ODDE]]-1,-1))</f>
        <v/>
      </c>
      <c r="U378" s="70" t="str">
        <f>IF(A378="","",IF(AND(Tabela1[[#This Row],[FTHG]]&gt;3,F378="H"),1,0))</f>
        <v/>
      </c>
      <c r="V378" s="70" t="str">
        <f>IF(A378="","",IF(AND(Tabela1[[#This Row],[FTAG]]&gt;3,F378="A"),1,0))</f>
        <v/>
      </c>
      <c r="W378" s="70" t="str">
        <f t="shared" si="134"/>
        <v/>
      </c>
      <c r="X378" s="70" t="str">
        <f t="shared" si="135"/>
        <v/>
      </c>
      <c r="Y378" s="71" t="str">
        <f t="shared" si="136"/>
        <v/>
      </c>
      <c r="Z378" s="70" t="str">
        <f t="shared" si="137"/>
        <v/>
      </c>
      <c r="AA378" s="70" t="str">
        <f t="shared" si="138"/>
        <v/>
      </c>
      <c r="AB378" s="70" t="str">
        <f t="shared" si="139"/>
        <v/>
      </c>
      <c r="AC378" s="71" t="str">
        <f t="shared" si="140"/>
        <v/>
      </c>
      <c r="AD378" s="72" t="str">
        <f t="shared" si="141"/>
        <v/>
      </c>
      <c r="AE378" s="73" t="str">
        <f>IF(A378="","",COUNT($N$2:N378))</f>
        <v/>
      </c>
      <c r="AF378" s="74" t="str">
        <f t="shared" si="142"/>
        <v/>
      </c>
      <c r="AG378" s="74" t="str">
        <f t="shared" si="143"/>
        <v/>
      </c>
      <c r="AH378" s="74" t="str">
        <f t="shared" si="144"/>
        <v/>
      </c>
      <c r="AI378" s="74" t="str">
        <f t="shared" si="145"/>
        <v/>
      </c>
      <c r="AJ378" s="74" t="str">
        <f t="shared" si="146"/>
        <v/>
      </c>
      <c r="AK378" s="74" t="str">
        <f>IF(A378="","",1/Tabela1[[#This Row],[ODDC]])</f>
        <v/>
      </c>
      <c r="AL378" s="74" t="str">
        <f>IF(A378="","",1/Tabela1[[#This Row],[ODDE]])</f>
        <v/>
      </c>
      <c r="AM378" s="74" t="str">
        <f>IF(A378="","",1/Tabela1[[#This Row],[ODDV]])</f>
        <v/>
      </c>
      <c r="AN378" s="74" t="str">
        <f>IF(A378="","",1-(Tabela1[[#This Row],[p(H)]]+Tabela1[[#This Row],[p(D)]]+Tabela1[[#This Row],[p(A)]]))</f>
        <v/>
      </c>
      <c r="AO378" s="74" t="str">
        <f>IF(A378="","",IFERROR(Tabela1[[#This Row],[p(H)]]/Tabela1[[#This Row],[FTHG]],1))</f>
        <v/>
      </c>
      <c r="AP378" s="74" t="str">
        <f>IF(A378="","",IFERROR(Tabela1[[#This Row],[p(A)]]/Tabela1[[#This Row],[FTAG]],1))</f>
        <v/>
      </c>
      <c r="AQ378" s="107"/>
      <c r="AR378" s="107"/>
      <c r="AS378" s="107"/>
      <c r="AT378" s="107"/>
      <c r="AU378" s="107"/>
      <c r="AV378" s="107"/>
      <c r="AW378" s="107"/>
      <c r="AX378" s="107"/>
      <c r="AY378" s="107"/>
      <c r="AZ378" s="75"/>
      <c r="BA378" s="75"/>
      <c r="BB378" s="75"/>
      <c r="BC378" s="107"/>
      <c r="BD378" s="107"/>
      <c r="BE378" s="107"/>
      <c r="BF378" s="107"/>
      <c r="BG378" s="107"/>
      <c r="BH378" s="107"/>
      <c r="BI378" s="107"/>
      <c r="BJ378" s="107"/>
      <c r="BK378" s="107"/>
      <c r="BL378" s="107"/>
      <c r="BM378" s="107"/>
      <c r="BN378" s="107"/>
      <c r="BO378" s="107"/>
      <c r="BP378" s="107"/>
      <c r="BQ378" s="107"/>
      <c r="BR378" s="107"/>
      <c r="BS378" s="107"/>
      <c r="BT378" s="107"/>
      <c r="BU378" s="107"/>
      <c r="BV378" s="107"/>
      <c r="BW378" s="107"/>
      <c r="BX378" s="75"/>
      <c r="BY378" s="75"/>
      <c r="BZ378" s="75"/>
      <c r="CA378" s="75"/>
      <c r="CB378" s="75"/>
      <c r="CC378" s="75"/>
      <c r="CD378" s="75"/>
      <c r="CE378" s="102"/>
      <c r="CF378" s="102"/>
      <c r="CG378" s="102"/>
      <c r="CH378" s="102"/>
      <c r="CI378" s="102"/>
      <c r="CJ378" s="102"/>
      <c r="CK378" s="102"/>
      <c r="CL378" s="102"/>
      <c r="CM378" s="102"/>
      <c r="CN378" s="102"/>
      <c r="CO378" s="102"/>
      <c r="CP378" s="102"/>
      <c r="CQ378" s="102"/>
      <c r="CR378" s="102"/>
      <c r="CS378" s="102"/>
      <c r="CT378" s="102"/>
      <c r="CU378" s="102"/>
      <c r="CV378" s="102"/>
      <c r="CW378" s="102"/>
      <c r="CX378" s="102"/>
      <c r="CY378" s="102"/>
      <c r="CZ378" s="102"/>
      <c r="DA378" s="102"/>
      <c r="DB378" s="102"/>
      <c r="DC378" s="102"/>
      <c r="DD378" s="102"/>
      <c r="DE378" s="102"/>
      <c r="DF378" s="102"/>
      <c r="DG378" s="102"/>
      <c r="DH378" s="102"/>
      <c r="DI378" s="102"/>
      <c r="DJ378" s="102"/>
      <c r="DK378" s="102"/>
      <c r="DL378" s="102"/>
      <c r="DM378" s="102"/>
      <c r="DN378" s="102"/>
      <c r="DO378" s="102"/>
      <c r="DP378" s="102"/>
    </row>
    <row r="379" spans="1:120" x14ac:dyDescent="0.25">
      <c r="A379" s="4"/>
      <c r="F379"/>
      <c r="G379" s="1"/>
      <c r="H379" s="1"/>
      <c r="I379" s="1"/>
      <c r="J379" s="68" t="str">
        <f t="shared" si="126"/>
        <v/>
      </c>
      <c r="K379" s="68" t="str">
        <f t="shared" si="127"/>
        <v/>
      </c>
      <c r="L379" s="69" t="str">
        <f t="shared" si="128"/>
        <v/>
      </c>
      <c r="M379" s="69" t="str">
        <f t="shared" si="129"/>
        <v/>
      </c>
      <c r="N379" s="69" t="str">
        <f>IF(A379="","",Tabela1[[#This Row],[PTC]]*Tabela1[[#This Row],[ODDC]])</f>
        <v/>
      </c>
      <c r="O379" s="69" t="str">
        <f>IF(A379="","",Tabela1[[#This Row],[PTV]]*Tabela1[[#This Row],[ODDV]])</f>
        <v/>
      </c>
      <c r="P379" s="68" t="str">
        <f t="shared" si="130"/>
        <v/>
      </c>
      <c r="Q379" s="68" t="str">
        <f t="shared" si="131"/>
        <v/>
      </c>
      <c r="R379" s="68" t="str">
        <f t="shared" si="132"/>
        <v/>
      </c>
      <c r="S379" s="68" t="str">
        <f t="shared" si="133"/>
        <v/>
      </c>
      <c r="T379" s="68" t="str">
        <f>IF(A379="","",IF(F379="D",Tabela1[[#This Row],[ODDE]]-1,-1))</f>
        <v/>
      </c>
      <c r="U379" s="70" t="str">
        <f>IF(A379="","",IF(AND(Tabela1[[#This Row],[FTHG]]&gt;3,F379="H"),1,0))</f>
        <v/>
      </c>
      <c r="V379" s="70" t="str">
        <f>IF(A379="","",IF(AND(Tabela1[[#This Row],[FTAG]]&gt;3,F379="A"),1,0))</f>
        <v/>
      </c>
      <c r="W379" s="70" t="str">
        <f t="shared" si="134"/>
        <v/>
      </c>
      <c r="X379" s="70" t="str">
        <f t="shared" si="135"/>
        <v/>
      </c>
      <c r="Y379" s="71" t="str">
        <f t="shared" si="136"/>
        <v/>
      </c>
      <c r="Z379" s="70" t="str">
        <f t="shared" si="137"/>
        <v/>
      </c>
      <c r="AA379" s="70" t="str">
        <f t="shared" si="138"/>
        <v/>
      </c>
      <c r="AB379" s="70" t="str">
        <f t="shared" si="139"/>
        <v/>
      </c>
      <c r="AC379" s="71" t="str">
        <f t="shared" si="140"/>
        <v/>
      </c>
      <c r="AD379" s="72" t="str">
        <f t="shared" si="141"/>
        <v/>
      </c>
      <c r="AE379" s="73" t="str">
        <f>IF(A379="","",COUNT($N$2:N379))</f>
        <v/>
      </c>
      <c r="AF379" s="74" t="str">
        <f t="shared" si="142"/>
        <v/>
      </c>
      <c r="AG379" s="74" t="str">
        <f t="shared" si="143"/>
        <v/>
      </c>
      <c r="AH379" s="74" t="str">
        <f t="shared" si="144"/>
        <v/>
      </c>
      <c r="AI379" s="74" t="str">
        <f t="shared" si="145"/>
        <v/>
      </c>
      <c r="AJ379" s="74" t="str">
        <f t="shared" si="146"/>
        <v/>
      </c>
      <c r="AK379" s="74" t="str">
        <f>IF(A379="","",1/Tabela1[[#This Row],[ODDC]])</f>
        <v/>
      </c>
      <c r="AL379" s="74" t="str">
        <f>IF(A379="","",1/Tabela1[[#This Row],[ODDE]])</f>
        <v/>
      </c>
      <c r="AM379" s="74" t="str">
        <f>IF(A379="","",1/Tabela1[[#This Row],[ODDV]])</f>
        <v/>
      </c>
      <c r="AN379" s="74" t="str">
        <f>IF(A379="","",1-(Tabela1[[#This Row],[p(H)]]+Tabela1[[#This Row],[p(D)]]+Tabela1[[#This Row],[p(A)]]))</f>
        <v/>
      </c>
      <c r="AO379" s="74" t="str">
        <f>IF(A379="","",IFERROR(Tabela1[[#This Row],[p(H)]]/Tabela1[[#This Row],[FTHG]],1))</f>
        <v/>
      </c>
      <c r="AP379" s="74" t="str">
        <f>IF(A379="","",IFERROR(Tabela1[[#This Row],[p(A)]]/Tabela1[[#This Row],[FTAG]],1))</f>
        <v/>
      </c>
      <c r="AQ379" s="107"/>
      <c r="AR379" s="107"/>
      <c r="AS379" s="107"/>
      <c r="AT379" s="107"/>
      <c r="AU379" s="107"/>
      <c r="AV379" s="107"/>
      <c r="AW379" s="107"/>
      <c r="AX379" s="107"/>
      <c r="AY379" s="107"/>
      <c r="AZ379" s="75"/>
      <c r="BA379" s="75"/>
      <c r="BB379" s="75"/>
      <c r="BC379" s="107"/>
      <c r="BD379" s="107"/>
      <c r="BE379" s="107"/>
      <c r="BF379" s="107"/>
      <c r="BG379" s="107"/>
      <c r="BH379" s="107"/>
      <c r="BI379" s="107"/>
      <c r="BJ379" s="107"/>
      <c r="BK379" s="107"/>
      <c r="BL379" s="107"/>
      <c r="BM379" s="107"/>
      <c r="BN379" s="107"/>
      <c r="BO379" s="107"/>
      <c r="BP379" s="107"/>
      <c r="BQ379" s="107"/>
      <c r="BR379" s="107"/>
      <c r="BS379" s="107"/>
      <c r="BT379" s="107"/>
      <c r="BU379" s="107"/>
      <c r="BV379" s="107"/>
      <c r="BW379" s="107"/>
      <c r="BX379" s="75"/>
      <c r="BY379" s="75"/>
      <c r="BZ379" s="75"/>
      <c r="CA379" s="75"/>
      <c r="CB379" s="75"/>
      <c r="CC379" s="75"/>
      <c r="CD379" s="75"/>
      <c r="CE379" s="102"/>
      <c r="CF379" s="102"/>
      <c r="CG379" s="102"/>
      <c r="CH379" s="102"/>
      <c r="CI379" s="102"/>
      <c r="CJ379" s="102"/>
      <c r="CK379" s="102"/>
      <c r="CL379" s="102"/>
      <c r="CM379" s="102"/>
      <c r="CN379" s="102"/>
      <c r="CO379" s="102"/>
      <c r="CP379" s="102"/>
      <c r="CQ379" s="102"/>
      <c r="CR379" s="102"/>
      <c r="CS379" s="102"/>
      <c r="CT379" s="102"/>
      <c r="CU379" s="102"/>
      <c r="CV379" s="102"/>
      <c r="CW379" s="102"/>
      <c r="CX379" s="102"/>
      <c r="CY379" s="102"/>
      <c r="CZ379" s="102"/>
      <c r="DA379" s="102"/>
      <c r="DB379" s="102"/>
      <c r="DC379" s="102"/>
      <c r="DD379" s="102"/>
      <c r="DE379" s="102"/>
      <c r="DF379" s="102"/>
      <c r="DG379" s="102"/>
      <c r="DH379" s="102"/>
      <c r="DI379" s="102"/>
      <c r="DJ379" s="102"/>
      <c r="DK379" s="102"/>
      <c r="DL379" s="102"/>
      <c r="DM379" s="102"/>
      <c r="DN379" s="102"/>
      <c r="DO379" s="102"/>
      <c r="DP379" s="102"/>
    </row>
    <row r="380" spans="1:120" x14ac:dyDescent="0.25">
      <c r="A380" s="4"/>
      <c r="F380"/>
      <c r="G380" s="1"/>
      <c r="H380" s="1"/>
      <c r="I380" s="1"/>
      <c r="J380" s="68" t="str">
        <f t="shared" si="126"/>
        <v/>
      </c>
      <c r="K380" s="68" t="str">
        <f t="shared" si="127"/>
        <v/>
      </c>
      <c r="L380" s="69" t="str">
        <f t="shared" si="128"/>
        <v/>
      </c>
      <c r="M380" s="69" t="str">
        <f t="shared" si="129"/>
        <v/>
      </c>
      <c r="N380" s="69" t="str">
        <f>IF(A380="","",Tabela1[[#This Row],[PTC]]*Tabela1[[#This Row],[ODDC]])</f>
        <v/>
      </c>
      <c r="O380" s="69" t="str">
        <f>IF(A380="","",Tabela1[[#This Row],[PTV]]*Tabela1[[#This Row],[ODDV]])</f>
        <v/>
      </c>
      <c r="P380" s="68" t="str">
        <f t="shared" si="130"/>
        <v/>
      </c>
      <c r="Q380" s="68" t="str">
        <f t="shared" si="131"/>
        <v/>
      </c>
      <c r="R380" s="68" t="str">
        <f t="shared" si="132"/>
        <v/>
      </c>
      <c r="S380" s="68" t="str">
        <f t="shared" si="133"/>
        <v/>
      </c>
      <c r="T380" s="68" t="str">
        <f>IF(A380="","",IF(F380="D",Tabela1[[#This Row],[ODDE]]-1,-1))</f>
        <v/>
      </c>
      <c r="U380" s="70" t="str">
        <f>IF(A380="","",IF(AND(Tabela1[[#This Row],[FTHG]]&gt;3,F380="H"),1,0))</f>
        <v/>
      </c>
      <c r="V380" s="70" t="str">
        <f>IF(A380="","",IF(AND(Tabela1[[#This Row],[FTAG]]&gt;3,F380="A"),1,0))</f>
        <v/>
      </c>
      <c r="W380" s="70" t="str">
        <f t="shared" si="134"/>
        <v/>
      </c>
      <c r="X380" s="70" t="str">
        <f t="shared" si="135"/>
        <v/>
      </c>
      <c r="Y380" s="71" t="str">
        <f t="shared" si="136"/>
        <v/>
      </c>
      <c r="Z380" s="70" t="str">
        <f t="shared" si="137"/>
        <v/>
      </c>
      <c r="AA380" s="70" t="str">
        <f t="shared" si="138"/>
        <v/>
      </c>
      <c r="AB380" s="70" t="str">
        <f t="shared" si="139"/>
        <v/>
      </c>
      <c r="AC380" s="71" t="str">
        <f t="shared" si="140"/>
        <v/>
      </c>
      <c r="AD380" s="72" t="str">
        <f t="shared" si="141"/>
        <v/>
      </c>
      <c r="AE380" s="73" t="str">
        <f>IF(A380="","",COUNT($N$2:N380))</f>
        <v/>
      </c>
      <c r="AF380" s="74" t="str">
        <f t="shared" si="142"/>
        <v/>
      </c>
      <c r="AG380" s="74" t="str">
        <f t="shared" si="143"/>
        <v/>
      </c>
      <c r="AH380" s="74" t="str">
        <f t="shared" si="144"/>
        <v/>
      </c>
      <c r="AI380" s="74" t="str">
        <f t="shared" si="145"/>
        <v/>
      </c>
      <c r="AJ380" s="74" t="str">
        <f t="shared" si="146"/>
        <v/>
      </c>
      <c r="AK380" s="74" t="str">
        <f>IF(A380="","",1/Tabela1[[#This Row],[ODDC]])</f>
        <v/>
      </c>
      <c r="AL380" s="74" t="str">
        <f>IF(A380="","",1/Tabela1[[#This Row],[ODDE]])</f>
        <v/>
      </c>
      <c r="AM380" s="74" t="str">
        <f>IF(A380="","",1/Tabela1[[#This Row],[ODDV]])</f>
        <v/>
      </c>
      <c r="AN380" s="74" t="str">
        <f>IF(A380="","",1-(Tabela1[[#This Row],[p(H)]]+Tabela1[[#This Row],[p(D)]]+Tabela1[[#This Row],[p(A)]]))</f>
        <v/>
      </c>
      <c r="AO380" s="74" t="str">
        <f>IF(A380="","",IFERROR(Tabela1[[#This Row],[p(H)]]/Tabela1[[#This Row],[FTHG]],1))</f>
        <v/>
      </c>
      <c r="AP380" s="74" t="str">
        <f>IF(A380="","",IFERROR(Tabela1[[#This Row],[p(A)]]/Tabela1[[#This Row],[FTAG]],1))</f>
        <v/>
      </c>
      <c r="AQ380" s="107"/>
      <c r="AR380" s="107"/>
      <c r="AS380" s="107"/>
      <c r="AT380" s="107"/>
      <c r="AU380" s="107"/>
      <c r="AV380" s="107"/>
      <c r="AW380" s="107"/>
      <c r="AX380" s="107"/>
      <c r="AY380" s="107"/>
      <c r="AZ380" s="75"/>
      <c r="BA380" s="75"/>
      <c r="BB380" s="75"/>
      <c r="BC380" s="107"/>
      <c r="BD380" s="107"/>
      <c r="BE380" s="107"/>
      <c r="BF380" s="107"/>
      <c r="BG380" s="107"/>
      <c r="BH380" s="107"/>
      <c r="BI380" s="107"/>
      <c r="BJ380" s="107"/>
      <c r="BK380" s="107"/>
      <c r="BL380" s="107"/>
      <c r="BM380" s="107"/>
      <c r="BN380" s="107"/>
      <c r="BO380" s="107"/>
      <c r="BP380" s="107"/>
      <c r="BQ380" s="107"/>
      <c r="BR380" s="107"/>
      <c r="BS380" s="107"/>
      <c r="BT380" s="107"/>
      <c r="BU380" s="107"/>
      <c r="BV380" s="107"/>
      <c r="BW380" s="107"/>
      <c r="BX380" s="75"/>
      <c r="BY380" s="75"/>
      <c r="BZ380" s="75"/>
      <c r="CA380" s="75"/>
      <c r="CB380" s="75"/>
      <c r="CC380" s="75"/>
      <c r="CD380" s="75"/>
      <c r="CE380" s="102"/>
      <c r="CF380" s="102"/>
      <c r="CG380" s="102"/>
      <c r="CH380" s="102"/>
      <c r="CI380" s="102"/>
      <c r="CJ380" s="102"/>
      <c r="CK380" s="102"/>
      <c r="CL380" s="102"/>
      <c r="CM380" s="102"/>
      <c r="CN380" s="102"/>
      <c r="CO380" s="102"/>
      <c r="CP380" s="102"/>
      <c r="CQ380" s="102"/>
      <c r="CR380" s="102"/>
      <c r="CS380" s="102"/>
      <c r="CT380" s="102"/>
      <c r="CU380" s="102"/>
      <c r="CV380" s="102"/>
      <c r="CW380" s="102"/>
      <c r="CX380" s="102"/>
      <c r="CY380" s="102"/>
      <c r="CZ380" s="102"/>
      <c r="DA380" s="102"/>
      <c r="DB380" s="102"/>
      <c r="DC380" s="102"/>
      <c r="DD380" s="102"/>
      <c r="DE380" s="102"/>
      <c r="DF380" s="102"/>
      <c r="DG380" s="102"/>
      <c r="DH380" s="102"/>
      <c r="DI380" s="102"/>
      <c r="DJ380" s="102"/>
      <c r="DK380" s="102"/>
      <c r="DL380" s="102"/>
      <c r="DM380" s="102"/>
      <c r="DN380" s="102"/>
      <c r="DO380" s="102"/>
      <c r="DP380" s="102"/>
    </row>
    <row r="381" spans="1:120" x14ac:dyDescent="0.25">
      <c r="A381" s="4"/>
      <c r="F381"/>
      <c r="G381" s="1"/>
      <c r="H381" s="1"/>
      <c r="I381" s="1"/>
      <c r="J381" s="68" t="str">
        <f t="shared" si="126"/>
        <v/>
      </c>
      <c r="K381" s="68" t="str">
        <f t="shared" si="127"/>
        <v/>
      </c>
      <c r="L381" s="69" t="str">
        <f t="shared" si="128"/>
        <v/>
      </c>
      <c r="M381" s="69" t="str">
        <f t="shared" si="129"/>
        <v/>
      </c>
      <c r="N381" s="69" t="str">
        <f>IF(A381="","",Tabela1[[#This Row],[PTC]]*Tabela1[[#This Row],[ODDC]])</f>
        <v/>
      </c>
      <c r="O381" s="69" t="str">
        <f>IF(A381="","",Tabela1[[#This Row],[PTV]]*Tabela1[[#This Row],[ODDV]])</f>
        <v/>
      </c>
      <c r="P381" s="68" t="str">
        <f t="shared" si="130"/>
        <v/>
      </c>
      <c r="Q381" s="68" t="str">
        <f t="shared" si="131"/>
        <v/>
      </c>
      <c r="R381" s="68" t="str">
        <f t="shared" si="132"/>
        <v/>
      </c>
      <c r="S381" s="68" t="str">
        <f t="shared" si="133"/>
        <v/>
      </c>
      <c r="T381" s="68" t="str">
        <f>IF(A381="","",IF(F381="D",Tabela1[[#This Row],[ODDE]]-1,-1))</f>
        <v/>
      </c>
      <c r="U381" s="70" t="str">
        <f>IF(A381="","",IF(AND(Tabela1[[#This Row],[FTHG]]&gt;3,F381="H"),1,0))</f>
        <v/>
      </c>
      <c r="V381" s="70" t="str">
        <f>IF(A381="","",IF(AND(Tabela1[[#This Row],[FTAG]]&gt;3,F381="A"),1,0))</f>
        <v/>
      </c>
      <c r="W381" s="70" t="str">
        <f t="shared" si="134"/>
        <v/>
      </c>
      <c r="X381" s="70" t="str">
        <f t="shared" si="135"/>
        <v/>
      </c>
      <c r="Y381" s="71" t="str">
        <f t="shared" si="136"/>
        <v/>
      </c>
      <c r="Z381" s="70" t="str">
        <f t="shared" si="137"/>
        <v/>
      </c>
      <c r="AA381" s="70" t="str">
        <f t="shared" si="138"/>
        <v/>
      </c>
      <c r="AB381" s="70" t="str">
        <f t="shared" si="139"/>
        <v/>
      </c>
      <c r="AC381" s="71" t="str">
        <f t="shared" si="140"/>
        <v/>
      </c>
      <c r="AD381" s="72" t="str">
        <f t="shared" si="141"/>
        <v/>
      </c>
      <c r="AE381" s="73" t="str">
        <f>IF(A381="","",COUNT($N$2:N381))</f>
        <v/>
      </c>
      <c r="AF381" s="74" t="str">
        <f t="shared" si="142"/>
        <v/>
      </c>
      <c r="AG381" s="74" t="str">
        <f t="shared" si="143"/>
        <v/>
      </c>
      <c r="AH381" s="74" t="str">
        <f t="shared" si="144"/>
        <v/>
      </c>
      <c r="AI381" s="74" t="str">
        <f t="shared" si="145"/>
        <v/>
      </c>
      <c r="AJ381" s="74" t="str">
        <f t="shared" si="146"/>
        <v/>
      </c>
      <c r="AK381" s="74" t="str">
        <f>IF(A381="","",1/Tabela1[[#This Row],[ODDC]])</f>
        <v/>
      </c>
      <c r="AL381" s="74" t="str">
        <f>IF(A381="","",1/Tabela1[[#This Row],[ODDE]])</f>
        <v/>
      </c>
      <c r="AM381" s="74" t="str">
        <f>IF(A381="","",1/Tabela1[[#This Row],[ODDV]])</f>
        <v/>
      </c>
      <c r="AN381" s="74" t="str">
        <f>IF(A381="","",1-(Tabela1[[#This Row],[p(H)]]+Tabela1[[#This Row],[p(D)]]+Tabela1[[#This Row],[p(A)]]))</f>
        <v/>
      </c>
      <c r="AO381" s="74" t="str">
        <f>IF(A381="","",IFERROR(Tabela1[[#This Row],[p(H)]]/Tabela1[[#This Row],[FTHG]],1))</f>
        <v/>
      </c>
      <c r="AP381" s="74" t="str">
        <f>IF(A381="","",IFERROR(Tabela1[[#This Row],[p(A)]]/Tabela1[[#This Row],[FTAG]],1))</f>
        <v/>
      </c>
      <c r="AQ381" s="107"/>
      <c r="AR381" s="107"/>
      <c r="AS381" s="107"/>
      <c r="AT381" s="107"/>
      <c r="AU381" s="107"/>
      <c r="AV381" s="107"/>
      <c r="AW381" s="107"/>
      <c r="AX381" s="107"/>
      <c r="AY381" s="107"/>
      <c r="AZ381" s="75"/>
      <c r="BA381" s="75"/>
      <c r="BB381" s="75"/>
      <c r="BC381" s="107"/>
      <c r="BD381" s="107"/>
      <c r="BE381" s="107"/>
      <c r="BF381" s="107"/>
      <c r="BG381" s="107"/>
      <c r="BH381" s="107"/>
      <c r="BI381" s="107"/>
      <c r="BJ381" s="107"/>
      <c r="BK381" s="107"/>
      <c r="BL381" s="107"/>
      <c r="BM381" s="107"/>
      <c r="BN381" s="107"/>
      <c r="BO381" s="107"/>
      <c r="BP381" s="107"/>
      <c r="BQ381" s="107"/>
      <c r="BR381" s="107"/>
      <c r="BS381" s="107"/>
      <c r="BT381" s="107"/>
      <c r="BU381" s="107"/>
      <c r="BV381" s="107"/>
      <c r="BW381" s="107"/>
      <c r="BX381" s="75"/>
      <c r="BY381" s="75"/>
      <c r="BZ381" s="75"/>
      <c r="CA381" s="75"/>
      <c r="CB381" s="75"/>
      <c r="CC381" s="75"/>
      <c r="CD381" s="75"/>
      <c r="CE381" s="102"/>
      <c r="CF381" s="102"/>
      <c r="CG381" s="102"/>
      <c r="CH381" s="102"/>
      <c r="CI381" s="102"/>
      <c r="CJ381" s="102"/>
      <c r="CK381" s="102"/>
      <c r="CL381" s="102"/>
      <c r="CM381" s="102"/>
      <c r="CN381" s="102"/>
      <c r="CO381" s="102"/>
      <c r="CP381" s="102"/>
      <c r="CQ381" s="102"/>
      <c r="CR381" s="102"/>
      <c r="CS381" s="102"/>
      <c r="CT381" s="102"/>
      <c r="CU381" s="102"/>
      <c r="CV381" s="102"/>
      <c r="CW381" s="102"/>
      <c r="CX381" s="102"/>
      <c r="CY381" s="102"/>
      <c r="CZ381" s="102"/>
      <c r="DA381" s="102"/>
      <c r="DB381" s="102"/>
      <c r="DC381" s="102"/>
      <c r="DD381" s="102"/>
      <c r="DE381" s="102"/>
      <c r="DF381" s="102"/>
      <c r="DG381" s="102"/>
      <c r="DH381" s="102"/>
      <c r="DI381" s="102"/>
      <c r="DJ381" s="102"/>
      <c r="DK381" s="102"/>
      <c r="DL381" s="102"/>
      <c r="DM381" s="102"/>
      <c r="DN381" s="102"/>
      <c r="DO381" s="102"/>
      <c r="DP381" s="102"/>
    </row>
    <row r="382" spans="1:120" x14ac:dyDescent="0.25">
      <c r="A382" s="4"/>
      <c r="F382"/>
      <c r="G382" s="1"/>
      <c r="H382" s="1"/>
      <c r="I382" s="1"/>
      <c r="J382" s="68" t="str">
        <f t="shared" si="126"/>
        <v/>
      </c>
      <c r="K382" s="68" t="str">
        <f t="shared" si="127"/>
        <v/>
      </c>
      <c r="L382" s="69" t="str">
        <f t="shared" si="128"/>
        <v/>
      </c>
      <c r="M382" s="69" t="str">
        <f t="shared" si="129"/>
        <v/>
      </c>
      <c r="N382" s="69" t="str">
        <f>IF(A382="","",Tabela1[[#This Row],[PTC]]*Tabela1[[#This Row],[ODDC]])</f>
        <v/>
      </c>
      <c r="O382" s="69" t="str">
        <f>IF(A382="","",Tabela1[[#This Row],[PTV]]*Tabela1[[#This Row],[ODDV]])</f>
        <v/>
      </c>
      <c r="P382" s="68" t="str">
        <f t="shared" si="130"/>
        <v/>
      </c>
      <c r="Q382" s="68" t="str">
        <f t="shared" si="131"/>
        <v/>
      </c>
      <c r="R382" s="68" t="str">
        <f t="shared" si="132"/>
        <v/>
      </c>
      <c r="S382" s="68" t="str">
        <f t="shared" si="133"/>
        <v/>
      </c>
      <c r="T382" s="68" t="str">
        <f>IF(A382="","",IF(F382="D",Tabela1[[#This Row],[ODDE]]-1,-1))</f>
        <v/>
      </c>
      <c r="U382" s="70" t="str">
        <f>IF(A382="","",IF(AND(Tabela1[[#This Row],[FTHG]]&gt;3,F382="H"),1,0))</f>
        <v/>
      </c>
      <c r="V382" s="70" t="str">
        <f>IF(A382="","",IF(AND(Tabela1[[#This Row],[FTAG]]&gt;3,F382="A"),1,0))</f>
        <v/>
      </c>
      <c r="W382" s="70" t="str">
        <f t="shared" si="134"/>
        <v/>
      </c>
      <c r="X382" s="70" t="str">
        <f t="shared" si="135"/>
        <v/>
      </c>
      <c r="Y382" s="71" t="str">
        <f t="shared" si="136"/>
        <v/>
      </c>
      <c r="Z382" s="70" t="str">
        <f t="shared" si="137"/>
        <v/>
      </c>
      <c r="AA382" s="70" t="str">
        <f t="shared" si="138"/>
        <v/>
      </c>
      <c r="AB382" s="70" t="str">
        <f t="shared" si="139"/>
        <v/>
      </c>
      <c r="AC382" s="71" t="str">
        <f t="shared" si="140"/>
        <v/>
      </c>
      <c r="AD382" s="72" t="str">
        <f t="shared" si="141"/>
        <v/>
      </c>
      <c r="AE382" s="73" t="str">
        <f>IF(A382="","",COUNT($N$2:N382))</f>
        <v/>
      </c>
      <c r="AF382" s="74" t="str">
        <f t="shared" si="142"/>
        <v/>
      </c>
      <c r="AG382" s="74" t="str">
        <f t="shared" si="143"/>
        <v/>
      </c>
      <c r="AH382" s="74" t="str">
        <f t="shared" si="144"/>
        <v/>
      </c>
      <c r="AI382" s="74" t="str">
        <f t="shared" si="145"/>
        <v/>
      </c>
      <c r="AJ382" s="74" t="str">
        <f t="shared" si="146"/>
        <v/>
      </c>
      <c r="AK382" s="74" t="str">
        <f>IF(A382="","",1/Tabela1[[#This Row],[ODDC]])</f>
        <v/>
      </c>
      <c r="AL382" s="74" t="str">
        <f>IF(A382="","",1/Tabela1[[#This Row],[ODDE]])</f>
        <v/>
      </c>
      <c r="AM382" s="74" t="str">
        <f>IF(A382="","",1/Tabela1[[#This Row],[ODDV]])</f>
        <v/>
      </c>
      <c r="AN382" s="74" t="str">
        <f>IF(A382="","",1-(Tabela1[[#This Row],[p(H)]]+Tabela1[[#This Row],[p(D)]]+Tabela1[[#This Row],[p(A)]]))</f>
        <v/>
      </c>
      <c r="AO382" s="74" t="str">
        <f>IF(A382="","",IFERROR(Tabela1[[#This Row],[p(H)]]/Tabela1[[#This Row],[FTHG]],1))</f>
        <v/>
      </c>
      <c r="AP382" s="74" t="str">
        <f>IF(A382="","",IFERROR(Tabela1[[#This Row],[p(A)]]/Tabela1[[#This Row],[FTAG]],1))</f>
        <v/>
      </c>
      <c r="AQ382" s="107"/>
      <c r="AR382" s="107"/>
      <c r="AS382" s="107"/>
      <c r="AT382" s="107"/>
      <c r="AU382" s="107"/>
      <c r="AV382" s="107"/>
      <c r="AW382" s="107"/>
      <c r="AX382" s="107"/>
      <c r="AY382" s="107"/>
      <c r="AZ382" s="75"/>
      <c r="BA382" s="75"/>
      <c r="BB382" s="75"/>
      <c r="BC382" s="107"/>
      <c r="BD382" s="107"/>
      <c r="BE382" s="107"/>
      <c r="BF382" s="107"/>
      <c r="BG382" s="107"/>
      <c r="BH382" s="107"/>
      <c r="BI382" s="107"/>
      <c r="BJ382" s="107"/>
      <c r="BK382" s="107"/>
      <c r="BL382" s="107"/>
      <c r="BM382" s="107"/>
      <c r="BN382" s="107"/>
      <c r="BO382" s="107"/>
      <c r="BP382" s="107"/>
      <c r="BQ382" s="107"/>
      <c r="BR382" s="107"/>
      <c r="BS382" s="107"/>
      <c r="BT382" s="107"/>
      <c r="BU382" s="107"/>
      <c r="BV382" s="107"/>
      <c r="BW382" s="107"/>
      <c r="BX382" s="75"/>
      <c r="BY382" s="75"/>
      <c r="BZ382" s="75"/>
      <c r="CA382" s="75"/>
      <c r="CB382" s="75"/>
      <c r="CC382" s="75"/>
      <c r="CD382" s="75"/>
      <c r="CE382" s="102"/>
      <c r="CF382" s="102"/>
      <c r="CG382" s="102"/>
      <c r="CH382" s="102"/>
      <c r="CI382" s="102"/>
      <c r="CJ382" s="102"/>
      <c r="CK382" s="102"/>
      <c r="CL382" s="102"/>
      <c r="CM382" s="102"/>
      <c r="CN382" s="102"/>
      <c r="CO382" s="102"/>
      <c r="CP382" s="102"/>
      <c r="CQ382" s="102"/>
      <c r="CR382" s="102"/>
      <c r="CS382" s="102"/>
      <c r="CT382" s="102"/>
      <c r="CU382" s="102"/>
      <c r="CV382" s="102"/>
      <c r="CW382" s="102"/>
      <c r="CX382" s="102"/>
      <c r="CY382" s="102"/>
      <c r="CZ382" s="102"/>
      <c r="DA382" s="102"/>
      <c r="DB382" s="102"/>
      <c r="DC382" s="102"/>
      <c r="DD382" s="102"/>
      <c r="DE382" s="102"/>
      <c r="DF382" s="102"/>
      <c r="DG382" s="102"/>
      <c r="DH382" s="102"/>
      <c r="DI382" s="102"/>
      <c r="DJ382" s="102"/>
      <c r="DK382" s="102"/>
      <c r="DL382" s="102"/>
      <c r="DM382" s="102"/>
      <c r="DN382" s="102"/>
      <c r="DO382" s="102"/>
      <c r="DP382" s="102"/>
    </row>
    <row r="383" spans="1:120" x14ac:dyDescent="0.25">
      <c r="A383" s="4"/>
      <c r="F383"/>
      <c r="G383" s="1"/>
      <c r="H383" s="1"/>
      <c r="I383" s="1"/>
      <c r="J383" s="68" t="str">
        <f t="shared" si="126"/>
        <v/>
      </c>
      <c r="K383" s="68" t="str">
        <f t="shared" si="127"/>
        <v/>
      </c>
      <c r="L383" s="69" t="str">
        <f t="shared" si="128"/>
        <v/>
      </c>
      <c r="M383" s="69" t="str">
        <f t="shared" si="129"/>
        <v/>
      </c>
      <c r="N383" s="69" t="str">
        <f>IF(A383="","",Tabela1[[#This Row],[PTC]]*Tabela1[[#This Row],[ODDC]])</f>
        <v/>
      </c>
      <c r="O383" s="69" t="str">
        <f>IF(A383="","",Tabela1[[#This Row],[PTV]]*Tabela1[[#This Row],[ODDV]])</f>
        <v/>
      </c>
      <c r="P383" s="68" t="str">
        <f t="shared" si="130"/>
        <v/>
      </c>
      <c r="Q383" s="68" t="str">
        <f t="shared" si="131"/>
        <v/>
      </c>
      <c r="R383" s="68" t="str">
        <f t="shared" si="132"/>
        <v/>
      </c>
      <c r="S383" s="68" t="str">
        <f t="shared" si="133"/>
        <v/>
      </c>
      <c r="T383" s="68" t="str">
        <f>IF(A383="","",IF(F383="D",Tabela1[[#This Row],[ODDE]]-1,-1))</f>
        <v/>
      </c>
      <c r="U383" s="70" t="str">
        <f>IF(A383="","",IF(AND(Tabela1[[#This Row],[FTHG]]&gt;3,F383="H"),1,0))</f>
        <v/>
      </c>
      <c r="V383" s="70" t="str">
        <f>IF(A383="","",IF(AND(Tabela1[[#This Row],[FTAG]]&gt;3,F383="A"),1,0))</f>
        <v/>
      </c>
      <c r="W383" s="70" t="str">
        <f t="shared" si="134"/>
        <v/>
      </c>
      <c r="X383" s="70" t="str">
        <f t="shared" si="135"/>
        <v/>
      </c>
      <c r="Y383" s="71" t="str">
        <f t="shared" si="136"/>
        <v/>
      </c>
      <c r="Z383" s="70" t="str">
        <f t="shared" si="137"/>
        <v/>
      </c>
      <c r="AA383" s="70" t="str">
        <f t="shared" si="138"/>
        <v/>
      </c>
      <c r="AB383" s="70" t="str">
        <f t="shared" si="139"/>
        <v/>
      </c>
      <c r="AC383" s="71" t="str">
        <f t="shared" si="140"/>
        <v/>
      </c>
      <c r="AD383" s="72" t="str">
        <f t="shared" si="141"/>
        <v/>
      </c>
      <c r="AE383" s="73" t="str">
        <f>IF(A383="","",COUNT($N$2:N383))</f>
        <v/>
      </c>
      <c r="AF383" s="74" t="str">
        <f t="shared" si="142"/>
        <v/>
      </c>
      <c r="AG383" s="74" t="str">
        <f t="shared" si="143"/>
        <v/>
      </c>
      <c r="AH383" s="74" t="str">
        <f t="shared" si="144"/>
        <v/>
      </c>
      <c r="AI383" s="74" t="str">
        <f t="shared" si="145"/>
        <v/>
      </c>
      <c r="AJ383" s="74" t="str">
        <f t="shared" si="146"/>
        <v/>
      </c>
      <c r="AK383" s="74" t="str">
        <f>IF(A383="","",1/Tabela1[[#This Row],[ODDC]])</f>
        <v/>
      </c>
      <c r="AL383" s="74" t="str">
        <f>IF(A383="","",1/Tabela1[[#This Row],[ODDE]])</f>
        <v/>
      </c>
      <c r="AM383" s="74" t="str">
        <f>IF(A383="","",1/Tabela1[[#This Row],[ODDV]])</f>
        <v/>
      </c>
      <c r="AN383" s="74" t="str">
        <f>IF(A383="","",1-(Tabela1[[#This Row],[p(H)]]+Tabela1[[#This Row],[p(D)]]+Tabela1[[#This Row],[p(A)]]))</f>
        <v/>
      </c>
      <c r="AO383" s="74" t="str">
        <f>IF(A383="","",IFERROR(Tabela1[[#This Row],[p(H)]]/Tabela1[[#This Row],[FTHG]],1))</f>
        <v/>
      </c>
      <c r="AP383" s="74" t="str">
        <f>IF(A383="","",IFERROR(Tabela1[[#This Row],[p(A)]]/Tabela1[[#This Row],[FTAG]],1))</f>
        <v/>
      </c>
      <c r="AQ383" s="107"/>
      <c r="AR383" s="107"/>
      <c r="AS383" s="107"/>
      <c r="AT383" s="107"/>
      <c r="AU383" s="107"/>
      <c r="AV383" s="107"/>
      <c r="AW383" s="107"/>
      <c r="AX383" s="107"/>
      <c r="AY383" s="107"/>
      <c r="AZ383" s="75"/>
      <c r="BA383" s="75"/>
      <c r="BB383" s="75"/>
      <c r="BC383" s="107"/>
      <c r="BD383" s="107"/>
      <c r="BE383" s="107"/>
      <c r="BF383" s="107"/>
      <c r="BG383" s="107"/>
      <c r="BH383" s="107"/>
      <c r="BI383" s="107"/>
      <c r="BJ383" s="107"/>
      <c r="BK383" s="107"/>
      <c r="BL383" s="107"/>
      <c r="BM383" s="107"/>
      <c r="BN383" s="107"/>
      <c r="BO383" s="107"/>
      <c r="BP383" s="107"/>
      <c r="BQ383" s="107"/>
      <c r="BR383" s="107"/>
      <c r="BS383" s="107"/>
      <c r="BT383" s="107"/>
      <c r="BU383" s="107"/>
      <c r="BV383" s="107"/>
      <c r="BW383" s="107"/>
      <c r="BX383" s="75"/>
      <c r="BY383" s="75"/>
      <c r="BZ383" s="75"/>
      <c r="CA383" s="75"/>
      <c r="CB383" s="75"/>
      <c r="CC383" s="75"/>
      <c r="CD383" s="75"/>
      <c r="CE383" s="102"/>
      <c r="CF383" s="102"/>
      <c r="CG383" s="102"/>
      <c r="CH383" s="102"/>
      <c r="CI383" s="102"/>
      <c r="CJ383" s="102"/>
      <c r="CK383" s="102"/>
      <c r="CL383" s="102"/>
      <c r="CM383" s="102"/>
      <c r="CN383" s="102"/>
      <c r="CO383" s="102"/>
      <c r="CP383" s="102"/>
      <c r="CQ383" s="102"/>
      <c r="CR383" s="102"/>
      <c r="CS383" s="102"/>
      <c r="CT383" s="102"/>
      <c r="CU383" s="102"/>
      <c r="CV383" s="102"/>
      <c r="CW383" s="102"/>
      <c r="CX383" s="102"/>
      <c r="CY383" s="102"/>
      <c r="CZ383" s="102"/>
      <c r="DA383" s="102"/>
      <c r="DB383" s="102"/>
      <c r="DC383" s="102"/>
      <c r="DD383" s="102"/>
      <c r="DE383" s="102"/>
      <c r="DF383" s="102"/>
      <c r="DG383" s="102"/>
      <c r="DH383" s="102"/>
      <c r="DI383" s="102"/>
      <c r="DJ383" s="102"/>
      <c r="DK383" s="102"/>
      <c r="DL383" s="102"/>
      <c r="DM383" s="102"/>
      <c r="DN383" s="102"/>
      <c r="DO383" s="102"/>
      <c r="DP383" s="102"/>
    </row>
    <row r="384" spans="1:120" x14ac:dyDescent="0.25">
      <c r="A384" s="4"/>
      <c r="F384"/>
      <c r="G384" s="1"/>
      <c r="H384" s="1"/>
      <c r="I384" s="1"/>
      <c r="J384" s="68" t="str">
        <f t="shared" si="126"/>
        <v/>
      </c>
      <c r="K384" s="68" t="str">
        <f t="shared" si="127"/>
        <v/>
      </c>
      <c r="L384" s="69" t="str">
        <f t="shared" si="128"/>
        <v/>
      </c>
      <c r="M384" s="69" t="str">
        <f t="shared" si="129"/>
        <v/>
      </c>
      <c r="N384" s="69" t="str">
        <f>IF(A384="","",Tabela1[[#This Row],[PTC]]*Tabela1[[#This Row],[ODDC]])</f>
        <v/>
      </c>
      <c r="O384" s="69" t="str">
        <f>IF(A384="","",Tabela1[[#This Row],[PTV]]*Tabela1[[#This Row],[ODDV]])</f>
        <v/>
      </c>
      <c r="P384" s="68" t="str">
        <f t="shared" si="130"/>
        <v/>
      </c>
      <c r="Q384" s="68" t="str">
        <f t="shared" si="131"/>
        <v/>
      </c>
      <c r="R384" s="68" t="str">
        <f t="shared" si="132"/>
        <v/>
      </c>
      <c r="S384" s="68" t="str">
        <f t="shared" si="133"/>
        <v/>
      </c>
      <c r="T384" s="68" t="str">
        <f>IF(A384="","",IF(F384="D",Tabela1[[#This Row],[ODDE]]-1,-1))</f>
        <v/>
      </c>
      <c r="U384" s="70" t="str">
        <f>IF(A384="","",IF(AND(Tabela1[[#This Row],[FTHG]]&gt;3,F384="H"),1,0))</f>
        <v/>
      </c>
      <c r="V384" s="70" t="str">
        <f>IF(A384="","",IF(AND(Tabela1[[#This Row],[FTAG]]&gt;3,F384="A"),1,0))</f>
        <v/>
      </c>
      <c r="W384" s="70" t="str">
        <f t="shared" si="134"/>
        <v/>
      </c>
      <c r="X384" s="70" t="str">
        <f t="shared" si="135"/>
        <v/>
      </c>
      <c r="Y384" s="71" t="str">
        <f t="shared" si="136"/>
        <v/>
      </c>
      <c r="Z384" s="70" t="str">
        <f t="shared" si="137"/>
        <v/>
      </c>
      <c r="AA384" s="70" t="str">
        <f t="shared" si="138"/>
        <v/>
      </c>
      <c r="AB384" s="70" t="str">
        <f t="shared" si="139"/>
        <v/>
      </c>
      <c r="AC384" s="71" t="str">
        <f t="shared" si="140"/>
        <v/>
      </c>
      <c r="AD384" s="72" t="str">
        <f t="shared" si="141"/>
        <v/>
      </c>
      <c r="AE384" s="73" t="str">
        <f>IF(A384="","",COUNT($N$2:N384))</f>
        <v/>
      </c>
      <c r="AF384" s="74" t="str">
        <f t="shared" si="142"/>
        <v/>
      </c>
      <c r="AG384" s="74" t="str">
        <f t="shared" si="143"/>
        <v/>
      </c>
      <c r="AH384" s="74" t="str">
        <f t="shared" si="144"/>
        <v/>
      </c>
      <c r="AI384" s="74" t="str">
        <f t="shared" si="145"/>
        <v/>
      </c>
      <c r="AJ384" s="74" t="str">
        <f t="shared" si="146"/>
        <v/>
      </c>
      <c r="AK384" s="74" t="str">
        <f>IF(A384="","",1/Tabela1[[#This Row],[ODDC]])</f>
        <v/>
      </c>
      <c r="AL384" s="74" t="str">
        <f>IF(A384="","",1/Tabela1[[#This Row],[ODDE]])</f>
        <v/>
      </c>
      <c r="AM384" s="74" t="str">
        <f>IF(A384="","",1/Tabela1[[#This Row],[ODDV]])</f>
        <v/>
      </c>
      <c r="AN384" s="74" t="str">
        <f>IF(A384="","",1-(Tabela1[[#This Row],[p(H)]]+Tabela1[[#This Row],[p(D)]]+Tabela1[[#This Row],[p(A)]]))</f>
        <v/>
      </c>
      <c r="AO384" s="74" t="str">
        <f>IF(A384="","",IFERROR(Tabela1[[#This Row],[p(H)]]/Tabela1[[#This Row],[FTHG]],1))</f>
        <v/>
      </c>
      <c r="AP384" s="74" t="str">
        <f>IF(A384="","",IFERROR(Tabela1[[#This Row],[p(A)]]/Tabela1[[#This Row],[FTAG]],1))</f>
        <v/>
      </c>
      <c r="AQ384" s="107"/>
      <c r="AR384" s="107"/>
      <c r="AS384" s="107"/>
      <c r="AT384" s="107"/>
      <c r="AU384" s="107"/>
      <c r="AV384" s="107"/>
      <c r="AW384" s="107"/>
      <c r="AX384" s="107"/>
      <c r="AY384" s="107"/>
      <c r="AZ384" s="75"/>
      <c r="BA384" s="75"/>
      <c r="BB384" s="75"/>
      <c r="BC384" s="107"/>
      <c r="BD384" s="107"/>
      <c r="BE384" s="107"/>
      <c r="BF384" s="107"/>
      <c r="BG384" s="107"/>
      <c r="BH384" s="107"/>
      <c r="BI384" s="107"/>
      <c r="BJ384" s="107"/>
      <c r="BK384" s="107"/>
      <c r="BL384" s="107"/>
      <c r="BM384" s="107"/>
      <c r="BN384" s="107"/>
      <c r="BO384" s="107"/>
      <c r="BP384" s="107"/>
      <c r="BQ384" s="107"/>
      <c r="BR384" s="107"/>
      <c r="BS384" s="107"/>
      <c r="BT384" s="107"/>
      <c r="BU384" s="107"/>
      <c r="BV384" s="107"/>
      <c r="BW384" s="107"/>
      <c r="BX384" s="75"/>
      <c r="BY384" s="75"/>
      <c r="BZ384" s="75"/>
      <c r="CA384" s="75"/>
      <c r="CB384" s="75"/>
      <c r="CC384" s="75"/>
      <c r="CD384" s="75"/>
      <c r="CE384" s="102"/>
      <c r="CF384" s="102"/>
      <c r="CG384" s="102"/>
      <c r="CH384" s="102"/>
      <c r="CI384" s="102"/>
      <c r="CJ384" s="102"/>
      <c r="CK384" s="102"/>
      <c r="CL384" s="102"/>
      <c r="CM384" s="102"/>
      <c r="CN384" s="102"/>
      <c r="CO384" s="102"/>
      <c r="CP384" s="102"/>
      <c r="CQ384" s="102"/>
      <c r="CR384" s="102"/>
      <c r="CS384" s="102"/>
      <c r="CT384" s="102"/>
      <c r="CU384" s="102"/>
      <c r="CV384" s="102"/>
      <c r="CW384" s="102"/>
      <c r="CX384" s="102"/>
      <c r="CY384" s="102"/>
      <c r="CZ384" s="102"/>
      <c r="DA384" s="102"/>
      <c r="DB384" s="102"/>
      <c r="DC384" s="102"/>
      <c r="DD384" s="102"/>
      <c r="DE384" s="102"/>
      <c r="DF384" s="102"/>
      <c r="DG384" s="102"/>
      <c r="DH384" s="102"/>
      <c r="DI384" s="102"/>
      <c r="DJ384" s="102"/>
      <c r="DK384" s="102"/>
      <c r="DL384" s="102"/>
      <c r="DM384" s="102"/>
      <c r="DN384" s="102"/>
      <c r="DO384" s="102"/>
      <c r="DP384" s="102"/>
    </row>
    <row r="385" spans="1:120" x14ac:dyDescent="0.25">
      <c r="A385" s="4"/>
      <c r="F385"/>
      <c r="G385" s="1"/>
      <c r="H385" s="1"/>
      <c r="I385" s="1"/>
      <c r="J385" s="68" t="str">
        <f t="shared" si="126"/>
        <v/>
      </c>
      <c r="K385" s="68" t="str">
        <f t="shared" si="127"/>
        <v/>
      </c>
      <c r="L385" s="69" t="str">
        <f t="shared" si="128"/>
        <v/>
      </c>
      <c r="M385" s="69" t="str">
        <f t="shared" si="129"/>
        <v/>
      </c>
      <c r="N385" s="69" t="str">
        <f>IF(A385="","",Tabela1[[#This Row],[PTC]]*Tabela1[[#This Row],[ODDC]])</f>
        <v/>
      </c>
      <c r="O385" s="69" t="str">
        <f>IF(A385="","",Tabela1[[#This Row],[PTV]]*Tabela1[[#This Row],[ODDV]])</f>
        <v/>
      </c>
      <c r="P385" s="68" t="str">
        <f t="shared" si="130"/>
        <v/>
      </c>
      <c r="Q385" s="68" t="str">
        <f t="shared" si="131"/>
        <v/>
      </c>
      <c r="R385" s="68" t="str">
        <f t="shared" si="132"/>
        <v/>
      </c>
      <c r="S385" s="68" t="str">
        <f t="shared" si="133"/>
        <v/>
      </c>
      <c r="T385" s="68" t="str">
        <f>IF(A385="","",IF(F385="D",Tabela1[[#This Row],[ODDE]]-1,-1))</f>
        <v/>
      </c>
      <c r="U385" s="70" t="str">
        <f>IF(A385="","",IF(AND(Tabela1[[#This Row],[FTHG]]&gt;3,F385="H"),1,0))</f>
        <v/>
      </c>
      <c r="V385" s="70" t="str">
        <f>IF(A385="","",IF(AND(Tabela1[[#This Row],[FTAG]]&gt;3,F385="A"),1,0))</f>
        <v/>
      </c>
      <c r="W385" s="70" t="str">
        <f t="shared" si="134"/>
        <v/>
      </c>
      <c r="X385" s="70" t="str">
        <f t="shared" si="135"/>
        <v/>
      </c>
      <c r="Y385" s="71" t="str">
        <f t="shared" si="136"/>
        <v/>
      </c>
      <c r="Z385" s="70" t="str">
        <f t="shared" si="137"/>
        <v/>
      </c>
      <c r="AA385" s="70" t="str">
        <f t="shared" si="138"/>
        <v/>
      </c>
      <c r="AB385" s="70" t="str">
        <f t="shared" si="139"/>
        <v/>
      </c>
      <c r="AC385" s="71" t="str">
        <f t="shared" si="140"/>
        <v/>
      </c>
      <c r="AD385" s="72" t="str">
        <f t="shared" si="141"/>
        <v/>
      </c>
      <c r="AE385" s="73" t="str">
        <f>IF(A385="","",COUNT($N$2:N385))</f>
        <v/>
      </c>
      <c r="AF385" s="74" t="str">
        <f t="shared" si="142"/>
        <v/>
      </c>
      <c r="AG385" s="74" t="str">
        <f t="shared" si="143"/>
        <v/>
      </c>
      <c r="AH385" s="74" t="str">
        <f t="shared" si="144"/>
        <v/>
      </c>
      <c r="AI385" s="74" t="str">
        <f t="shared" si="145"/>
        <v/>
      </c>
      <c r="AJ385" s="74" t="str">
        <f t="shared" si="146"/>
        <v/>
      </c>
      <c r="AK385" s="74" t="str">
        <f>IF(A385="","",1/Tabela1[[#This Row],[ODDC]])</f>
        <v/>
      </c>
      <c r="AL385" s="74" t="str">
        <f>IF(A385="","",1/Tabela1[[#This Row],[ODDE]])</f>
        <v/>
      </c>
      <c r="AM385" s="74" t="str">
        <f>IF(A385="","",1/Tabela1[[#This Row],[ODDV]])</f>
        <v/>
      </c>
      <c r="AN385" s="74" t="str">
        <f>IF(A385="","",1-(Tabela1[[#This Row],[p(H)]]+Tabela1[[#This Row],[p(D)]]+Tabela1[[#This Row],[p(A)]]))</f>
        <v/>
      </c>
      <c r="AO385" s="74" t="str">
        <f>IF(A385="","",IFERROR(Tabela1[[#This Row],[p(H)]]/Tabela1[[#This Row],[FTHG]],1))</f>
        <v/>
      </c>
      <c r="AP385" s="74" t="str">
        <f>IF(A385="","",IFERROR(Tabela1[[#This Row],[p(A)]]/Tabela1[[#This Row],[FTAG]],1))</f>
        <v/>
      </c>
      <c r="AQ385" s="107"/>
      <c r="AR385" s="107"/>
      <c r="AS385" s="107"/>
      <c r="AT385" s="107"/>
      <c r="AU385" s="107"/>
      <c r="AV385" s="107"/>
      <c r="AW385" s="107"/>
      <c r="AX385" s="107"/>
      <c r="AY385" s="107"/>
      <c r="AZ385" s="75"/>
      <c r="BA385" s="75"/>
      <c r="BB385" s="75"/>
      <c r="BC385" s="107"/>
      <c r="BD385" s="107"/>
      <c r="BE385" s="107"/>
      <c r="BF385" s="107"/>
      <c r="BG385" s="107"/>
      <c r="BH385" s="107"/>
      <c r="BI385" s="107"/>
      <c r="BJ385" s="107"/>
      <c r="BK385" s="107"/>
      <c r="BL385" s="107"/>
      <c r="BM385" s="107"/>
      <c r="BN385" s="107"/>
      <c r="BO385" s="107"/>
      <c r="BP385" s="107"/>
      <c r="BQ385" s="107"/>
      <c r="BR385" s="107"/>
      <c r="BS385" s="107"/>
      <c r="BT385" s="107"/>
      <c r="BU385" s="107"/>
      <c r="BV385" s="107"/>
      <c r="BW385" s="107"/>
      <c r="BX385" s="75"/>
      <c r="BY385" s="75"/>
      <c r="BZ385" s="75"/>
      <c r="CA385" s="75"/>
      <c r="CB385" s="75"/>
      <c r="CC385" s="75"/>
      <c r="CD385" s="75"/>
      <c r="CE385" s="102"/>
      <c r="CF385" s="102"/>
      <c r="CG385" s="102"/>
      <c r="CH385" s="102"/>
      <c r="CI385" s="102"/>
      <c r="CJ385" s="102"/>
      <c r="CK385" s="102"/>
      <c r="CL385" s="102"/>
      <c r="CM385" s="102"/>
      <c r="CN385" s="102"/>
      <c r="CO385" s="102"/>
      <c r="CP385" s="102"/>
      <c r="CQ385" s="102"/>
      <c r="CR385" s="102"/>
      <c r="CS385" s="102"/>
      <c r="CT385" s="102"/>
      <c r="CU385" s="102"/>
      <c r="CV385" s="102"/>
      <c r="CW385" s="102"/>
      <c r="CX385" s="102"/>
      <c r="CY385" s="102"/>
      <c r="CZ385" s="102"/>
      <c r="DA385" s="102"/>
      <c r="DB385" s="102"/>
      <c r="DC385" s="102"/>
      <c r="DD385" s="102"/>
      <c r="DE385" s="102"/>
      <c r="DF385" s="102"/>
      <c r="DG385" s="102"/>
      <c r="DH385" s="102"/>
      <c r="DI385" s="102"/>
      <c r="DJ385" s="102"/>
      <c r="DK385" s="102"/>
      <c r="DL385" s="102"/>
      <c r="DM385" s="102"/>
      <c r="DN385" s="102"/>
      <c r="DO385" s="102"/>
      <c r="DP385" s="102"/>
    </row>
    <row r="386" spans="1:120" x14ac:dyDescent="0.25">
      <c r="A386" s="4"/>
      <c r="F386"/>
      <c r="G386" s="1"/>
      <c r="H386" s="1"/>
      <c r="I386" s="1"/>
      <c r="J386" s="68" t="str">
        <f t="shared" si="126"/>
        <v/>
      </c>
      <c r="K386" s="68" t="str">
        <f t="shared" si="127"/>
        <v/>
      </c>
      <c r="L386" s="69" t="str">
        <f t="shared" si="128"/>
        <v/>
      </c>
      <c r="M386" s="69" t="str">
        <f t="shared" si="129"/>
        <v/>
      </c>
      <c r="N386" s="69" t="str">
        <f>IF(A386="","",Tabela1[[#This Row],[PTC]]*Tabela1[[#This Row],[ODDC]])</f>
        <v/>
      </c>
      <c r="O386" s="69" t="str">
        <f>IF(A386="","",Tabela1[[#This Row],[PTV]]*Tabela1[[#This Row],[ODDV]])</f>
        <v/>
      </c>
      <c r="P386" s="68" t="str">
        <f t="shared" si="130"/>
        <v/>
      </c>
      <c r="Q386" s="68" t="str">
        <f t="shared" si="131"/>
        <v/>
      </c>
      <c r="R386" s="68" t="str">
        <f t="shared" si="132"/>
        <v/>
      </c>
      <c r="S386" s="68" t="str">
        <f t="shared" si="133"/>
        <v/>
      </c>
      <c r="T386" s="68" t="str">
        <f>IF(A386="","",IF(F386="D",Tabela1[[#This Row],[ODDE]]-1,-1))</f>
        <v/>
      </c>
      <c r="U386" s="70" t="str">
        <f>IF(A386="","",IF(AND(Tabela1[[#This Row],[FTHG]]&gt;3,F386="H"),1,0))</f>
        <v/>
      </c>
      <c r="V386" s="70" t="str">
        <f>IF(A386="","",IF(AND(Tabela1[[#This Row],[FTAG]]&gt;3,F386="A"),1,0))</f>
        <v/>
      </c>
      <c r="W386" s="70" t="str">
        <f t="shared" si="134"/>
        <v/>
      </c>
      <c r="X386" s="70" t="str">
        <f t="shared" si="135"/>
        <v/>
      </c>
      <c r="Y386" s="71" t="str">
        <f t="shared" si="136"/>
        <v/>
      </c>
      <c r="Z386" s="70" t="str">
        <f t="shared" si="137"/>
        <v/>
      </c>
      <c r="AA386" s="70" t="str">
        <f t="shared" si="138"/>
        <v/>
      </c>
      <c r="AB386" s="70" t="str">
        <f t="shared" si="139"/>
        <v/>
      </c>
      <c r="AC386" s="71" t="str">
        <f t="shared" si="140"/>
        <v/>
      </c>
      <c r="AD386" s="72" t="str">
        <f t="shared" si="141"/>
        <v/>
      </c>
      <c r="AE386" s="73" t="str">
        <f>IF(A386="","",COUNT($N$2:N386))</f>
        <v/>
      </c>
      <c r="AF386" s="74" t="str">
        <f t="shared" si="142"/>
        <v/>
      </c>
      <c r="AG386" s="74" t="str">
        <f t="shared" si="143"/>
        <v/>
      </c>
      <c r="AH386" s="74" t="str">
        <f t="shared" si="144"/>
        <v/>
      </c>
      <c r="AI386" s="74" t="str">
        <f t="shared" si="145"/>
        <v/>
      </c>
      <c r="AJ386" s="74" t="str">
        <f t="shared" si="146"/>
        <v/>
      </c>
      <c r="AK386" s="74" t="str">
        <f>IF(A386="","",1/Tabela1[[#This Row],[ODDC]])</f>
        <v/>
      </c>
      <c r="AL386" s="74" t="str">
        <f>IF(A386="","",1/Tabela1[[#This Row],[ODDE]])</f>
        <v/>
      </c>
      <c r="AM386" s="74" t="str">
        <f>IF(A386="","",1/Tabela1[[#This Row],[ODDV]])</f>
        <v/>
      </c>
      <c r="AN386" s="74" t="str">
        <f>IF(A386="","",1-(Tabela1[[#This Row],[p(H)]]+Tabela1[[#This Row],[p(D)]]+Tabela1[[#This Row],[p(A)]]))</f>
        <v/>
      </c>
      <c r="AO386" s="74" t="str">
        <f>IF(A386="","",IFERROR(Tabela1[[#This Row],[p(H)]]/Tabela1[[#This Row],[FTHG]],1))</f>
        <v/>
      </c>
      <c r="AP386" s="74" t="str">
        <f>IF(A386="","",IFERROR(Tabela1[[#This Row],[p(A)]]/Tabela1[[#This Row],[FTAG]],1))</f>
        <v/>
      </c>
      <c r="AQ386" s="107"/>
      <c r="AR386" s="107"/>
      <c r="AS386" s="107"/>
      <c r="AT386" s="107"/>
      <c r="AU386" s="107"/>
      <c r="AV386" s="107"/>
      <c r="AW386" s="107"/>
      <c r="AX386" s="107"/>
      <c r="AY386" s="107"/>
      <c r="AZ386" s="75"/>
      <c r="BA386" s="75"/>
      <c r="BB386" s="75"/>
      <c r="BC386" s="107"/>
      <c r="BD386" s="107"/>
      <c r="BE386" s="107"/>
      <c r="BF386" s="107"/>
      <c r="BG386" s="107"/>
      <c r="BH386" s="107"/>
      <c r="BI386" s="107"/>
      <c r="BJ386" s="107"/>
      <c r="BK386" s="107"/>
      <c r="BL386" s="107"/>
      <c r="BM386" s="107"/>
      <c r="BN386" s="107"/>
      <c r="BO386" s="107"/>
      <c r="BP386" s="107"/>
      <c r="BQ386" s="107"/>
      <c r="BR386" s="107"/>
      <c r="BS386" s="107"/>
      <c r="BT386" s="107"/>
      <c r="BU386" s="107"/>
      <c r="BV386" s="107"/>
      <c r="BW386" s="107"/>
      <c r="BX386" s="75"/>
      <c r="BY386" s="75"/>
      <c r="BZ386" s="75"/>
      <c r="CA386" s="75"/>
      <c r="CB386" s="75"/>
      <c r="CC386" s="75"/>
      <c r="CD386" s="75"/>
      <c r="CE386" s="102"/>
      <c r="CF386" s="102"/>
      <c r="CG386" s="102"/>
      <c r="CH386" s="102"/>
      <c r="CI386" s="102"/>
      <c r="CJ386" s="102"/>
      <c r="CK386" s="102"/>
      <c r="CL386" s="102"/>
      <c r="CM386" s="102"/>
      <c r="CN386" s="102"/>
      <c r="CO386" s="102"/>
      <c r="CP386" s="102"/>
      <c r="CQ386" s="102"/>
      <c r="CR386" s="102"/>
      <c r="CS386" s="102"/>
      <c r="CT386" s="102"/>
      <c r="CU386" s="102"/>
      <c r="CV386" s="102"/>
      <c r="CW386" s="102"/>
      <c r="CX386" s="102"/>
      <c r="CY386" s="102"/>
      <c r="CZ386" s="102"/>
      <c r="DA386" s="102"/>
      <c r="DB386" s="102"/>
      <c r="DC386" s="102"/>
      <c r="DD386" s="102"/>
      <c r="DE386" s="102"/>
      <c r="DF386" s="102"/>
      <c r="DG386" s="102"/>
      <c r="DH386" s="102"/>
      <c r="DI386" s="102"/>
      <c r="DJ386" s="102"/>
      <c r="DK386" s="102"/>
      <c r="DL386" s="102"/>
      <c r="DM386" s="102"/>
      <c r="DN386" s="102"/>
      <c r="DO386" s="102"/>
      <c r="DP386" s="102"/>
    </row>
    <row r="387" spans="1:120" x14ac:dyDescent="0.25">
      <c r="A387" s="4"/>
      <c r="F387"/>
      <c r="G387" s="1"/>
      <c r="H387" s="1"/>
      <c r="I387" s="1"/>
      <c r="J387" s="68" t="str">
        <f t="shared" ref="J387:J414" si="147">IF(A387="","",IF(F387="H",3,IF(F387="D",1,0)))</f>
        <v/>
      </c>
      <c r="K387" s="68" t="str">
        <f t="shared" ref="K387:K414" si="148">IF(A387="","",IF(F387="H",0,IF(F387="D",1,3)))</f>
        <v/>
      </c>
      <c r="L387" s="69" t="str">
        <f t="shared" ref="L387:L414" si="149">IF(A387="","",D387/I387)</f>
        <v/>
      </c>
      <c r="M387" s="69" t="str">
        <f t="shared" ref="M387:M414" si="150">IF(A387="","",E387/G387)</f>
        <v/>
      </c>
      <c r="N387" s="69" t="str">
        <f>IF(A387="","",Tabela1[[#This Row],[PTC]]*Tabela1[[#This Row],[ODDC]])</f>
        <v/>
      </c>
      <c r="O387" s="69" t="str">
        <f>IF(A387="","",Tabela1[[#This Row],[PTV]]*Tabela1[[#This Row],[ODDV]])</f>
        <v/>
      </c>
      <c r="P387" s="68" t="str">
        <f t="shared" ref="P387:P414" si="151">IF(A387="","",D387-E387)</f>
        <v/>
      </c>
      <c r="Q387" s="68" t="str">
        <f t="shared" ref="Q387:Q414" si="152">IF(A387="","",E387-D387)</f>
        <v/>
      </c>
      <c r="R387" s="68" t="str">
        <f t="shared" ref="R387:R414" si="153">IF(A387="","",IF(F387="H",G387-1,-1))</f>
        <v/>
      </c>
      <c r="S387" s="68" t="str">
        <f t="shared" ref="S387:S414" si="154">IF(A387="","",IF(F387="A",I387-1,-1))</f>
        <v/>
      </c>
      <c r="T387" s="68" t="str">
        <f>IF(A387="","",IF(F387="D",Tabela1[[#This Row],[ODDE]]-1,-1))</f>
        <v/>
      </c>
      <c r="U387" s="70" t="str">
        <f>IF(A387="","",IF(AND(Tabela1[[#This Row],[FTHG]]&gt;3,F387="H"),1,0))</f>
        <v/>
      </c>
      <c r="V387" s="70" t="str">
        <f>IF(A387="","",IF(AND(Tabela1[[#This Row],[FTAG]]&gt;3,F387="A"),1,0))</f>
        <v/>
      </c>
      <c r="W387" s="70" t="str">
        <f t="shared" ref="W387:W414" si="155">IF(A387="","",IF(D387+E387&gt;0,1,0))</f>
        <v/>
      </c>
      <c r="X387" s="70" t="str">
        <f t="shared" ref="X387:X414" si="156">IF(A387="","",IF(D387+E387&gt;1,1,0))</f>
        <v/>
      </c>
      <c r="Y387" s="71" t="str">
        <f t="shared" ref="Y387:Y414" si="157">IF(A387="","",IF(D387+E387&gt;2,1,0))</f>
        <v/>
      </c>
      <c r="Z387" s="70" t="str">
        <f t="shared" ref="Z387:Z414" si="158">IF(A387="","",IF(D387+E387&gt;3,1,0))</f>
        <v/>
      </c>
      <c r="AA387" s="70" t="str">
        <f t="shared" ref="AA387:AA414" si="159">IF(A387="","",IF(D387+E387&gt;4,1,0))</f>
        <v/>
      </c>
      <c r="AB387" s="70" t="str">
        <f t="shared" ref="AB387:AB414" si="160">IF(A387="","",IF(D387+E387&gt;5,1,0))</f>
        <v/>
      </c>
      <c r="AC387" s="71" t="str">
        <f t="shared" ref="AC387:AC414" si="161">IF(A387="","",IFERROR(IF(AND(D387&gt;0,E387&gt;0),1,0),0))</f>
        <v/>
      </c>
      <c r="AD387" s="72" t="str">
        <f t="shared" ref="AD387:AD414" si="162">IF(A387="","",UPPER(TEXT(A387,"MMM")))</f>
        <v/>
      </c>
      <c r="AE387" s="73" t="str">
        <f>IF(A387="","",COUNT($N$2:N387))</f>
        <v/>
      </c>
      <c r="AF387" s="74" t="str">
        <f t="shared" ref="AF387:AF414" si="163">IF(A387="","",IF(F387="H",1,0))</f>
        <v/>
      </c>
      <c r="AG387" s="74" t="str">
        <f t="shared" ref="AG387:AG414" si="164">IF(A387="","",IF(F387="D",1,0))</f>
        <v/>
      </c>
      <c r="AH387" s="74" t="str">
        <f t="shared" ref="AH387:AH414" si="165">IF(A387="","",IF(F387="A",1,0))</f>
        <v/>
      </c>
      <c r="AI387" s="74" t="str">
        <f t="shared" ref="AI387:AI414" si="166">IF(A387="","",IF(G387&lt;1.21,"1,01-1,2",IF(G387&lt;1.41,"1,21-1,4",IF(G387&lt;1.71,"1,41-1,7",IF(G387&lt;2.01,"1,71-2,0",IF(G387&lt;2.41,"2,01-2,4",IF(G387&lt;3.01,"2,41-3,0",IF(G387&lt;4.01,"3,01-4.0",IF(G387&lt;5.51,"4,01-5,5",IF(G387&lt;9.01,"5,51-9,0",IF(G387&lt;16.01,"9,01-16","Z16-99")))))))))))</f>
        <v/>
      </c>
      <c r="AJ387" s="74" t="str">
        <f t="shared" ref="AJ387:AJ414" si="167">IF(A387="","",IF(I387&lt;1.21,"1,01-1,2",IF(I387&lt;1.41,"1,21-1,4",IF(I387&lt;1.71,"1,41-1,7",IF(I387&lt;2.01,"1,71-2,0",IF(I387&lt;2.41,"2,01-2,4",IF(I387&lt;3.01,"2,41-3,0",IF(I387&lt;4.01,"3,01-4.0",IF(I387&lt;5.51,"4,01-5,5",IF(I387&lt;9.01,"5,51-9,0",IF(I387&lt;16.01,"9,01-16","Z16-99")))))))))))</f>
        <v/>
      </c>
      <c r="AK387" s="74" t="str">
        <f>IF(A387="","",1/Tabela1[[#This Row],[ODDC]])</f>
        <v/>
      </c>
      <c r="AL387" s="74" t="str">
        <f>IF(A387="","",1/Tabela1[[#This Row],[ODDE]])</f>
        <v/>
      </c>
      <c r="AM387" s="74" t="str">
        <f>IF(A387="","",1/Tabela1[[#This Row],[ODDV]])</f>
        <v/>
      </c>
      <c r="AN387" s="74" t="str">
        <f>IF(A387="","",1-(Tabela1[[#This Row],[p(H)]]+Tabela1[[#This Row],[p(D)]]+Tabela1[[#This Row],[p(A)]]))</f>
        <v/>
      </c>
      <c r="AO387" s="74" t="str">
        <f>IF(A387="","",IFERROR(Tabela1[[#This Row],[p(H)]]/Tabela1[[#This Row],[FTHG]],1))</f>
        <v/>
      </c>
      <c r="AP387" s="74" t="str">
        <f>IF(A387="","",IFERROR(Tabela1[[#This Row],[p(A)]]/Tabela1[[#This Row],[FTAG]],1))</f>
        <v/>
      </c>
      <c r="AQ387" s="107"/>
      <c r="AR387" s="107"/>
      <c r="AS387" s="107"/>
      <c r="AT387" s="107"/>
      <c r="AU387" s="107"/>
      <c r="AV387" s="107"/>
      <c r="AW387" s="107"/>
      <c r="AX387" s="107"/>
      <c r="AY387" s="107"/>
      <c r="AZ387" s="75"/>
      <c r="BA387" s="75"/>
      <c r="BB387" s="75"/>
      <c r="BC387" s="107"/>
      <c r="BD387" s="107"/>
      <c r="BE387" s="107"/>
      <c r="BF387" s="107"/>
      <c r="BG387" s="107"/>
      <c r="BH387" s="107"/>
      <c r="BI387" s="107"/>
      <c r="BJ387" s="107"/>
      <c r="BK387" s="107"/>
      <c r="BL387" s="107"/>
      <c r="BM387" s="107"/>
      <c r="BN387" s="107"/>
      <c r="BO387" s="107"/>
      <c r="BP387" s="107"/>
      <c r="BQ387" s="107"/>
      <c r="BR387" s="107"/>
      <c r="BS387" s="107"/>
      <c r="BT387" s="107"/>
      <c r="BU387" s="107"/>
      <c r="BV387" s="107"/>
      <c r="BW387" s="107"/>
      <c r="BX387" s="75"/>
      <c r="BY387" s="75"/>
      <c r="BZ387" s="75"/>
      <c r="CA387" s="75"/>
      <c r="CB387" s="75"/>
      <c r="CC387" s="75"/>
      <c r="CD387" s="75"/>
      <c r="CE387" s="102"/>
      <c r="CF387" s="102"/>
      <c r="CG387" s="102"/>
      <c r="CH387" s="102"/>
      <c r="CI387" s="102"/>
      <c r="CJ387" s="102"/>
      <c r="CK387" s="102"/>
      <c r="CL387" s="102"/>
      <c r="CM387" s="102"/>
      <c r="CN387" s="102"/>
      <c r="CO387" s="102"/>
      <c r="CP387" s="102"/>
      <c r="CQ387" s="102"/>
      <c r="CR387" s="102"/>
      <c r="CS387" s="102"/>
      <c r="CT387" s="102"/>
      <c r="CU387" s="102"/>
      <c r="CV387" s="102"/>
      <c r="CW387" s="102"/>
      <c r="CX387" s="102"/>
      <c r="CY387" s="102"/>
      <c r="CZ387" s="102"/>
      <c r="DA387" s="102"/>
      <c r="DB387" s="102"/>
      <c r="DC387" s="102"/>
      <c r="DD387" s="102"/>
      <c r="DE387" s="102"/>
      <c r="DF387" s="102"/>
      <c r="DG387" s="102"/>
      <c r="DH387" s="102"/>
      <c r="DI387" s="102"/>
      <c r="DJ387" s="102"/>
      <c r="DK387" s="102"/>
      <c r="DL387" s="102"/>
      <c r="DM387" s="102"/>
      <c r="DN387" s="102"/>
      <c r="DO387" s="102"/>
      <c r="DP387" s="102"/>
    </row>
    <row r="388" spans="1:120" x14ac:dyDescent="0.25">
      <c r="A388" s="4"/>
      <c r="F388"/>
      <c r="G388" s="1"/>
      <c r="H388" s="1"/>
      <c r="I388" s="1"/>
      <c r="J388" s="68" t="str">
        <f t="shared" si="147"/>
        <v/>
      </c>
      <c r="K388" s="68" t="str">
        <f t="shared" si="148"/>
        <v/>
      </c>
      <c r="L388" s="69" t="str">
        <f t="shared" si="149"/>
        <v/>
      </c>
      <c r="M388" s="69" t="str">
        <f t="shared" si="150"/>
        <v/>
      </c>
      <c r="N388" s="69" t="str">
        <f>IF(A388="","",Tabela1[[#This Row],[PTC]]*Tabela1[[#This Row],[ODDC]])</f>
        <v/>
      </c>
      <c r="O388" s="69" t="str">
        <f>IF(A388="","",Tabela1[[#This Row],[PTV]]*Tabela1[[#This Row],[ODDV]])</f>
        <v/>
      </c>
      <c r="P388" s="68" t="str">
        <f t="shared" si="151"/>
        <v/>
      </c>
      <c r="Q388" s="68" t="str">
        <f t="shared" si="152"/>
        <v/>
      </c>
      <c r="R388" s="68" t="str">
        <f t="shared" si="153"/>
        <v/>
      </c>
      <c r="S388" s="68" t="str">
        <f t="shared" si="154"/>
        <v/>
      </c>
      <c r="T388" s="68" t="str">
        <f>IF(A388="","",IF(F388="D",Tabela1[[#This Row],[ODDE]]-1,-1))</f>
        <v/>
      </c>
      <c r="U388" s="70" t="str">
        <f>IF(A388="","",IF(AND(Tabela1[[#This Row],[FTHG]]&gt;3,F388="H"),1,0))</f>
        <v/>
      </c>
      <c r="V388" s="70" t="str">
        <f>IF(A388="","",IF(AND(Tabela1[[#This Row],[FTAG]]&gt;3,F388="A"),1,0))</f>
        <v/>
      </c>
      <c r="W388" s="70" t="str">
        <f t="shared" si="155"/>
        <v/>
      </c>
      <c r="X388" s="70" t="str">
        <f t="shared" si="156"/>
        <v/>
      </c>
      <c r="Y388" s="71" t="str">
        <f t="shared" si="157"/>
        <v/>
      </c>
      <c r="Z388" s="70" t="str">
        <f t="shared" si="158"/>
        <v/>
      </c>
      <c r="AA388" s="70" t="str">
        <f t="shared" si="159"/>
        <v/>
      </c>
      <c r="AB388" s="70" t="str">
        <f t="shared" si="160"/>
        <v/>
      </c>
      <c r="AC388" s="71" t="str">
        <f t="shared" si="161"/>
        <v/>
      </c>
      <c r="AD388" s="72" t="str">
        <f t="shared" si="162"/>
        <v/>
      </c>
      <c r="AE388" s="73" t="str">
        <f>IF(A388="","",COUNT($N$2:N388))</f>
        <v/>
      </c>
      <c r="AF388" s="74" t="str">
        <f t="shared" si="163"/>
        <v/>
      </c>
      <c r="AG388" s="74" t="str">
        <f t="shared" si="164"/>
        <v/>
      </c>
      <c r="AH388" s="74" t="str">
        <f t="shared" si="165"/>
        <v/>
      </c>
      <c r="AI388" s="74" t="str">
        <f t="shared" si="166"/>
        <v/>
      </c>
      <c r="AJ388" s="74" t="str">
        <f t="shared" si="167"/>
        <v/>
      </c>
      <c r="AK388" s="74" t="str">
        <f>IF(A388="","",1/Tabela1[[#This Row],[ODDC]])</f>
        <v/>
      </c>
      <c r="AL388" s="74" t="str">
        <f>IF(A388="","",1/Tabela1[[#This Row],[ODDE]])</f>
        <v/>
      </c>
      <c r="AM388" s="74" t="str">
        <f>IF(A388="","",1/Tabela1[[#This Row],[ODDV]])</f>
        <v/>
      </c>
      <c r="AN388" s="74" t="str">
        <f>IF(A388="","",1-(Tabela1[[#This Row],[p(H)]]+Tabela1[[#This Row],[p(D)]]+Tabela1[[#This Row],[p(A)]]))</f>
        <v/>
      </c>
      <c r="AO388" s="74" t="str">
        <f>IF(A388="","",IFERROR(Tabela1[[#This Row],[p(H)]]/Tabela1[[#This Row],[FTHG]],1))</f>
        <v/>
      </c>
      <c r="AP388" s="74" t="str">
        <f>IF(A388="","",IFERROR(Tabela1[[#This Row],[p(A)]]/Tabela1[[#This Row],[FTAG]],1))</f>
        <v/>
      </c>
      <c r="AQ388" s="107"/>
      <c r="AR388" s="107"/>
      <c r="AS388" s="107"/>
      <c r="AT388" s="107"/>
      <c r="AU388" s="107"/>
      <c r="AV388" s="107"/>
      <c r="AW388" s="107"/>
      <c r="AX388" s="107"/>
      <c r="AY388" s="107"/>
      <c r="AZ388" s="75"/>
      <c r="BA388" s="75"/>
      <c r="BB388" s="75"/>
      <c r="BC388" s="107"/>
      <c r="BD388" s="107"/>
      <c r="BE388" s="107"/>
      <c r="BF388" s="107"/>
      <c r="BG388" s="107"/>
      <c r="BH388" s="107"/>
      <c r="BI388" s="107"/>
      <c r="BJ388" s="107"/>
      <c r="BK388" s="107"/>
      <c r="BL388" s="107"/>
      <c r="BM388" s="107"/>
      <c r="BN388" s="107"/>
      <c r="BO388" s="107"/>
      <c r="BP388" s="107"/>
      <c r="BQ388" s="107"/>
      <c r="BR388" s="107"/>
      <c r="BS388" s="107"/>
      <c r="BT388" s="107"/>
      <c r="BU388" s="107"/>
      <c r="BV388" s="107"/>
      <c r="BW388" s="107"/>
      <c r="BX388" s="75"/>
      <c r="BY388" s="75"/>
      <c r="BZ388" s="75"/>
      <c r="CA388" s="75"/>
      <c r="CB388" s="75"/>
      <c r="CC388" s="75"/>
      <c r="CD388" s="75"/>
      <c r="CE388" s="102"/>
      <c r="CF388" s="102"/>
      <c r="CG388" s="102"/>
      <c r="CH388" s="102"/>
      <c r="CI388" s="102"/>
      <c r="CJ388" s="102"/>
      <c r="CK388" s="102"/>
      <c r="CL388" s="102"/>
      <c r="CM388" s="102"/>
      <c r="CN388" s="102"/>
      <c r="CO388" s="102"/>
      <c r="CP388" s="102"/>
      <c r="CQ388" s="102"/>
      <c r="CR388" s="102"/>
      <c r="CS388" s="102"/>
      <c r="CT388" s="102"/>
      <c r="CU388" s="102"/>
      <c r="CV388" s="102"/>
      <c r="CW388" s="102"/>
      <c r="CX388" s="102"/>
      <c r="CY388" s="102"/>
      <c r="CZ388" s="102"/>
      <c r="DA388" s="102"/>
      <c r="DB388" s="102"/>
      <c r="DC388" s="102"/>
      <c r="DD388" s="102"/>
      <c r="DE388" s="102"/>
      <c r="DF388" s="102"/>
      <c r="DG388" s="102"/>
      <c r="DH388" s="102"/>
      <c r="DI388" s="102"/>
      <c r="DJ388" s="102"/>
      <c r="DK388" s="102"/>
      <c r="DL388" s="102"/>
      <c r="DM388" s="102"/>
      <c r="DN388" s="102"/>
      <c r="DO388" s="102"/>
      <c r="DP388" s="102"/>
    </row>
    <row r="389" spans="1:120" x14ac:dyDescent="0.25">
      <c r="A389" s="4"/>
      <c r="F389"/>
      <c r="G389" s="1"/>
      <c r="H389" s="1"/>
      <c r="I389" s="1"/>
      <c r="J389" s="68" t="str">
        <f t="shared" si="147"/>
        <v/>
      </c>
      <c r="K389" s="68" t="str">
        <f t="shared" si="148"/>
        <v/>
      </c>
      <c r="L389" s="69" t="str">
        <f t="shared" si="149"/>
        <v/>
      </c>
      <c r="M389" s="69" t="str">
        <f t="shared" si="150"/>
        <v/>
      </c>
      <c r="N389" s="69" t="str">
        <f>IF(A389="","",Tabela1[[#This Row],[PTC]]*Tabela1[[#This Row],[ODDC]])</f>
        <v/>
      </c>
      <c r="O389" s="69" t="str">
        <f>IF(A389="","",Tabela1[[#This Row],[PTV]]*Tabela1[[#This Row],[ODDV]])</f>
        <v/>
      </c>
      <c r="P389" s="68" t="str">
        <f t="shared" si="151"/>
        <v/>
      </c>
      <c r="Q389" s="68" t="str">
        <f t="shared" si="152"/>
        <v/>
      </c>
      <c r="R389" s="68" t="str">
        <f t="shared" si="153"/>
        <v/>
      </c>
      <c r="S389" s="68" t="str">
        <f t="shared" si="154"/>
        <v/>
      </c>
      <c r="T389" s="68" t="str">
        <f>IF(A389="","",IF(F389="D",Tabela1[[#This Row],[ODDE]]-1,-1))</f>
        <v/>
      </c>
      <c r="U389" s="70" t="str">
        <f>IF(A389="","",IF(AND(Tabela1[[#This Row],[FTHG]]&gt;3,F389="H"),1,0))</f>
        <v/>
      </c>
      <c r="V389" s="70" t="str">
        <f>IF(A389="","",IF(AND(Tabela1[[#This Row],[FTAG]]&gt;3,F389="A"),1,0))</f>
        <v/>
      </c>
      <c r="W389" s="70" t="str">
        <f t="shared" si="155"/>
        <v/>
      </c>
      <c r="X389" s="70" t="str">
        <f t="shared" si="156"/>
        <v/>
      </c>
      <c r="Y389" s="71" t="str">
        <f t="shared" si="157"/>
        <v/>
      </c>
      <c r="Z389" s="70" t="str">
        <f t="shared" si="158"/>
        <v/>
      </c>
      <c r="AA389" s="70" t="str">
        <f t="shared" si="159"/>
        <v/>
      </c>
      <c r="AB389" s="70" t="str">
        <f t="shared" si="160"/>
        <v/>
      </c>
      <c r="AC389" s="71" t="str">
        <f t="shared" si="161"/>
        <v/>
      </c>
      <c r="AD389" s="72" t="str">
        <f t="shared" si="162"/>
        <v/>
      </c>
      <c r="AE389" s="73" t="str">
        <f>IF(A389="","",COUNT($N$2:N389))</f>
        <v/>
      </c>
      <c r="AF389" s="74" t="str">
        <f t="shared" si="163"/>
        <v/>
      </c>
      <c r="AG389" s="74" t="str">
        <f t="shared" si="164"/>
        <v/>
      </c>
      <c r="AH389" s="74" t="str">
        <f t="shared" si="165"/>
        <v/>
      </c>
      <c r="AI389" s="74" t="str">
        <f t="shared" si="166"/>
        <v/>
      </c>
      <c r="AJ389" s="74" t="str">
        <f t="shared" si="167"/>
        <v/>
      </c>
      <c r="AK389" s="74" t="str">
        <f>IF(A389="","",1/Tabela1[[#This Row],[ODDC]])</f>
        <v/>
      </c>
      <c r="AL389" s="74" t="str">
        <f>IF(A389="","",1/Tabela1[[#This Row],[ODDE]])</f>
        <v/>
      </c>
      <c r="AM389" s="74" t="str">
        <f>IF(A389="","",1/Tabela1[[#This Row],[ODDV]])</f>
        <v/>
      </c>
      <c r="AN389" s="74" t="str">
        <f>IF(A389="","",1-(Tabela1[[#This Row],[p(H)]]+Tabela1[[#This Row],[p(D)]]+Tabela1[[#This Row],[p(A)]]))</f>
        <v/>
      </c>
      <c r="AO389" s="74" t="str">
        <f>IF(A389="","",IFERROR(Tabela1[[#This Row],[p(H)]]/Tabela1[[#This Row],[FTHG]],1))</f>
        <v/>
      </c>
      <c r="AP389" s="74" t="str">
        <f>IF(A389="","",IFERROR(Tabela1[[#This Row],[p(A)]]/Tabela1[[#This Row],[FTAG]],1))</f>
        <v/>
      </c>
      <c r="AQ389" s="107"/>
      <c r="AR389" s="107"/>
      <c r="AS389" s="107"/>
      <c r="AT389" s="107"/>
      <c r="AU389" s="107"/>
      <c r="AV389" s="107"/>
      <c r="AW389" s="107"/>
      <c r="AX389" s="107"/>
      <c r="AY389" s="107"/>
      <c r="AZ389" s="75"/>
      <c r="BA389" s="75"/>
      <c r="BB389" s="75"/>
      <c r="BC389" s="107"/>
      <c r="BD389" s="107"/>
      <c r="BE389" s="107"/>
      <c r="BF389" s="107"/>
      <c r="BG389" s="107"/>
      <c r="BH389" s="107"/>
      <c r="BI389" s="107"/>
      <c r="BJ389" s="107"/>
      <c r="BK389" s="107"/>
      <c r="BL389" s="107"/>
      <c r="BM389" s="107"/>
      <c r="BN389" s="107"/>
      <c r="BO389" s="107"/>
      <c r="BP389" s="107"/>
      <c r="BQ389" s="107"/>
      <c r="BR389" s="107"/>
      <c r="BS389" s="107"/>
      <c r="BT389" s="107"/>
      <c r="BU389" s="107"/>
      <c r="BV389" s="107"/>
      <c r="BW389" s="107"/>
      <c r="BX389" s="75"/>
      <c r="BY389" s="75"/>
      <c r="BZ389" s="75"/>
      <c r="CA389" s="75"/>
      <c r="CB389" s="75"/>
      <c r="CC389" s="75"/>
      <c r="CD389" s="75"/>
      <c r="CE389" s="102"/>
      <c r="CF389" s="102"/>
      <c r="CG389" s="102"/>
      <c r="CH389" s="102"/>
      <c r="CI389" s="102"/>
      <c r="CJ389" s="102"/>
      <c r="CK389" s="102"/>
      <c r="CL389" s="102"/>
      <c r="CM389" s="102"/>
      <c r="CN389" s="102"/>
      <c r="CO389" s="102"/>
      <c r="CP389" s="102"/>
      <c r="CQ389" s="102"/>
      <c r="CR389" s="102"/>
      <c r="CS389" s="102"/>
      <c r="CT389" s="102"/>
      <c r="CU389" s="102"/>
      <c r="CV389" s="102"/>
      <c r="CW389" s="102"/>
      <c r="CX389" s="102"/>
      <c r="CY389" s="102"/>
      <c r="CZ389" s="102"/>
      <c r="DA389" s="102"/>
      <c r="DB389" s="102"/>
      <c r="DC389" s="102"/>
      <c r="DD389" s="102"/>
      <c r="DE389" s="102"/>
      <c r="DF389" s="102"/>
      <c r="DG389" s="102"/>
      <c r="DH389" s="102"/>
      <c r="DI389" s="102"/>
      <c r="DJ389" s="102"/>
      <c r="DK389" s="102"/>
      <c r="DL389" s="102"/>
      <c r="DM389" s="102"/>
      <c r="DN389" s="102"/>
      <c r="DO389" s="102"/>
      <c r="DP389" s="102"/>
    </row>
    <row r="390" spans="1:120" x14ac:dyDescent="0.25">
      <c r="A390" s="4"/>
      <c r="F390"/>
      <c r="G390" s="1"/>
      <c r="H390" s="1"/>
      <c r="I390" s="1"/>
      <c r="J390" s="68" t="str">
        <f t="shared" si="147"/>
        <v/>
      </c>
      <c r="K390" s="68" t="str">
        <f t="shared" si="148"/>
        <v/>
      </c>
      <c r="L390" s="69" t="str">
        <f t="shared" si="149"/>
        <v/>
      </c>
      <c r="M390" s="69" t="str">
        <f t="shared" si="150"/>
        <v/>
      </c>
      <c r="N390" s="69" t="str">
        <f>IF(A390="","",Tabela1[[#This Row],[PTC]]*Tabela1[[#This Row],[ODDC]])</f>
        <v/>
      </c>
      <c r="O390" s="69" t="str">
        <f>IF(A390="","",Tabela1[[#This Row],[PTV]]*Tabela1[[#This Row],[ODDV]])</f>
        <v/>
      </c>
      <c r="P390" s="68" t="str">
        <f t="shared" si="151"/>
        <v/>
      </c>
      <c r="Q390" s="68" t="str">
        <f t="shared" si="152"/>
        <v/>
      </c>
      <c r="R390" s="68" t="str">
        <f t="shared" si="153"/>
        <v/>
      </c>
      <c r="S390" s="68" t="str">
        <f t="shared" si="154"/>
        <v/>
      </c>
      <c r="T390" s="68" t="str">
        <f>IF(A390="","",IF(F390="D",Tabela1[[#This Row],[ODDE]]-1,-1))</f>
        <v/>
      </c>
      <c r="U390" s="70" t="str">
        <f>IF(A390="","",IF(AND(Tabela1[[#This Row],[FTHG]]&gt;3,F390="H"),1,0))</f>
        <v/>
      </c>
      <c r="V390" s="70" t="str">
        <f>IF(A390="","",IF(AND(Tabela1[[#This Row],[FTAG]]&gt;3,F390="A"),1,0))</f>
        <v/>
      </c>
      <c r="W390" s="70" t="str">
        <f t="shared" si="155"/>
        <v/>
      </c>
      <c r="X390" s="70" t="str">
        <f t="shared" si="156"/>
        <v/>
      </c>
      <c r="Y390" s="71" t="str">
        <f t="shared" si="157"/>
        <v/>
      </c>
      <c r="Z390" s="70" t="str">
        <f t="shared" si="158"/>
        <v/>
      </c>
      <c r="AA390" s="70" t="str">
        <f t="shared" si="159"/>
        <v/>
      </c>
      <c r="AB390" s="70" t="str">
        <f t="shared" si="160"/>
        <v/>
      </c>
      <c r="AC390" s="71" t="str">
        <f t="shared" si="161"/>
        <v/>
      </c>
      <c r="AD390" s="72" t="str">
        <f t="shared" si="162"/>
        <v/>
      </c>
      <c r="AE390" s="73" t="str">
        <f>IF(A390="","",COUNT($N$2:N390))</f>
        <v/>
      </c>
      <c r="AF390" s="74" t="str">
        <f t="shared" si="163"/>
        <v/>
      </c>
      <c r="AG390" s="74" t="str">
        <f t="shared" si="164"/>
        <v/>
      </c>
      <c r="AH390" s="74" t="str">
        <f t="shared" si="165"/>
        <v/>
      </c>
      <c r="AI390" s="74" t="str">
        <f t="shared" si="166"/>
        <v/>
      </c>
      <c r="AJ390" s="74" t="str">
        <f t="shared" si="167"/>
        <v/>
      </c>
      <c r="AK390" s="74" t="str">
        <f>IF(A390="","",1/Tabela1[[#This Row],[ODDC]])</f>
        <v/>
      </c>
      <c r="AL390" s="74" t="str">
        <f>IF(A390="","",1/Tabela1[[#This Row],[ODDE]])</f>
        <v/>
      </c>
      <c r="AM390" s="74" t="str">
        <f>IF(A390="","",1/Tabela1[[#This Row],[ODDV]])</f>
        <v/>
      </c>
      <c r="AN390" s="74" t="str">
        <f>IF(A390="","",1-(Tabela1[[#This Row],[p(H)]]+Tabela1[[#This Row],[p(D)]]+Tabela1[[#This Row],[p(A)]]))</f>
        <v/>
      </c>
      <c r="AO390" s="74" t="str">
        <f>IF(A390="","",IFERROR(Tabela1[[#This Row],[p(H)]]/Tabela1[[#This Row],[FTHG]],1))</f>
        <v/>
      </c>
      <c r="AP390" s="74" t="str">
        <f>IF(A390="","",IFERROR(Tabela1[[#This Row],[p(A)]]/Tabela1[[#This Row],[FTAG]],1))</f>
        <v/>
      </c>
      <c r="AQ390" s="107"/>
      <c r="AR390" s="107"/>
      <c r="AS390" s="107"/>
      <c r="AT390" s="107"/>
      <c r="AU390" s="107"/>
      <c r="AV390" s="107"/>
      <c r="AW390" s="107"/>
      <c r="AX390" s="107"/>
      <c r="AY390" s="107"/>
      <c r="AZ390" s="75"/>
      <c r="BA390" s="75"/>
      <c r="BB390" s="75"/>
      <c r="BC390" s="107"/>
      <c r="BD390" s="107"/>
      <c r="BE390" s="107"/>
      <c r="BF390" s="107"/>
      <c r="BG390" s="107"/>
      <c r="BH390" s="107"/>
      <c r="BI390" s="107"/>
      <c r="BJ390" s="107"/>
      <c r="BK390" s="107"/>
      <c r="BL390" s="107"/>
      <c r="BM390" s="107"/>
      <c r="BN390" s="107"/>
      <c r="BO390" s="107"/>
      <c r="BP390" s="107"/>
      <c r="BQ390" s="107"/>
      <c r="BR390" s="107"/>
      <c r="BS390" s="107"/>
      <c r="BT390" s="107"/>
      <c r="BU390" s="107"/>
      <c r="BV390" s="107"/>
      <c r="BW390" s="107"/>
      <c r="BX390" s="75"/>
      <c r="BY390" s="75"/>
      <c r="BZ390" s="75"/>
      <c r="CA390" s="75"/>
      <c r="CB390" s="75"/>
      <c r="CC390" s="75"/>
      <c r="CD390" s="75"/>
      <c r="CE390" s="102"/>
      <c r="CF390" s="102"/>
      <c r="CG390" s="102"/>
      <c r="CH390" s="102"/>
      <c r="CI390" s="102"/>
      <c r="CJ390" s="102"/>
      <c r="CK390" s="102"/>
      <c r="CL390" s="102"/>
      <c r="CM390" s="102"/>
      <c r="CN390" s="102"/>
      <c r="CO390" s="102"/>
      <c r="CP390" s="102"/>
      <c r="CQ390" s="102"/>
      <c r="CR390" s="102"/>
      <c r="CS390" s="102"/>
      <c r="CT390" s="102"/>
      <c r="CU390" s="102"/>
      <c r="CV390" s="102"/>
      <c r="CW390" s="102"/>
      <c r="CX390" s="102"/>
      <c r="CY390" s="102"/>
      <c r="CZ390" s="102"/>
      <c r="DA390" s="102"/>
      <c r="DB390" s="102"/>
      <c r="DC390" s="102"/>
      <c r="DD390" s="102"/>
      <c r="DE390" s="102"/>
      <c r="DF390" s="102"/>
      <c r="DG390" s="102"/>
      <c r="DH390" s="102"/>
      <c r="DI390" s="102"/>
      <c r="DJ390" s="102"/>
      <c r="DK390" s="102"/>
      <c r="DL390" s="102"/>
      <c r="DM390" s="102"/>
      <c r="DN390" s="102"/>
      <c r="DO390" s="102"/>
      <c r="DP390" s="102"/>
    </row>
    <row r="391" spans="1:120" x14ac:dyDescent="0.25">
      <c r="A391" s="4"/>
      <c r="F391"/>
      <c r="G391" s="1"/>
      <c r="H391" s="1"/>
      <c r="I391" s="1"/>
      <c r="J391" s="68" t="str">
        <f t="shared" si="147"/>
        <v/>
      </c>
      <c r="K391" s="68" t="str">
        <f t="shared" si="148"/>
        <v/>
      </c>
      <c r="L391" s="69" t="str">
        <f t="shared" si="149"/>
        <v/>
      </c>
      <c r="M391" s="69" t="str">
        <f t="shared" si="150"/>
        <v/>
      </c>
      <c r="N391" s="69" t="str">
        <f>IF(A391="","",Tabela1[[#This Row],[PTC]]*Tabela1[[#This Row],[ODDC]])</f>
        <v/>
      </c>
      <c r="O391" s="69" t="str">
        <f>IF(A391="","",Tabela1[[#This Row],[PTV]]*Tabela1[[#This Row],[ODDV]])</f>
        <v/>
      </c>
      <c r="P391" s="68" t="str">
        <f t="shared" si="151"/>
        <v/>
      </c>
      <c r="Q391" s="68" t="str">
        <f t="shared" si="152"/>
        <v/>
      </c>
      <c r="R391" s="68" t="str">
        <f t="shared" si="153"/>
        <v/>
      </c>
      <c r="S391" s="68" t="str">
        <f t="shared" si="154"/>
        <v/>
      </c>
      <c r="T391" s="68" t="str">
        <f>IF(A391="","",IF(F391="D",Tabela1[[#This Row],[ODDE]]-1,-1))</f>
        <v/>
      </c>
      <c r="U391" s="70" t="str">
        <f>IF(A391="","",IF(AND(Tabela1[[#This Row],[FTHG]]&gt;3,F391="H"),1,0))</f>
        <v/>
      </c>
      <c r="V391" s="70" t="str">
        <f>IF(A391="","",IF(AND(Tabela1[[#This Row],[FTAG]]&gt;3,F391="A"),1,0))</f>
        <v/>
      </c>
      <c r="W391" s="70" t="str">
        <f t="shared" si="155"/>
        <v/>
      </c>
      <c r="X391" s="70" t="str">
        <f t="shared" si="156"/>
        <v/>
      </c>
      <c r="Y391" s="71" t="str">
        <f t="shared" si="157"/>
        <v/>
      </c>
      <c r="Z391" s="70" t="str">
        <f t="shared" si="158"/>
        <v/>
      </c>
      <c r="AA391" s="70" t="str">
        <f t="shared" si="159"/>
        <v/>
      </c>
      <c r="AB391" s="70" t="str">
        <f t="shared" si="160"/>
        <v/>
      </c>
      <c r="AC391" s="71" t="str">
        <f t="shared" si="161"/>
        <v/>
      </c>
      <c r="AD391" s="72" t="str">
        <f t="shared" si="162"/>
        <v/>
      </c>
      <c r="AE391" s="73" t="str">
        <f>IF(A391="","",COUNT($N$2:N391))</f>
        <v/>
      </c>
      <c r="AF391" s="74" t="str">
        <f t="shared" si="163"/>
        <v/>
      </c>
      <c r="AG391" s="74" t="str">
        <f t="shared" si="164"/>
        <v/>
      </c>
      <c r="AH391" s="74" t="str">
        <f t="shared" si="165"/>
        <v/>
      </c>
      <c r="AI391" s="74" t="str">
        <f t="shared" si="166"/>
        <v/>
      </c>
      <c r="AJ391" s="74" t="str">
        <f t="shared" si="167"/>
        <v/>
      </c>
      <c r="AK391" s="74" t="str">
        <f>IF(A391="","",1/Tabela1[[#This Row],[ODDC]])</f>
        <v/>
      </c>
      <c r="AL391" s="74" t="str">
        <f>IF(A391="","",1/Tabela1[[#This Row],[ODDE]])</f>
        <v/>
      </c>
      <c r="AM391" s="74" t="str">
        <f>IF(A391="","",1/Tabela1[[#This Row],[ODDV]])</f>
        <v/>
      </c>
      <c r="AN391" s="74" t="str">
        <f>IF(A391="","",1-(Tabela1[[#This Row],[p(H)]]+Tabela1[[#This Row],[p(D)]]+Tabela1[[#This Row],[p(A)]]))</f>
        <v/>
      </c>
      <c r="AO391" s="74" t="str">
        <f>IF(A391="","",IFERROR(Tabela1[[#This Row],[p(H)]]/Tabela1[[#This Row],[FTHG]],1))</f>
        <v/>
      </c>
      <c r="AP391" s="74" t="str">
        <f>IF(A391="","",IFERROR(Tabela1[[#This Row],[p(A)]]/Tabela1[[#This Row],[FTAG]],1))</f>
        <v/>
      </c>
      <c r="AQ391" s="107"/>
      <c r="AR391" s="107"/>
      <c r="AS391" s="107"/>
      <c r="AT391" s="107"/>
      <c r="AU391" s="107"/>
      <c r="AV391" s="107"/>
      <c r="AW391" s="107"/>
      <c r="AX391" s="107"/>
      <c r="AY391" s="107"/>
      <c r="AZ391" s="75"/>
      <c r="BA391" s="75"/>
      <c r="BB391" s="75"/>
      <c r="BC391" s="107"/>
      <c r="BD391" s="107"/>
      <c r="BE391" s="107"/>
      <c r="BF391" s="107"/>
      <c r="BG391" s="107"/>
      <c r="BH391" s="107"/>
      <c r="BI391" s="107"/>
      <c r="BJ391" s="107"/>
      <c r="BK391" s="107"/>
      <c r="BL391" s="107"/>
      <c r="BM391" s="107"/>
      <c r="BN391" s="107"/>
      <c r="BO391" s="107"/>
      <c r="BP391" s="107"/>
      <c r="BQ391" s="107"/>
      <c r="BR391" s="107"/>
      <c r="BS391" s="107"/>
      <c r="BT391" s="107"/>
      <c r="BU391" s="107"/>
      <c r="BV391" s="107"/>
      <c r="BW391" s="107"/>
      <c r="BX391" s="75"/>
      <c r="BY391" s="75"/>
      <c r="BZ391" s="75"/>
      <c r="CA391" s="75"/>
      <c r="CB391" s="75"/>
      <c r="CC391" s="75"/>
      <c r="CD391" s="75"/>
      <c r="CE391" s="102"/>
      <c r="CF391" s="102"/>
      <c r="CG391" s="102"/>
      <c r="CH391" s="102"/>
      <c r="CI391" s="102"/>
      <c r="CJ391" s="102"/>
      <c r="CK391" s="102"/>
      <c r="CL391" s="102"/>
      <c r="CM391" s="102"/>
      <c r="CN391" s="102"/>
      <c r="CO391" s="102"/>
      <c r="CP391" s="102"/>
      <c r="CQ391" s="102"/>
      <c r="CR391" s="102"/>
      <c r="CS391" s="102"/>
      <c r="CT391" s="102"/>
      <c r="CU391" s="102"/>
      <c r="CV391" s="102"/>
      <c r="CW391" s="102"/>
      <c r="CX391" s="102"/>
      <c r="CY391" s="102"/>
      <c r="CZ391" s="102"/>
      <c r="DA391" s="102"/>
      <c r="DB391" s="102"/>
      <c r="DC391" s="102"/>
      <c r="DD391" s="102"/>
      <c r="DE391" s="102"/>
      <c r="DF391" s="102"/>
      <c r="DG391" s="102"/>
      <c r="DH391" s="102"/>
      <c r="DI391" s="102"/>
      <c r="DJ391" s="102"/>
      <c r="DK391" s="102"/>
      <c r="DL391" s="102"/>
      <c r="DM391" s="102"/>
      <c r="DN391" s="102"/>
      <c r="DO391" s="102"/>
      <c r="DP391" s="102"/>
    </row>
    <row r="392" spans="1:120" x14ac:dyDescent="0.25">
      <c r="A392" s="4"/>
      <c r="F392"/>
      <c r="G392" s="1"/>
      <c r="H392" s="1"/>
      <c r="I392" s="1"/>
      <c r="J392" s="68" t="str">
        <f t="shared" si="147"/>
        <v/>
      </c>
      <c r="K392" s="68" t="str">
        <f t="shared" si="148"/>
        <v/>
      </c>
      <c r="L392" s="69" t="str">
        <f t="shared" si="149"/>
        <v/>
      </c>
      <c r="M392" s="69" t="str">
        <f t="shared" si="150"/>
        <v/>
      </c>
      <c r="N392" s="69" t="str">
        <f>IF(A392="","",Tabela1[[#This Row],[PTC]]*Tabela1[[#This Row],[ODDC]])</f>
        <v/>
      </c>
      <c r="O392" s="69" t="str">
        <f>IF(A392="","",Tabela1[[#This Row],[PTV]]*Tabela1[[#This Row],[ODDV]])</f>
        <v/>
      </c>
      <c r="P392" s="68" t="str">
        <f t="shared" si="151"/>
        <v/>
      </c>
      <c r="Q392" s="68" t="str">
        <f t="shared" si="152"/>
        <v/>
      </c>
      <c r="R392" s="68" t="str">
        <f t="shared" si="153"/>
        <v/>
      </c>
      <c r="S392" s="68" t="str">
        <f t="shared" si="154"/>
        <v/>
      </c>
      <c r="T392" s="68" t="str">
        <f>IF(A392="","",IF(F392="D",Tabela1[[#This Row],[ODDE]]-1,-1))</f>
        <v/>
      </c>
      <c r="U392" s="70" t="str">
        <f>IF(A392="","",IF(AND(Tabela1[[#This Row],[FTHG]]&gt;3,F392="H"),1,0))</f>
        <v/>
      </c>
      <c r="V392" s="70" t="str">
        <f>IF(A392="","",IF(AND(Tabela1[[#This Row],[FTAG]]&gt;3,F392="A"),1,0))</f>
        <v/>
      </c>
      <c r="W392" s="70" t="str">
        <f t="shared" si="155"/>
        <v/>
      </c>
      <c r="X392" s="70" t="str">
        <f t="shared" si="156"/>
        <v/>
      </c>
      <c r="Y392" s="71" t="str">
        <f t="shared" si="157"/>
        <v/>
      </c>
      <c r="Z392" s="70" t="str">
        <f t="shared" si="158"/>
        <v/>
      </c>
      <c r="AA392" s="70" t="str">
        <f t="shared" si="159"/>
        <v/>
      </c>
      <c r="AB392" s="70" t="str">
        <f t="shared" si="160"/>
        <v/>
      </c>
      <c r="AC392" s="71" t="str">
        <f t="shared" si="161"/>
        <v/>
      </c>
      <c r="AD392" s="72" t="str">
        <f t="shared" si="162"/>
        <v/>
      </c>
      <c r="AE392" s="73" t="str">
        <f>IF(A392="","",COUNT($N$2:N392))</f>
        <v/>
      </c>
      <c r="AF392" s="74" t="str">
        <f t="shared" si="163"/>
        <v/>
      </c>
      <c r="AG392" s="74" t="str">
        <f t="shared" si="164"/>
        <v/>
      </c>
      <c r="AH392" s="74" t="str">
        <f t="shared" si="165"/>
        <v/>
      </c>
      <c r="AI392" s="74" t="str">
        <f t="shared" si="166"/>
        <v/>
      </c>
      <c r="AJ392" s="74" t="str">
        <f t="shared" si="167"/>
        <v/>
      </c>
      <c r="AK392" s="74" t="str">
        <f>IF(A392="","",1/Tabela1[[#This Row],[ODDC]])</f>
        <v/>
      </c>
      <c r="AL392" s="74" t="str">
        <f>IF(A392="","",1/Tabela1[[#This Row],[ODDE]])</f>
        <v/>
      </c>
      <c r="AM392" s="74" t="str">
        <f>IF(A392="","",1/Tabela1[[#This Row],[ODDV]])</f>
        <v/>
      </c>
      <c r="AN392" s="74" t="str">
        <f>IF(A392="","",1-(Tabela1[[#This Row],[p(H)]]+Tabela1[[#This Row],[p(D)]]+Tabela1[[#This Row],[p(A)]]))</f>
        <v/>
      </c>
      <c r="AO392" s="74" t="str">
        <f>IF(A392="","",IFERROR(Tabela1[[#This Row],[p(H)]]/Tabela1[[#This Row],[FTHG]],1))</f>
        <v/>
      </c>
      <c r="AP392" s="74" t="str">
        <f>IF(A392="","",IFERROR(Tabela1[[#This Row],[p(A)]]/Tabela1[[#This Row],[FTAG]],1))</f>
        <v/>
      </c>
      <c r="AQ392" s="107"/>
      <c r="AR392" s="107"/>
      <c r="AS392" s="107"/>
      <c r="AT392" s="107"/>
      <c r="AU392" s="107"/>
      <c r="AV392" s="107"/>
      <c r="AW392" s="107"/>
      <c r="AX392" s="107"/>
      <c r="AY392" s="107"/>
      <c r="AZ392" s="75"/>
      <c r="BA392" s="75"/>
      <c r="BB392" s="75"/>
      <c r="BC392" s="107"/>
      <c r="BD392" s="107"/>
      <c r="BE392" s="107"/>
      <c r="BF392" s="107"/>
      <c r="BG392" s="107"/>
      <c r="BH392" s="107"/>
      <c r="BI392" s="107"/>
      <c r="BJ392" s="107"/>
      <c r="BK392" s="107"/>
      <c r="BL392" s="107"/>
      <c r="BM392" s="107"/>
      <c r="BN392" s="107"/>
      <c r="BO392" s="107"/>
      <c r="BP392" s="107"/>
      <c r="BQ392" s="107"/>
      <c r="BR392" s="107"/>
      <c r="BS392" s="107"/>
      <c r="BT392" s="107"/>
      <c r="BU392" s="107"/>
      <c r="BV392" s="107"/>
      <c r="BW392" s="107"/>
      <c r="BX392" s="75"/>
      <c r="BY392" s="75"/>
      <c r="BZ392" s="75"/>
      <c r="CA392" s="75"/>
      <c r="CB392" s="75"/>
      <c r="CC392" s="75"/>
      <c r="CD392" s="75"/>
      <c r="CE392" s="102"/>
      <c r="CF392" s="102"/>
      <c r="CG392" s="102"/>
      <c r="CH392" s="102"/>
      <c r="CI392" s="102"/>
      <c r="CJ392" s="102"/>
      <c r="CK392" s="102"/>
      <c r="CL392" s="102"/>
      <c r="CM392" s="102"/>
      <c r="CN392" s="102"/>
      <c r="CO392" s="102"/>
      <c r="CP392" s="102"/>
      <c r="CQ392" s="102"/>
      <c r="CR392" s="102"/>
      <c r="CS392" s="102"/>
      <c r="CT392" s="102"/>
      <c r="CU392" s="102"/>
      <c r="CV392" s="102"/>
      <c r="CW392" s="102"/>
      <c r="CX392" s="102"/>
      <c r="CY392" s="102"/>
      <c r="CZ392" s="102"/>
      <c r="DA392" s="102"/>
      <c r="DB392" s="102"/>
      <c r="DC392" s="102"/>
      <c r="DD392" s="102"/>
      <c r="DE392" s="102"/>
      <c r="DF392" s="102"/>
      <c r="DG392" s="102"/>
      <c r="DH392" s="102"/>
      <c r="DI392" s="102"/>
      <c r="DJ392" s="102"/>
      <c r="DK392" s="102"/>
      <c r="DL392" s="102"/>
      <c r="DM392" s="102"/>
      <c r="DN392" s="102"/>
      <c r="DO392" s="102"/>
      <c r="DP392" s="102"/>
    </row>
    <row r="393" spans="1:120" x14ac:dyDescent="0.25">
      <c r="A393" s="4"/>
      <c r="F393"/>
      <c r="G393" s="1"/>
      <c r="H393" s="1"/>
      <c r="I393" s="1"/>
      <c r="J393" s="68" t="str">
        <f t="shared" si="147"/>
        <v/>
      </c>
      <c r="K393" s="68" t="str">
        <f t="shared" si="148"/>
        <v/>
      </c>
      <c r="L393" s="69" t="str">
        <f t="shared" si="149"/>
        <v/>
      </c>
      <c r="M393" s="69" t="str">
        <f t="shared" si="150"/>
        <v/>
      </c>
      <c r="N393" s="69" t="str">
        <f>IF(A393="","",Tabela1[[#This Row],[PTC]]*Tabela1[[#This Row],[ODDC]])</f>
        <v/>
      </c>
      <c r="O393" s="69" t="str">
        <f>IF(A393="","",Tabela1[[#This Row],[PTV]]*Tabela1[[#This Row],[ODDV]])</f>
        <v/>
      </c>
      <c r="P393" s="68" t="str">
        <f t="shared" si="151"/>
        <v/>
      </c>
      <c r="Q393" s="68" t="str">
        <f t="shared" si="152"/>
        <v/>
      </c>
      <c r="R393" s="68" t="str">
        <f t="shared" si="153"/>
        <v/>
      </c>
      <c r="S393" s="68" t="str">
        <f t="shared" si="154"/>
        <v/>
      </c>
      <c r="T393" s="68" t="str">
        <f>IF(A393="","",IF(F393="D",Tabela1[[#This Row],[ODDE]]-1,-1))</f>
        <v/>
      </c>
      <c r="U393" s="70" t="str">
        <f>IF(A393="","",IF(AND(Tabela1[[#This Row],[FTHG]]&gt;3,F393="H"),1,0))</f>
        <v/>
      </c>
      <c r="V393" s="70" t="str">
        <f>IF(A393="","",IF(AND(Tabela1[[#This Row],[FTAG]]&gt;3,F393="A"),1,0))</f>
        <v/>
      </c>
      <c r="W393" s="70" t="str">
        <f t="shared" si="155"/>
        <v/>
      </c>
      <c r="X393" s="70" t="str">
        <f t="shared" si="156"/>
        <v/>
      </c>
      <c r="Y393" s="71" t="str">
        <f t="shared" si="157"/>
        <v/>
      </c>
      <c r="Z393" s="70" t="str">
        <f t="shared" si="158"/>
        <v/>
      </c>
      <c r="AA393" s="70" t="str">
        <f t="shared" si="159"/>
        <v/>
      </c>
      <c r="AB393" s="70" t="str">
        <f t="shared" si="160"/>
        <v/>
      </c>
      <c r="AC393" s="71" t="str">
        <f t="shared" si="161"/>
        <v/>
      </c>
      <c r="AD393" s="72" t="str">
        <f t="shared" si="162"/>
        <v/>
      </c>
      <c r="AE393" s="73" t="str">
        <f>IF(A393="","",COUNT($N$2:N393))</f>
        <v/>
      </c>
      <c r="AF393" s="74" t="str">
        <f t="shared" si="163"/>
        <v/>
      </c>
      <c r="AG393" s="74" t="str">
        <f t="shared" si="164"/>
        <v/>
      </c>
      <c r="AH393" s="74" t="str">
        <f t="shared" si="165"/>
        <v/>
      </c>
      <c r="AI393" s="74" t="str">
        <f t="shared" si="166"/>
        <v/>
      </c>
      <c r="AJ393" s="74" t="str">
        <f t="shared" si="167"/>
        <v/>
      </c>
      <c r="AK393" s="74" t="str">
        <f>IF(A393="","",1/Tabela1[[#This Row],[ODDC]])</f>
        <v/>
      </c>
      <c r="AL393" s="74" t="str">
        <f>IF(A393="","",1/Tabela1[[#This Row],[ODDE]])</f>
        <v/>
      </c>
      <c r="AM393" s="74" t="str">
        <f>IF(A393="","",1/Tabela1[[#This Row],[ODDV]])</f>
        <v/>
      </c>
      <c r="AN393" s="74" t="str">
        <f>IF(A393="","",1-(Tabela1[[#This Row],[p(H)]]+Tabela1[[#This Row],[p(D)]]+Tabela1[[#This Row],[p(A)]]))</f>
        <v/>
      </c>
      <c r="AO393" s="74" t="str">
        <f>IF(A393="","",IFERROR(Tabela1[[#This Row],[p(H)]]/Tabela1[[#This Row],[FTHG]],1))</f>
        <v/>
      </c>
      <c r="AP393" s="74" t="str">
        <f>IF(A393="","",IFERROR(Tabela1[[#This Row],[p(A)]]/Tabela1[[#This Row],[FTAG]],1))</f>
        <v/>
      </c>
      <c r="AQ393" s="107"/>
      <c r="AR393" s="107"/>
      <c r="AS393" s="107"/>
      <c r="AT393" s="107"/>
      <c r="AU393" s="107"/>
      <c r="AV393" s="107"/>
      <c r="AW393" s="107"/>
      <c r="AX393" s="107"/>
      <c r="AY393" s="107"/>
      <c r="AZ393" s="75"/>
      <c r="BA393" s="75"/>
      <c r="BB393" s="75"/>
      <c r="BC393" s="107"/>
      <c r="BD393" s="107"/>
      <c r="BE393" s="107"/>
      <c r="BF393" s="107"/>
      <c r="BG393" s="107"/>
      <c r="BH393" s="107"/>
      <c r="BI393" s="107"/>
      <c r="BJ393" s="107"/>
      <c r="BK393" s="107"/>
      <c r="BL393" s="107"/>
      <c r="BM393" s="107"/>
      <c r="BN393" s="107"/>
      <c r="BO393" s="107"/>
      <c r="BP393" s="107"/>
      <c r="BQ393" s="107"/>
      <c r="BR393" s="107"/>
      <c r="BS393" s="107"/>
      <c r="BT393" s="107"/>
      <c r="BU393" s="107"/>
      <c r="BV393" s="107"/>
      <c r="BW393" s="107"/>
      <c r="BX393" s="75"/>
      <c r="BY393" s="75"/>
      <c r="BZ393" s="75"/>
      <c r="CA393" s="75"/>
      <c r="CB393" s="75"/>
      <c r="CC393" s="75"/>
      <c r="CD393" s="75"/>
      <c r="CE393" s="102"/>
      <c r="CF393" s="102"/>
      <c r="CG393" s="102"/>
      <c r="CH393" s="102"/>
      <c r="CI393" s="102"/>
      <c r="CJ393" s="102"/>
      <c r="CK393" s="102"/>
      <c r="CL393" s="102"/>
      <c r="CM393" s="102"/>
      <c r="CN393" s="102"/>
      <c r="CO393" s="102"/>
      <c r="CP393" s="102"/>
      <c r="CQ393" s="102"/>
      <c r="CR393" s="102"/>
      <c r="CS393" s="102"/>
      <c r="CT393" s="102"/>
      <c r="CU393" s="102"/>
      <c r="CV393" s="102"/>
      <c r="CW393" s="102"/>
      <c r="CX393" s="102"/>
      <c r="CY393" s="102"/>
      <c r="CZ393" s="102"/>
      <c r="DA393" s="102"/>
      <c r="DB393" s="102"/>
      <c r="DC393" s="102"/>
      <c r="DD393" s="102"/>
      <c r="DE393" s="102"/>
      <c r="DF393" s="102"/>
      <c r="DG393" s="102"/>
      <c r="DH393" s="102"/>
      <c r="DI393" s="102"/>
      <c r="DJ393" s="102"/>
      <c r="DK393" s="102"/>
      <c r="DL393" s="102"/>
      <c r="DM393" s="102"/>
      <c r="DN393" s="102"/>
      <c r="DO393" s="102"/>
      <c r="DP393" s="102"/>
    </row>
    <row r="394" spans="1:120" x14ac:dyDescent="0.25">
      <c r="A394" s="4"/>
      <c r="F394"/>
      <c r="G394" s="1"/>
      <c r="H394" s="1"/>
      <c r="I394" s="1"/>
      <c r="J394" s="68" t="str">
        <f t="shared" si="147"/>
        <v/>
      </c>
      <c r="K394" s="68" t="str">
        <f t="shared" si="148"/>
        <v/>
      </c>
      <c r="L394" s="69" t="str">
        <f t="shared" si="149"/>
        <v/>
      </c>
      <c r="M394" s="69" t="str">
        <f t="shared" si="150"/>
        <v/>
      </c>
      <c r="N394" s="69" t="str">
        <f>IF(A394="","",Tabela1[[#This Row],[PTC]]*Tabela1[[#This Row],[ODDC]])</f>
        <v/>
      </c>
      <c r="O394" s="69" t="str">
        <f>IF(A394="","",Tabela1[[#This Row],[PTV]]*Tabela1[[#This Row],[ODDV]])</f>
        <v/>
      </c>
      <c r="P394" s="68" t="str">
        <f t="shared" si="151"/>
        <v/>
      </c>
      <c r="Q394" s="68" t="str">
        <f t="shared" si="152"/>
        <v/>
      </c>
      <c r="R394" s="68" t="str">
        <f t="shared" si="153"/>
        <v/>
      </c>
      <c r="S394" s="68" t="str">
        <f t="shared" si="154"/>
        <v/>
      </c>
      <c r="T394" s="68" t="str">
        <f>IF(A394="","",IF(F394="D",Tabela1[[#This Row],[ODDE]]-1,-1))</f>
        <v/>
      </c>
      <c r="U394" s="70" t="str">
        <f>IF(A394="","",IF(AND(Tabela1[[#This Row],[FTHG]]&gt;3,F394="H"),1,0))</f>
        <v/>
      </c>
      <c r="V394" s="70" t="str">
        <f>IF(A394="","",IF(AND(Tabela1[[#This Row],[FTAG]]&gt;3,F394="A"),1,0))</f>
        <v/>
      </c>
      <c r="W394" s="70" t="str">
        <f t="shared" si="155"/>
        <v/>
      </c>
      <c r="X394" s="70" t="str">
        <f t="shared" si="156"/>
        <v/>
      </c>
      <c r="Y394" s="71" t="str">
        <f t="shared" si="157"/>
        <v/>
      </c>
      <c r="Z394" s="70" t="str">
        <f t="shared" si="158"/>
        <v/>
      </c>
      <c r="AA394" s="70" t="str">
        <f t="shared" si="159"/>
        <v/>
      </c>
      <c r="AB394" s="70" t="str">
        <f t="shared" si="160"/>
        <v/>
      </c>
      <c r="AC394" s="71" t="str">
        <f t="shared" si="161"/>
        <v/>
      </c>
      <c r="AD394" s="72" t="str">
        <f t="shared" si="162"/>
        <v/>
      </c>
      <c r="AE394" s="73" t="str">
        <f>IF(A394="","",COUNT($N$2:N394))</f>
        <v/>
      </c>
      <c r="AF394" s="74" t="str">
        <f t="shared" si="163"/>
        <v/>
      </c>
      <c r="AG394" s="74" t="str">
        <f t="shared" si="164"/>
        <v/>
      </c>
      <c r="AH394" s="74" t="str">
        <f t="shared" si="165"/>
        <v/>
      </c>
      <c r="AI394" s="74" t="str">
        <f t="shared" si="166"/>
        <v/>
      </c>
      <c r="AJ394" s="74" t="str">
        <f t="shared" si="167"/>
        <v/>
      </c>
      <c r="AK394" s="74" t="str">
        <f>IF(A394="","",1/Tabela1[[#This Row],[ODDC]])</f>
        <v/>
      </c>
      <c r="AL394" s="74" t="str">
        <f>IF(A394="","",1/Tabela1[[#This Row],[ODDE]])</f>
        <v/>
      </c>
      <c r="AM394" s="74" t="str">
        <f>IF(A394="","",1/Tabela1[[#This Row],[ODDV]])</f>
        <v/>
      </c>
      <c r="AN394" s="74" t="str">
        <f>IF(A394="","",1-(Tabela1[[#This Row],[p(H)]]+Tabela1[[#This Row],[p(D)]]+Tabela1[[#This Row],[p(A)]]))</f>
        <v/>
      </c>
      <c r="AO394" s="74" t="str">
        <f>IF(A394="","",IFERROR(Tabela1[[#This Row],[p(H)]]/Tabela1[[#This Row],[FTHG]],1))</f>
        <v/>
      </c>
      <c r="AP394" s="74" t="str">
        <f>IF(A394="","",IFERROR(Tabela1[[#This Row],[p(A)]]/Tabela1[[#This Row],[FTAG]],1))</f>
        <v/>
      </c>
      <c r="AQ394" s="107"/>
      <c r="AR394" s="107"/>
      <c r="AS394" s="107"/>
      <c r="AT394" s="107"/>
      <c r="AU394" s="107"/>
      <c r="AV394" s="107"/>
      <c r="AW394" s="107"/>
      <c r="AX394" s="107"/>
      <c r="AY394" s="107"/>
      <c r="AZ394" s="75"/>
      <c r="BA394" s="75"/>
      <c r="BB394" s="75"/>
      <c r="BC394" s="107"/>
      <c r="BD394" s="107"/>
      <c r="BE394" s="107"/>
      <c r="BF394" s="107"/>
      <c r="BG394" s="107"/>
      <c r="BH394" s="107"/>
      <c r="BI394" s="107"/>
      <c r="BJ394" s="107"/>
      <c r="BK394" s="107"/>
      <c r="BL394" s="107"/>
      <c r="BM394" s="107"/>
      <c r="BN394" s="107"/>
      <c r="BO394" s="107"/>
      <c r="BP394" s="107"/>
      <c r="BQ394" s="107"/>
      <c r="BR394" s="107"/>
      <c r="BS394" s="107"/>
      <c r="BT394" s="107"/>
      <c r="BU394" s="107"/>
      <c r="BV394" s="107"/>
      <c r="BW394" s="107"/>
      <c r="BX394" s="75"/>
      <c r="BY394" s="75"/>
      <c r="BZ394" s="75"/>
      <c r="CA394" s="75"/>
      <c r="CB394" s="75"/>
      <c r="CC394" s="75"/>
      <c r="CD394" s="75"/>
      <c r="CE394" s="102"/>
      <c r="CF394" s="102"/>
      <c r="CG394" s="102"/>
      <c r="CH394" s="102"/>
      <c r="CI394" s="102"/>
      <c r="CJ394" s="102"/>
      <c r="CK394" s="102"/>
      <c r="CL394" s="102"/>
      <c r="CM394" s="102"/>
      <c r="CN394" s="102"/>
      <c r="CO394" s="102"/>
      <c r="CP394" s="102"/>
      <c r="CQ394" s="102"/>
      <c r="CR394" s="102"/>
      <c r="CS394" s="102"/>
      <c r="CT394" s="102"/>
      <c r="CU394" s="102"/>
      <c r="CV394" s="102"/>
      <c r="CW394" s="102"/>
      <c r="CX394" s="102"/>
      <c r="CY394" s="102"/>
      <c r="CZ394" s="102"/>
      <c r="DA394" s="102"/>
      <c r="DB394" s="102"/>
      <c r="DC394" s="102"/>
      <c r="DD394" s="102"/>
      <c r="DE394" s="102"/>
      <c r="DF394" s="102"/>
      <c r="DG394" s="102"/>
      <c r="DH394" s="102"/>
      <c r="DI394" s="102"/>
      <c r="DJ394" s="102"/>
      <c r="DK394" s="102"/>
      <c r="DL394" s="102"/>
      <c r="DM394" s="102"/>
      <c r="DN394" s="102"/>
      <c r="DO394" s="102"/>
      <c r="DP394" s="102"/>
    </row>
    <row r="395" spans="1:120" x14ac:dyDescent="0.25">
      <c r="A395" s="4"/>
      <c r="F395"/>
      <c r="G395" s="1"/>
      <c r="H395" s="1"/>
      <c r="I395" s="1"/>
      <c r="J395" s="68" t="str">
        <f t="shared" si="147"/>
        <v/>
      </c>
      <c r="K395" s="68" t="str">
        <f t="shared" si="148"/>
        <v/>
      </c>
      <c r="L395" s="69" t="str">
        <f t="shared" si="149"/>
        <v/>
      </c>
      <c r="M395" s="69" t="str">
        <f t="shared" si="150"/>
        <v/>
      </c>
      <c r="N395" s="69" t="str">
        <f>IF(A395="","",Tabela1[[#This Row],[PTC]]*Tabela1[[#This Row],[ODDC]])</f>
        <v/>
      </c>
      <c r="O395" s="69" t="str">
        <f>IF(A395="","",Tabela1[[#This Row],[PTV]]*Tabela1[[#This Row],[ODDV]])</f>
        <v/>
      </c>
      <c r="P395" s="68" t="str">
        <f t="shared" si="151"/>
        <v/>
      </c>
      <c r="Q395" s="68" t="str">
        <f t="shared" si="152"/>
        <v/>
      </c>
      <c r="R395" s="68" t="str">
        <f t="shared" si="153"/>
        <v/>
      </c>
      <c r="S395" s="68" t="str">
        <f t="shared" si="154"/>
        <v/>
      </c>
      <c r="T395" s="68" t="str">
        <f>IF(A395="","",IF(F395="D",Tabela1[[#This Row],[ODDE]]-1,-1))</f>
        <v/>
      </c>
      <c r="U395" s="70" t="str">
        <f>IF(A395="","",IF(AND(Tabela1[[#This Row],[FTHG]]&gt;3,F395="H"),1,0))</f>
        <v/>
      </c>
      <c r="V395" s="70" t="str">
        <f>IF(A395="","",IF(AND(Tabela1[[#This Row],[FTAG]]&gt;3,F395="A"),1,0))</f>
        <v/>
      </c>
      <c r="W395" s="70" t="str">
        <f t="shared" si="155"/>
        <v/>
      </c>
      <c r="X395" s="70" t="str">
        <f t="shared" si="156"/>
        <v/>
      </c>
      <c r="Y395" s="71" t="str">
        <f t="shared" si="157"/>
        <v/>
      </c>
      <c r="Z395" s="70" t="str">
        <f t="shared" si="158"/>
        <v/>
      </c>
      <c r="AA395" s="70" t="str">
        <f t="shared" si="159"/>
        <v/>
      </c>
      <c r="AB395" s="70" t="str">
        <f t="shared" si="160"/>
        <v/>
      </c>
      <c r="AC395" s="71" t="str">
        <f t="shared" si="161"/>
        <v/>
      </c>
      <c r="AD395" s="72" t="str">
        <f t="shared" si="162"/>
        <v/>
      </c>
      <c r="AE395" s="73" t="str">
        <f>IF(A395="","",COUNT($N$2:N395))</f>
        <v/>
      </c>
      <c r="AF395" s="74" t="str">
        <f t="shared" si="163"/>
        <v/>
      </c>
      <c r="AG395" s="74" t="str">
        <f t="shared" si="164"/>
        <v/>
      </c>
      <c r="AH395" s="74" t="str">
        <f t="shared" si="165"/>
        <v/>
      </c>
      <c r="AI395" s="74" t="str">
        <f t="shared" si="166"/>
        <v/>
      </c>
      <c r="AJ395" s="74" t="str">
        <f t="shared" si="167"/>
        <v/>
      </c>
      <c r="AK395" s="74" t="str">
        <f>IF(A395="","",1/Tabela1[[#This Row],[ODDC]])</f>
        <v/>
      </c>
      <c r="AL395" s="74" t="str">
        <f>IF(A395="","",1/Tabela1[[#This Row],[ODDE]])</f>
        <v/>
      </c>
      <c r="AM395" s="74" t="str">
        <f>IF(A395="","",1/Tabela1[[#This Row],[ODDV]])</f>
        <v/>
      </c>
      <c r="AN395" s="74" t="str">
        <f>IF(A395="","",1-(Tabela1[[#This Row],[p(H)]]+Tabela1[[#This Row],[p(D)]]+Tabela1[[#This Row],[p(A)]]))</f>
        <v/>
      </c>
      <c r="AO395" s="74" t="str">
        <f>IF(A395="","",IFERROR(Tabela1[[#This Row],[p(H)]]/Tabela1[[#This Row],[FTHG]],1))</f>
        <v/>
      </c>
      <c r="AP395" s="74" t="str">
        <f>IF(A395="","",IFERROR(Tabela1[[#This Row],[p(A)]]/Tabela1[[#This Row],[FTAG]],1))</f>
        <v/>
      </c>
      <c r="AQ395" s="107"/>
      <c r="AR395" s="107"/>
      <c r="AS395" s="107"/>
      <c r="AT395" s="107"/>
      <c r="AU395" s="107"/>
      <c r="AV395" s="107"/>
      <c r="AW395" s="107"/>
      <c r="AX395" s="107"/>
      <c r="AY395" s="107"/>
      <c r="AZ395" s="75"/>
      <c r="BA395" s="75"/>
      <c r="BB395" s="75"/>
      <c r="BC395" s="107"/>
      <c r="BD395" s="107"/>
      <c r="BE395" s="107"/>
      <c r="BF395" s="107"/>
      <c r="BG395" s="107"/>
      <c r="BH395" s="107"/>
      <c r="BI395" s="107"/>
      <c r="BJ395" s="107"/>
      <c r="BK395" s="107"/>
      <c r="BL395" s="107"/>
      <c r="BM395" s="107"/>
      <c r="BN395" s="107"/>
      <c r="BO395" s="107"/>
      <c r="BP395" s="107"/>
      <c r="BQ395" s="107"/>
      <c r="BR395" s="107"/>
      <c r="BS395" s="107"/>
      <c r="BT395" s="107"/>
      <c r="BU395" s="107"/>
      <c r="BV395" s="107"/>
      <c r="BW395" s="107"/>
      <c r="BX395" s="75"/>
      <c r="BY395" s="75"/>
      <c r="BZ395" s="75"/>
      <c r="CA395" s="75"/>
      <c r="CB395" s="75"/>
      <c r="CC395" s="75"/>
      <c r="CD395" s="75"/>
      <c r="CE395" s="102"/>
      <c r="CF395" s="102"/>
      <c r="CG395" s="102"/>
      <c r="CH395" s="102"/>
      <c r="CI395" s="102"/>
      <c r="CJ395" s="102"/>
      <c r="CK395" s="102"/>
      <c r="CL395" s="102"/>
      <c r="CM395" s="102"/>
      <c r="CN395" s="102"/>
      <c r="CO395" s="102"/>
      <c r="CP395" s="102"/>
      <c r="CQ395" s="102"/>
      <c r="CR395" s="102"/>
      <c r="CS395" s="102"/>
      <c r="CT395" s="102"/>
      <c r="CU395" s="102"/>
      <c r="CV395" s="102"/>
      <c r="CW395" s="102"/>
      <c r="CX395" s="102"/>
      <c r="CY395" s="102"/>
      <c r="CZ395" s="102"/>
      <c r="DA395" s="102"/>
      <c r="DB395" s="102"/>
      <c r="DC395" s="102"/>
      <c r="DD395" s="102"/>
      <c r="DE395" s="102"/>
      <c r="DF395" s="102"/>
      <c r="DG395" s="102"/>
      <c r="DH395" s="102"/>
      <c r="DI395" s="102"/>
      <c r="DJ395" s="102"/>
      <c r="DK395" s="102"/>
      <c r="DL395" s="102"/>
      <c r="DM395" s="102"/>
      <c r="DN395" s="102"/>
      <c r="DO395" s="102"/>
      <c r="DP395" s="102"/>
    </row>
    <row r="396" spans="1:120" x14ac:dyDescent="0.25">
      <c r="A396" s="4"/>
      <c r="F396"/>
      <c r="G396" s="1"/>
      <c r="H396" s="1"/>
      <c r="I396" s="1"/>
      <c r="J396" s="68" t="str">
        <f t="shared" si="147"/>
        <v/>
      </c>
      <c r="K396" s="68" t="str">
        <f t="shared" si="148"/>
        <v/>
      </c>
      <c r="L396" s="69" t="str">
        <f t="shared" si="149"/>
        <v/>
      </c>
      <c r="M396" s="69" t="str">
        <f t="shared" si="150"/>
        <v/>
      </c>
      <c r="N396" s="69" t="str">
        <f>IF(A396="","",Tabela1[[#This Row],[PTC]]*Tabela1[[#This Row],[ODDC]])</f>
        <v/>
      </c>
      <c r="O396" s="69" t="str">
        <f>IF(A396="","",Tabela1[[#This Row],[PTV]]*Tabela1[[#This Row],[ODDV]])</f>
        <v/>
      </c>
      <c r="P396" s="68" t="str">
        <f t="shared" si="151"/>
        <v/>
      </c>
      <c r="Q396" s="68" t="str">
        <f t="shared" si="152"/>
        <v/>
      </c>
      <c r="R396" s="68" t="str">
        <f t="shared" si="153"/>
        <v/>
      </c>
      <c r="S396" s="68" t="str">
        <f t="shared" si="154"/>
        <v/>
      </c>
      <c r="T396" s="68" t="str">
        <f>IF(A396="","",IF(F396="D",Tabela1[[#This Row],[ODDE]]-1,-1))</f>
        <v/>
      </c>
      <c r="U396" s="70" t="str">
        <f>IF(A396="","",IF(AND(Tabela1[[#This Row],[FTHG]]&gt;3,F396="H"),1,0))</f>
        <v/>
      </c>
      <c r="V396" s="70" t="str">
        <f>IF(A396="","",IF(AND(Tabela1[[#This Row],[FTAG]]&gt;3,F396="A"),1,0))</f>
        <v/>
      </c>
      <c r="W396" s="70" t="str">
        <f t="shared" si="155"/>
        <v/>
      </c>
      <c r="X396" s="70" t="str">
        <f t="shared" si="156"/>
        <v/>
      </c>
      <c r="Y396" s="71" t="str">
        <f t="shared" si="157"/>
        <v/>
      </c>
      <c r="Z396" s="70" t="str">
        <f t="shared" si="158"/>
        <v/>
      </c>
      <c r="AA396" s="70" t="str">
        <f t="shared" si="159"/>
        <v/>
      </c>
      <c r="AB396" s="70" t="str">
        <f t="shared" si="160"/>
        <v/>
      </c>
      <c r="AC396" s="71" t="str">
        <f t="shared" si="161"/>
        <v/>
      </c>
      <c r="AD396" s="72" t="str">
        <f t="shared" si="162"/>
        <v/>
      </c>
      <c r="AE396" s="73" t="str">
        <f>IF(A396="","",COUNT($N$2:N396))</f>
        <v/>
      </c>
      <c r="AF396" s="74" t="str">
        <f t="shared" si="163"/>
        <v/>
      </c>
      <c r="AG396" s="74" t="str">
        <f t="shared" si="164"/>
        <v/>
      </c>
      <c r="AH396" s="74" t="str">
        <f t="shared" si="165"/>
        <v/>
      </c>
      <c r="AI396" s="74" t="str">
        <f t="shared" si="166"/>
        <v/>
      </c>
      <c r="AJ396" s="74" t="str">
        <f t="shared" si="167"/>
        <v/>
      </c>
      <c r="AK396" s="74" t="str">
        <f>IF(A396="","",1/Tabela1[[#This Row],[ODDC]])</f>
        <v/>
      </c>
      <c r="AL396" s="74" t="str">
        <f>IF(A396="","",1/Tabela1[[#This Row],[ODDE]])</f>
        <v/>
      </c>
      <c r="AM396" s="74" t="str">
        <f>IF(A396="","",1/Tabela1[[#This Row],[ODDV]])</f>
        <v/>
      </c>
      <c r="AN396" s="74" t="str">
        <f>IF(A396="","",1-(Tabela1[[#This Row],[p(H)]]+Tabela1[[#This Row],[p(D)]]+Tabela1[[#This Row],[p(A)]]))</f>
        <v/>
      </c>
      <c r="AO396" s="74" t="str">
        <f>IF(A396="","",IFERROR(Tabela1[[#This Row],[p(H)]]/Tabela1[[#This Row],[FTHG]],1))</f>
        <v/>
      </c>
      <c r="AP396" s="74" t="str">
        <f>IF(A396="","",IFERROR(Tabela1[[#This Row],[p(A)]]/Tabela1[[#This Row],[FTAG]],1))</f>
        <v/>
      </c>
      <c r="AQ396" s="107"/>
      <c r="AR396" s="107"/>
      <c r="AS396" s="107"/>
      <c r="AT396" s="107"/>
      <c r="AU396" s="107"/>
      <c r="AV396" s="107"/>
      <c r="AW396" s="107"/>
      <c r="AX396" s="107"/>
      <c r="AY396" s="107"/>
      <c r="AZ396" s="75"/>
      <c r="BA396" s="75"/>
      <c r="BB396" s="75"/>
      <c r="BC396" s="107"/>
      <c r="BD396" s="107"/>
      <c r="BE396" s="107"/>
      <c r="BF396" s="107"/>
      <c r="BG396" s="107"/>
      <c r="BH396" s="107"/>
      <c r="BI396" s="107"/>
      <c r="BJ396" s="107"/>
      <c r="BK396" s="107"/>
      <c r="BL396" s="107"/>
      <c r="BM396" s="107"/>
      <c r="BN396" s="107"/>
      <c r="BO396" s="107"/>
      <c r="BP396" s="107"/>
      <c r="BQ396" s="107"/>
      <c r="BR396" s="107"/>
      <c r="BS396" s="107"/>
      <c r="BT396" s="107"/>
      <c r="BU396" s="107"/>
      <c r="BV396" s="107"/>
      <c r="BW396" s="107"/>
      <c r="BX396" s="75"/>
      <c r="BY396" s="75"/>
      <c r="BZ396" s="75"/>
      <c r="CA396" s="75"/>
      <c r="CB396" s="75"/>
      <c r="CC396" s="75"/>
      <c r="CD396" s="75"/>
      <c r="CE396" s="102"/>
      <c r="CF396" s="102"/>
      <c r="CG396" s="102"/>
      <c r="CH396" s="102"/>
      <c r="CI396" s="102"/>
      <c r="CJ396" s="102"/>
      <c r="CK396" s="102"/>
      <c r="CL396" s="102"/>
      <c r="CM396" s="102"/>
      <c r="CN396" s="102"/>
      <c r="CO396" s="102"/>
      <c r="CP396" s="102"/>
      <c r="CQ396" s="102"/>
      <c r="CR396" s="102"/>
      <c r="CS396" s="102"/>
      <c r="CT396" s="102"/>
      <c r="CU396" s="102"/>
      <c r="CV396" s="102"/>
      <c r="CW396" s="102"/>
      <c r="CX396" s="102"/>
      <c r="CY396" s="102"/>
      <c r="CZ396" s="102"/>
      <c r="DA396" s="102"/>
      <c r="DB396" s="102"/>
      <c r="DC396" s="102"/>
      <c r="DD396" s="102"/>
      <c r="DE396" s="102"/>
      <c r="DF396" s="102"/>
      <c r="DG396" s="102"/>
      <c r="DH396" s="102"/>
      <c r="DI396" s="102"/>
      <c r="DJ396" s="102"/>
      <c r="DK396" s="102"/>
      <c r="DL396" s="102"/>
      <c r="DM396" s="102"/>
      <c r="DN396" s="102"/>
      <c r="DO396" s="102"/>
      <c r="DP396" s="102"/>
    </row>
    <row r="397" spans="1:120" x14ac:dyDescent="0.25">
      <c r="A397" s="4"/>
      <c r="F397"/>
      <c r="G397" s="1"/>
      <c r="H397" s="1"/>
      <c r="I397" s="1"/>
      <c r="J397" s="68" t="str">
        <f t="shared" si="147"/>
        <v/>
      </c>
      <c r="K397" s="68" t="str">
        <f t="shared" si="148"/>
        <v/>
      </c>
      <c r="L397" s="69" t="str">
        <f t="shared" si="149"/>
        <v/>
      </c>
      <c r="M397" s="69" t="str">
        <f t="shared" si="150"/>
        <v/>
      </c>
      <c r="N397" s="69" t="str">
        <f>IF(A397="","",Tabela1[[#This Row],[PTC]]*Tabela1[[#This Row],[ODDC]])</f>
        <v/>
      </c>
      <c r="O397" s="69" t="str">
        <f>IF(A397="","",Tabela1[[#This Row],[PTV]]*Tabela1[[#This Row],[ODDV]])</f>
        <v/>
      </c>
      <c r="P397" s="68" t="str">
        <f t="shared" si="151"/>
        <v/>
      </c>
      <c r="Q397" s="68" t="str">
        <f t="shared" si="152"/>
        <v/>
      </c>
      <c r="R397" s="68" t="str">
        <f t="shared" si="153"/>
        <v/>
      </c>
      <c r="S397" s="68" t="str">
        <f t="shared" si="154"/>
        <v/>
      </c>
      <c r="T397" s="68" t="str">
        <f>IF(A397="","",IF(F397="D",Tabela1[[#This Row],[ODDE]]-1,-1))</f>
        <v/>
      </c>
      <c r="U397" s="70" t="str">
        <f>IF(A397="","",IF(AND(Tabela1[[#This Row],[FTHG]]&gt;3,F397="H"),1,0))</f>
        <v/>
      </c>
      <c r="V397" s="70" t="str">
        <f>IF(A397="","",IF(AND(Tabela1[[#This Row],[FTAG]]&gt;3,F397="A"),1,0))</f>
        <v/>
      </c>
      <c r="W397" s="70" t="str">
        <f t="shared" si="155"/>
        <v/>
      </c>
      <c r="X397" s="70" t="str">
        <f t="shared" si="156"/>
        <v/>
      </c>
      <c r="Y397" s="71" t="str">
        <f t="shared" si="157"/>
        <v/>
      </c>
      <c r="Z397" s="70" t="str">
        <f t="shared" si="158"/>
        <v/>
      </c>
      <c r="AA397" s="70" t="str">
        <f t="shared" si="159"/>
        <v/>
      </c>
      <c r="AB397" s="70" t="str">
        <f t="shared" si="160"/>
        <v/>
      </c>
      <c r="AC397" s="71" t="str">
        <f t="shared" si="161"/>
        <v/>
      </c>
      <c r="AD397" s="72" t="str">
        <f t="shared" si="162"/>
        <v/>
      </c>
      <c r="AE397" s="73" t="str">
        <f>IF(A397="","",COUNT($N$2:N397))</f>
        <v/>
      </c>
      <c r="AF397" s="74" t="str">
        <f t="shared" si="163"/>
        <v/>
      </c>
      <c r="AG397" s="74" t="str">
        <f t="shared" si="164"/>
        <v/>
      </c>
      <c r="AH397" s="74" t="str">
        <f t="shared" si="165"/>
        <v/>
      </c>
      <c r="AI397" s="74" t="str">
        <f t="shared" si="166"/>
        <v/>
      </c>
      <c r="AJ397" s="74" t="str">
        <f t="shared" si="167"/>
        <v/>
      </c>
      <c r="AK397" s="74" t="str">
        <f>IF(A397="","",1/Tabela1[[#This Row],[ODDC]])</f>
        <v/>
      </c>
      <c r="AL397" s="74" t="str">
        <f>IF(A397="","",1/Tabela1[[#This Row],[ODDE]])</f>
        <v/>
      </c>
      <c r="AM397" s="74" t="str">
        <f>IF(A397="","",1/Tabela1[[#This Row],[ODDV]])</f>
        <v/>
      </c>
      <c r="AN397" s="74" t="str">
        <f>IF(A397="","",1-(Tabela1[[#This Row],[p(H)]]+Tabela1[[#This Row],[p(D)]]+Tabela1[[#This Row],[p(A)]]))</f>
        <v/>
      </c>
      <c r="AO397" s="74" t="str">
        <f>IF(A397="","",IFERROR(Tabela1[[#This Row],[p(H)]]/Tabela1[[#This Row],[FTHG]],1))</f>
        <v/>
      </c>
      <c r="AP397" s="74" t="str">
        <f>IF(A397="","",IFERROR(Tabela1[[#This Row],[p(A)]]/Tabela1[[#This Row],[FTAG]],1))</f>
        <v/>
      </c>
      <c r="AQ397" s="107"/>
      <c r="AR397" s="107"/>
      <c r="AS397" s="107"/>
      <c r="AT397" s="107"/>
      <c r="AU397" s="107"/>
      <c r="AV397" s="107"/>
      <c r="AW397" s="107"/>
      <c r="AX397" s="107"/>
      <c r="AY397" s="107"/>
      <c r="AZ397" s="75"/>
      <c r="BA397" s="75"/>
      <c r="BB397" s="75"/>
      <c r="BC397" s="107"/>
      <c r="BD397" s="107"/>
      <c r="BE397" s="107"/>
      <c r="BF397" s="107"/>
      <c r="BG397" s="107"/>
      <c r="BH397" s="107"/>
      <c r="BI397" s="107"/>
      <c r="BJ397" s="107"/>
      <c r="BK397" s="107"/>
      <c r="BL397" s="107"/>
      <c r="BM397" s="107"/>
      <c r="BN397" s="107"/>
      <c r="BO397" s="107"/>
      <c r="BP397" s="107"/>
      <c r="BQ397" s="107"/>
      <c r="BR397" s="107"/>
      <c r="BS397" s="107"/>
      <c r="BT397" s="107"/>
      <c r="BU397" s="107"/>
      <c r="BV397" s="107"/>
      <c r="BW397" s="107"/>
      <c r="BX397" s="75"/>
      <c r="BY397" s="75"/>
      <c r="BZ397" s="75"/>
      <c r="CA397" s="75"/>
      <c r="CB397" s="75"/>
      <c r="CC397" s="75"/>
      <c r="CD397" s="75"/>
      <c r="CE397" s="102"/>
      <c r="CF397" s="102"/>
      <c r="CG397" s="102"/>
      <c r="CH397" s="102"/>
      <c r="CI397" s="102"/>
      <c r="CJ397" s="102"/>
      <c r="CK397" s="102"/>
      <c r="CL397" s="102"/>
      <c r="CM397" s="102"/>
      <c r="CN397" s="102"/>
      <c r="CO397" s="102"/>
      <c r="CP397" s="102"/>
      <c r="CQ397" s="102"/>
      <c r="CR397" s="102"/>
      <c r="CS397" s="102"/>
      <c r="CT397" s="102"/>
      <c r="CU397" s="102"/>
      <c r="CV397" s="102"/>
      <c r="CW397" s="102"/>
      <c r="CX397" s="102"/>
      <c r="CY397" s="102"/>
      <c r="CZ397" s="102"/>
      <c r="DA397" s="102"/>
      <c r="DB397" s="102"/>
      <c r="DC397" s="102"/>
      <c r="DD397" s="102"/>
      <c r="DE397" s="102"/>
      <c r="DF397" s="102"/>
      <c r="DG397" s="102"/>
      <c r="DH397" s="102"/>
      <c r="DI397" s="102"/>
      <c r="DJ397" s="102"/>
      <c r="DK397" s="102"/>
      <c r="DL397" s="102"/>
      <c r="DM397" s="102"/>
      <c r="DN397" s="102"/>
      <c r="DO397" s="102"/>
      <c r="DP397" s="102"/>
    </row>
    <row r="398" spans="1:120" x14ac:dyDescent="0.25">
      <c r="A398" s="4"/>
      <c r="F398"/>
      <c r="G398" s="1"/>
      <c r="H398" s="1"/>
      <c r="I398" s="1"/>
      <c r="J398" s="68" t="str">
        <f t="shared" si="147"/>
        <v/>
      </c>
      <c r="K398" s="68" t="str">
        <f t="shared" si="148"/>
        <v/>
      </c>
      <c r="L398" s="69" t="str">
        <f t="shared" si="149"/>
        <v/>
      </c>
      <c r="M398" s="69" t="str">
        <f t="shared" si="150"/>
        <v/>
      </c>
      <c r="N398" s="69" t="str">
        <f>IF(A398="","",Tabela1[[#This Row],[PTC]]*Tabela1[[#This Row],[ODDC]])</f>
        <v/>
      </c>
      <c r="O398" s="69" t="str">
        <f>IF(A398="","",Tabela1[[#This Row],[PTV]]*Tabela1[[#This Row],[ODDV]])</f>
        <v/>
      </c>
      <c r="P398" s="68" t="str">
        <f t="shared" si="151"/>
        <v/>
      </c>
      <c r="Q398" s="68" t="str">
        <f t="shared" si="152"/>
        <v/>
      </c>
      <c r="R398" s="68" t="str">
        <f t="shared" si="153"/>
        <v/>
      </c>
      <c r="S398" s="68" t="str">
        <f t="shared" si="154"/>
        <v/>
      </c>
      <c r="T398" s="68" t="str">
        <f>IF(A398="","",IF(F398="D",Tabela1[[#This Row],[ODDE]]-1,-1))</f>
        <v/>
      </c>
      <c r="U398" s="70" t="str">
        <f>IF(A398="","",IF(AND(Tabela1[[#This Row],[FTHG]]&gt;3,F398="H"),1,0))</f>
        <v/>
      </c>
      <c r="V398" s="70" t="str">
        <f>IF(A398="","",IF(AND(Tabela1[[#This Row],[FTAG]]&gt;3,F398="A"),1,0))</f>
        <v/>
      </c>
      <c r="W398" s="70" t="str">
        <f t="shared" si="155"/>
        <v/>
      </c>
      <c r="X398" s="70" t="str">
        <f t="shared" si="156"/>
        <v/>
      </c>
      <c r="Y398" s="71" t="str">
        <f t="shared" si="157"/>
        <v/>
      </c>
      <c r="Z398" s="70" t="str">
        <f t="shared" si="158"/>
        <v/>
      </c>
      <c r="AA398" s="70" t="str">
        <f t="shared" si="159"/>
        <v/>
      </c>
      <c r="AB398" s="70" t="str">
        <f t="shared" si="160"/>
        <v/>
      </c>
      <c r="AC398" s="71" t="str">
        <f t="shared" si="161"/>
        <v/>
      </c>
      <c r="AD398" s="72" t="str">
        <f t="shared" si="162"/>
        <v/>
      </c>
      <c r="AE398" s="73" t="str">
        <f>IF(A398="","",COUNT($N$2:N398))</f>
        <v/>
      </c>
      <c r="AF398" s="74" t="str">
        <f t="shared" si="163"/>
        <v/>
      </c>
      <c r="AG398" s="74" t="str">
        <f t="shared" si="164"/>
        <v/>
      </c>
      <c r="AH398" s="74" t="str">
        <f t="shared" si="165"/>
        <v/>
      </c>
      <c r="AI398" s="74" t="str">
        <f t="shared" si="166"/>
        <v/>
      </c>
      <c r="AJ398" s="74" t="str">
        <f t="shared" si="167"/>
        <v/>
      </c>
      <c r="AK398" s="74" t="str">
        <f>IF(A398="","",1/Tabela1[[#This Row],[ODDC]])</f>
        <v/>
      </c>
      <c r="AL398" s="74" t="str">
        <f>IF(A398="","",1/Tabela1[[#This Row],[ODDE]])</f>
        <v/>
      </c>
      <c r="AM398" s="74" t="str">
        <f>IF(A398="","",1/Tabela1[[#This Row],[ODDV]])</f>
        <v/>
      </c>
      <c r="AN398" s="74" t="str">
        <f>IF(A398="","",1-(Tabela1[[#This Row],[p(H)]]+Tabela1[[#This Row],[p(D)]]+Tabela1[[#This Row],[p(A)]]))</f>
        <v/>
      </c>
      <c r="AO398" s="74" t="str">
        <f>IF(A398="","",IFERROR(Tabela1[[#This Row],[p(H)]]/Tabela1[[#This Row],[FTHG]],1))</f>
        <v/>
      </c>
      <c r="AP398" s="74" t="str">
        <f>IF(A398="","",IFERROR(Tabela1[[#This Row],[p(A)]]/Tabela1[[#This Row],[FTAG]],1))</f>
        <v/>
      </c>
      <c r="AQ398" s="107"/>
      <c r="AR398" s="107"/>
      <c r="AS398" s="107"/>
      <c r="AT398" s="107"/>
      <c r="AU398" s="107"/>
      <c r="AV398" s="107"/>
      <c r="AW398" s="107"/>
      <c r="AX398" s="107"/>
      <c r="AY398" s="107"/>
      <c r="AZ398" s="75"/>
      <c r="BA398" s="75"/>
      <c r="BB398" s="75"/>
      <c r="BC398" s="107"/>
      <c r="BD398" s="107"/>
      <c r="BE398" s="107"/>
      <c r="BF398" s="107"/>
      <c r="BG398" s="107"/>
      <c r="BH398" s="107"/>
      <c r="BI398" s="107"/>
      <c r="BJ398" s="107"/>
      <c r="BK398" s="107"/>
      <c r="BL398" s="107"/>
      <c r="BM398" s="107"/>
      <c r="BN398" s="107"/>
      <c r="BO398" s="107"/>
      <c r="BP398" s="107"/>
      <c r="BQ398" s="107"/>
      <c r="BR398" s="107"/>
      <c r="BS398" s="107"/>
      <c r="BT398" s="107"/>
      <c r="BU398" s="107"/>
      <c r="BV398" s="107"/>
      <c r="BW398" s="107"/>
      <c r="BX398" s="75"/>
      <c r="BY398" s="75"/>
      <c r="BZ398" s="75"/>
      <c r="CA398" s="75"/>
      <c r="CB398" s="75"/>
      <c r="CC398" s="75"/>
      <c r="CD398" s="75"/>
      <c r="CE398" s="102"/>
      <c r="CF398" s="102"/>
      <c r="CG398" s="102"/>
      <c r="CH398" s="102"/>
      <c r="CI398" s="102"/>
      <c r="CJ398" s="102"/>
      <c r="CK398" s="102"/>
      <c r="CL398" s="102"/>
      <c r="CM398" s="102"/>
      <c r="CN398" s="102"/>
      <c r="CO398" s="102"/>
      <c r="CP398" s="102"/>
      <c r="CQ398" s="102"/>
      <c r="CR398" s="102"/>
      <c r="CS398" s="102"/>
      <c r="CT398" s="102"/>
      <c r="CU398" s="102"/>
      <c r="CV398" s="102"/>
      <c r="CW398" s="102"/>
      <c r="CX398" s="102"/>
      <c r="CY398" s="102"/>
      <c r="CZ398" s="102"/>
      <c r="DA398" s="102"/>
      <c r="DB398" s="102"/>
      <c r="DC398" s="102"/>
      <c r="DD398" s="102"/>
      <c r="DE398" s="102"/>
      <c r="DF398" s="102"/>
      <c r="DG398" s="102"/>
      <c r="DH398" s="102"/>
      <c r="DI398" s="102"/>
      <c r="DJ398" s="102"/>
      <c r="DK398" s="102"/>
      <c r="DL398" s="102"/>
      <c r="DM398" s="102"/>
      <c r="DN398" s="102"/>
      <c r="DO398" s="102"/>
      <c r="DP398" s="102"/>
    </row>
    <row r="399" spans="1:120" x14ac:dyDescent="0.25">
      <c r="A399" s="4"/>
      <c r="F399"/>
      <c r="G399" s="1"/>
      <c r="H399" s="1"/>
      <c r="I399" s="1"/>
      <c r="J399" s="68" t="str">
        <f t="shared" si="147"/>
        <v/>
      </c>
      <c r="K399" s="68" t="str">
        <f t="shared" si="148"/>
        <v/>
      </c>
      <c r="L399" s="69" t="str">
        <f t="shared" si="149"/>
        <v/>
      </c>
      <c r="M399" s="69" t="str">
        <f t="shared" si="150"/>
        <v/>
      </c>
      <c r="N399" s="69" t="str">
        <f>IF(A399="","",Tabela1[[#This Row],[PTC]]*Tabela1[[#This Row],[ODDC]])</f>
        <v/>
      </c>
      <c r="O399" s="69" t="str">
        <f>IF(A399="","",Tabela1[[#This Row],[PTV]]*Tabela1[[#This Row],[ODDV]])</f>
        <v/>
      </c>
      <c r="P399" s="68" t="str">
        <f t="shared" si="151"/>
        <v/>
      </c>
      <c r="Q399" s="68" t="str">
        <f t="shared" si="152"/>
        <v/>
      </c>
      <c r="R399" s="68" t="str">
        <f t="shared" si="153"/>
        <v/>
      </c>
      <c r="S399" s="68" t="str">
        <f t="shared" si="154"/>
        <v/>
      </c>
      <c r="T399" s="68" t="str">
        <f>IF(A399="","",IF(F399="D",Tabela1[[#This Row],[ODDE]]-1,-1))</f>
        <v/>
      </c>
      <c r="U399" s="70" t="str">
        <f>IF(A399="","",IF(AND(Tabela1[[#This Row],[FTHG]]&gt;3,F399="H"),1,0))</f>
        <v/>
      </c>
      <c r="V399" s="70" t="str">
        <f>IF(A399="","",IF(AND(Tabela1[[#This Row],[FTAG]]&gt;3,F399="A"),1,0))</f>
        <v/>
      </c>
      <c r="W399" s="70" t="str">
        <f t="shared" si="155"/>
        <v/>
      </c>
      <c r="X399" s="70" t="str">
        <f t="shared" si="156"/>
        <v/>
      </c>
      <c r="Y399" s="71" t="str">
        <f t="shared" si="157"/>
        <v/>
      </c>
      <c r="Z399" s="70" t="str">
        <f t="shared" si="158"/>
        <v/>
      </c>
      <c r="AA399" s="70" t="str">
        <f t="shared" si="159"/>
        <v/>
      </c>
      <c r="AB399" s="70" t="str">
        <f t="shared" si="160"/>
        <v/>
      </c>
      <c r="AC399" s="71" t="str">
        <f t="shared" si="161"/>
        <v/>
      </c>
      <c r="AD399" s="72" t="str">
        <f t="shared" si="162"/>
        <v/>
      </c>
      <c r="AE399" s="73" t="str">
        <f>IF(A399="","",COUNT($N$2:N399))</f>
        <v/>
      </c>
      <c r="AF399" s="74" t="str">
        <f t="shared" si="163"/>
        <v/>
      </c>
      <c r="AG399" s="74" t="str">
        <f t="shared" si="164"/>
        <v/>
      </c>
      <c r="AH399" s="74" t="str">
        <f t="shared" si="165"/>
        <v/>
      </c>
      <c r="AI399" s="74" t="str">
        <f t="shared" si="166"/>
        <v/>
      </c>
      <c r="AJ399" s="74" t="str">
        <f t="shared" si="167"/>
        <v/>
      </c>
      <c r="AK399" s="74" t="str">
        <f>IF(A399="","",1/Tabela1[[#This Row],[ODDC]])</f>
        <v/>
      </c>
      <c r="AL399" s="74" t="str">
        <f>IF(A399="","",1/Tabela1[[#This Row],[ODDE]])</f>
        <v/>
      </c>
      <c r="AM399" s="74" t="str">
        <f>IF(A399="","",1/Tabela1[[#This Row],[ODDV]])</f>
        <v/>
      </c>
      <c r="AN399" s="74" t="str">
        <f>IF(A399="","",1-(Tabela1[[#This Row],[p(H)]]+Tabela1[[#This Row],[p(D)]]+Tabela1[[#This Row],[p(A)]]))</f>
        <v/>
      </c>
      <c r="AO399" s="74" t="str">
        <f>IF(A399="","",IFERROR(Tabela1[[#This Row],[p(H)]]/Tabela1[[#This Row],[FTHG]],1))</f>
        <v/>
      </c>
      <c r="AP399" s="74" t="str">
        <f>IF(A399="","",IFERROR(Tabela1[[#This Row],[p(A)]]/Tabela1[[#This Row],[FTAG]],1))</f>
        <v/>
      </c>
      <c r="AQ399" s="107"/>
      <c r="AR399" s="107"/>
      <c r="AS399" s="107"/>
      <c r="AT399" s="107"/>
      <c r="AU399" s="107"/>
      <c r="AV399" s="107"/>
      <c r="AW399" s="107"/>
      <c r="AX399" s="107"/>
      <c r="AY399" s="107"/>
      <c r="AZ399" s="75"/>
      <c r="BA399" s="75"/>
      <c r="BB399" s="75"/>
      <c r="BC399" s="107"/>
      <c r="BD399" s="107"/>
      <c r="BE399" s="107"/>
      <c r="BF399" s="107"/>
      <c r="BG399" s="107"/>
      <c r="BH399" s="107"/>
      <c r="BI399" s="107"/>
      <c r="BJ399" s="107"/>
      <c r="BK399" s="107"/>
      <c r="BL399" s="107"/>
      <c r="BM399" s="107"/>
      <c r="BN399" s="107"/>
      <c r="BO399" s="107"/>
      <c r="BP399" s="107"/>
      <c r="BQ399" s="107"/>
      <c r="BR399" s="107"/>
      <c r="BS399" s="107"/>
      <c r="BT399" s="107"/>
      <c r="BU399" s="107"/>
      <c r="BV399" s="107"/>
      <c r="BW399" s="107"/>
      <c r="BX399" s="75"/>
      <c r="BY399" s="75"/>
      <c r="BZ399" s="75"/>
      <c r="CA399" s="75"/>
      <c r="CB399" s="75"/>
      <c r="CC399" s="75"/>
      <c r="CD399" s="75"/>
      <c r="CE399" s="102"/>
      <c r="CF399" s="102"/>
      <c r="CG399" s="102"/>
      <c r="CH399" s="102"/>
      <c r="CI399" s="102"/>
      <c r="CJ399" s="102"/>
      <c r="CK399" s="102"/>
      <c r="CL399" s="102"/>
      <c r="CM399" s="102"/>
      <c r="CN399" s="102"/>
      <c r="CO399" s="102"/>
      <c r="CP399" s="102"/>
      <c r="CQ399" s="102"/>
      <c r="CR399" s="102"/>
      <c r="CS399" s="102"/>
      <c r="CT399" s="102"/>
      <c r="CU399" s="102"/>
      <c r="CV399" s="102"/>
      <c r="CW399" s="102"/>
      <c r="CX399" s="102"/>
      <c r="CY399" s="102"/>
      <c r="CZ399" s="102"/>
      <c r="DA399" s="102"/>
      <c r="DB399" s="102"/>
      <c r="DC399" s="102"/>
      <c r="DD399" s="102"/>
      <c r="DE399" s="102"/>
      <c r="DF399" s="102"/>
      <c r="DG399" s="102"/>
      <c r="DH399" s="102"/>
      <c r="DI399" s="102"/>
      <c r="DJ399" s="102"/>
      <c r="DK399" s="102"/>
      <c r="DL399" s="102"/>
      <c r="DM399" s="102"/>
      <c r="DN399" s="102"/>
      <c r="DO399" s="102"/>
      <c r="DP399" s="102"/>
    </row>
    <row r="400" spans="1:120" x14ac:dyDescent="0.25">
      <c r="A400" s="4"/>
      <c r="F400"/>
      <c r="G400" s="1"/>
      <c r="H400" s="1"/>
      <c r="I400" s="1"/>
      <c r="J400" s="68" t="str">
        <f t="shared" si="147"/>
        <v/>
      </c>
      <c r="K400" s="68" t="str">
        <f t="shared" si="148"/>
        <v/>
      </c>
      <c r="L400" s="69" t="str">
        <f t="shared" si="149"/>
        <v/>
      </c>
      <c r="M400" s="69" t="str">
        <f t="shared" si="150"/>
        <v/>
      </c>
      <c r="N400" s="69" t="str">
        <f>IF(A400="","",Tabela1[[#This Row],[PTC]]*Tabela1[[#This Row],[ODDC]])</f>
        <v/>
      </c>
      <c r="O400" s="69" t="str">
        <f>IF(A400="","",Tabela1[[#This Row],[PTV]]*Tabela1[[#This Row],[ODDV]])</f>
        <v/>
      </c>
      <c r="P400" s="68" t="str">
        <f t="shared" si="151"/>
        <v/>
      </c>
      <c r="Q400" s="68" t="str">
        <f t="shared" si="152"/>
        <v/>
      </c>
      <c r="R400" s="68" t="str">
        <f t="shared" si="153"/>
        <v/>
      </c>
      <c r="S400" s="68" t="str">
        <f t="shared" si="154"/>
        <v/>
      </c>
      <c r="T400" s="68" t="str">
        <f>IF(A400="","",IF(F400="D",Tabela1[[#This Row],[ODDE]]-1,-1))</f>
        <v/>
      </c>
      <c r="U400" s="70" t="str">
        <f>IF(A400="","",IF(AND(Tabela1[[#This Row],[FTHG]]&gt;3,F400="H"),1,0))</f>
        <v/>
      </c>
      <c r="V400" s="70" t="str">
        <f>IF(A400="","",IF(AND(Tabela1[[#This Row],[FTAG]]&gt;3,F400="A"),1,0))</f>
        <v/>
      </c>
      <c r="W400" s="70" t="str">
        <f t="shared" si="155"/>
        <v/>
      </c>
      <c r="X400" s="70" t="str">
        <f t="shared" si="156"/>
        <v/>
      </c>
      <c r="Y400" s="71" t="str">
        <f t="shared" si="157"/>
        <v/>
      </c>
      <c r="Z400" s="70" t="str">
        <f t="shared" si="158"/>
        <v/>
      </c>
      <c r="AA400" s="70" t="str">
        <f t="shared" si="159"/>
        <v/>
      </c>
      <c r="AB400" s="70" t="str">
        <f t="shared" si="160"/>
        <v/>
      </c>
      <c r="AC400" s="71" t="str">
        <f t="shared" si="161"/>
        <v/>
      </c>
      <c r="AD400" s="72" t="str">
        <f t="shared" si="162"/>
        <v/>
      </c>
      <c r="AE400" s="73" t="str">
        <f>IF(A400="","",COUNT($N$2:N400))</f>
        <v/>
      </c>
      <c r="AF400" s="74" t="str">
        <f t="shared" si="163"/>
        <v/>
      </c>
      <c r="AG400" s="74" t="str">
        <f t="shared" si="164"/>
        <v/>
      </c>
      <c r="AH400" s="74" t="str">
        <f t="shared" si="165"/>
        <v/>
      </c>
      <c r="AI400" s="74" t="str">
        <f t="shared" si="166"/>
        <v/>
      </c>
      <c r="AJ400" s="74" t="str">
        <f t="shared" si="167"/>
        <v/>
      </c>
      <c r="AK400" s="74" t="str">
        <f>IF(A400="","",1/Tabela1[[#This Row],[ODDC]])</f>
        <v/>
      </c>
      <c r="AL400" s="74" t="str">
        <f>IF(A400="","",1/Tabela1[[#This Row],[ODDE]])</f>
        <v/>
      </c>
      <c r="AM400" s="74" t="str">
        <f>IF(A400="","",1/Tabela1[[#This Row],[ODDV]])</f>
        <v/>
      </c>
      <c r="AN400" s="74" t="str">
        <f>IF(A400="","",1-(Tabela1[[#This Row],[p(H)]]+Tabela1[[#This Row],[p(D)]]+Tabela1[[#This Row],[p(A)]]))</f>
        <v/>
      </c>
      <c r="AO400" s="74" t="str">
        <f>IF(A400="","",IFERROR(Tabela1[[#This Row],[p(H)]]/Tabela1[[#This Row],[FTHG]],1))</f>
        <v/>
      </c>
      <c r="AP400" s="74" t="str">
        <f>IF(A400="","",IFERROR(Tabela1[[#This Row],[p(A)]]/Tabela1[[#This Row],[FTAG]],1))</f>
        <v/>
      </c>
      <c r="AQ400" s="107"/>
      <c r="AR400" s="107"/>
      <c r="AS400" s="107"/>
      <c r="AT400" s="107"/>
      <c r="AU400" s="107"/>
      <c r="AV400" s="107"/>
      <c r="AW400" s="107"/>
      <c r="AX400" s="107"/>
      <c r="AY400" s="107"/>
      <c r="AZ400" s="75"/>
      <c r="BA400" s="75"/>
      <c r="BB400" s="75"/>
      <c r="BC400" s="107"/>
      <c r="BD400" s="107"/>
      <c r="BE400" s="107"/>
      <c r="BF400" s="107"/>
      <c r="BG400" s="107"/>
      <c r="BH400" s="107"/>
      <c r="BI400" s="107"/>
      <c r="BJ400" s="107"/>
      <c r="BK400" s="107"/>
      <c r="BL400" s="107"/>
      <c r="BM400" s="107"/>
      <c r="BN400" s="107"/>
      <c r="BO400" s="107"/>
      <c r="BP400" s="107"/>
      <c r="BQ400" s="107"/>
      <c r="BR400" s="107"/>
      <c r="BS400" s="107"/>
      <c r="BT400" s="107"/>
      <c r="BU400" s="107"/>
      <c r="BV400" s="107"/>
      <c r="BW400" s="107"/>
      <c r="BX400" s="75"/>
      <c r="BY400" s="75"/>
      <c r="BZ400" s="75"/>
      <c r="CA400" s="75"/>
      <c r="CB400" s="75"/>
      <c r="CC400" s="75"/>
      <c r="CD400" s="75"/>
      <c r="CE400" s="102"/>
      <c r="CF400" s="102"/>
      <c r="CG400" s="102"/>
      <c r="CH400" s="102"/>
      <c r="CI400" s="102"/>
      <c r="CJ400" s="102"/>
      <c r="CK400" s="102"/>
      <c r="CL400" s="102"/>
      <c r="CM400" s="102"/>
      <c r="CN400" s="102"/>
      <c r="CO400" s="102"/>
      <c r="CP400" s="102"/>
      <c r="CQ400" s="102"/>
      <c r="CR400" s="102"/>
      <c r="CS400" s="102"/>
      <c r="CT400" s="102"/>
      <c r="CU400" s="102"/>
      <c r="CV400" s="102"/>
      <c r="CW400" s="102"/>
      <c r="CX400" s="102"/>
      <c r="CY400" s="102"/>
      <c r="CZ400" s="102"/>
      <c r="DA400" s="102"/>
      <c r="DB400" s="102"/>
      <c r="DC400" s="102"/>
      <c r="DD400" s="102"/>
      <c r="DE400" s="102"/>
      <c r="DF400" s="102"/>
      <c r="DG400" s="102"/>
      <c r="DH400" s="102"/>
      <c r="DI400" s="102"/>
      <c r="DJ400" s="102"/>
      <c r="DK400" s="102"/>
      <c r="DL400" s="102"/>
      <c r="DM400" s="102"/>
      <c r="DN400" s="102"/>
      <c r="DO400" s="102"/>
      <c r="DP400" s="102"/>
    </row>
    <row r="401" spans="1:120" x14ac:dyDescent="0.25">
      <c r="A401" s="4"/>
      <c r="F401"/>
      <c r="G401" s="1"/>
      <c r="H401" s="1"/>
      <c r="I401" s="1"/>
      <c r="J401" s="68" t="str">
        <f t="shared" si="147"/>
        <v/>
      </c>
      <c r="K401" s="68" t="str">
        <f t="shared" si="148"/>
        <v/>
      </c>
      <c r="L401" s="69" t="str">
        <f t="shared" si="149"/>
        <v/>
      </c>
      <c r="M401" s="69" t="str">
        <f t="shared" si="150"/>
        <v/>
      </c>
      <c r="N401" s="69" t="str">
        <f>IF(A401="","",Tabela1[[#This Row],[PTC]]*Tabela1[[#This Row],[ODDC]])</f>
        <v/>
      </c>
      <c r="O401" s="69" t="str">
        <f>IF(A401="","",Tabela1[[#This Row],[PTV]]*Tabela1[[#This Row],[ODDV]])</f>
        <v/>
      </c>
      <c r="P401" s="68" t="str">
        <f t="shared" si="151"/>
        <v/>
      </c>
      <c r="Q401" s="68" t="str">
        <f t="shared" si="152"/>
        <v/>
      </c>
      <c r="R401" s="68" t="str">
        <f t="shared" si="153"/>
        <v/>
      </c>
      <c r="S401" s="68" t="str">
        <f t="shared" si="154"/>
        <v/>
      </c>
      <c r="T401" s="68" t="str">
        <f>IF(A401="","",IF(F401="D",Tabela1[[#This Row],[ODDE]]-1,-1))</f>
        <v/>
      </c>
      <c r="U401" s="70" t="str">
        <f>IF(A401="","",IF(AND(Tabela1[[#This Row],[FTHG]]&gt;3,F401="H"),1,0))</f>
        <v/>
      </c>
      <c r="V401" s="70" t="str">
        <f>IF(A401="","",IF(AND(Tabela1[[#This Row],[FTAG]]&gt;3,F401="A"),1,0))</f>
        <v/>
      </c>
      <c r="W401" s="70" t="str">
        <f t="shared" si="155"/>
        <v/>
      </c>
      <c r="X401" s="70" t="str">
        <f t="shared" si="156"/>
        <v/>
      </c>
      <c r="Y401" s="71" t="str">
        <f t="shared" si="157"/>
        <v/>
      </c>
      <c r="Z401" s="70" t="str">
        <f t="shared" si="158"/>
        <v/>
      </c>
      <c r="AA401" s="70" t="str">
        <f t="shared" si="159"/>
        <v/>
      </c>
      <c r="AB401" s="70" t="str">
        <f t="shared" si="160"/>
        <v/>
      </c>
      <c r="AC401" s="71" t="str">
        <f t="shared" si="161"/>
        <v/>
      </c>
      <c r="AD401" s="72" t="str">
        <f t="shared" si="162"/>
        <v/>
      </c>
      <c r="AE401" s="73" t="str">
        <f>IF(A401="","",COUNT($N$2:N401))</f>
        <v/>
      </c>
      <c r="AF401" s="74" t="str">
        <f t="shared" si="163"/>
        <v/>
      </c>
      <c r="AG401" s="74" t="str">
        <f t="shared" si="164"/>
        <v/>
      </c>
      <c r="AH401" s="74" t="str">
        <f t="shared" si="165"/>
        <v/>
      </c>
      <c r="AI401" s="74" t="str">
        <f t="shared" si="166"/>
        <v/>
      </c>
      <c r="AJ401" s="74" t="str">
        <f t="shared" si="167"/>
        <v/>
      </c>
      <c r="AK401" s="74" t="str">
        <f>IF(A401="","",1/Tabela1[[#This Row],[ODDC]])</f>
        <v/>
      </c>
      <c r="AL401" s="74" t="str">
        <f>IF(A401="","",1/Tabela1[[#This Row],[ODDE]])</f>
        <v/>
      </c>
      <c r="AM401" s="74" t="str">
        <f>IF(A401="","",1/Tabela1[[#This Row],[ODDV]])</f>
        <v/>
      </c>
      <c r="AN401" s="74" t="str">
        <f>IF(A401="","",1-(Tabela1[[#This Row],[p(H)]]+Tabela1[[#This Row],[p(D)]]+Tabela1[[#This Row],[p(A)]]))</f>
        <v/>
      </c>
      <c r="AO401" s="74" t="str">
        <f>IF(A401="","",IFERROR(Tabela1[[#This Row],[p(H)]]/Tabela1[[#This Row],[FTHG]],1))</f>
        <v/>
      </c>
      <c r="AP401" s="74" t="str">
        <f>IF(A401="","",IFERROR(Tabela1[[#This Row],[p(A)]]/Tabela1[[#This Row],[FTAG]],1))</f>
        <v/>
      </c>
      <c r="AQ401" s="107"/>
      <c r="AR401" s="107"/>
      <c r="AS401" s="107"/>
      <c r="AT401" s="107"/>
      <c r="AU401" s="107"/>
      <c r="AV401" s="107"/>
      <c r="AW401" s="107"/>
      <c r="AX401" s="107"/>
      <c r="AY401" s="107"/>
      <c r="AZ401" s="75"/>
      <c r="BA401" s="75"/>
      <c r="BB401" s="75"/>
      <c r="BC401" s="107"/>
      <c r="BD401" s="107"/>
      <c r="BE401" s="107"/>
      <c r="BF401" s="107"/>
      <c r="BG401" s="107"/>
      <c r="BH401" s="107"/>
      <c r="BI401" s="107"/>
      <c r="BJ401" s="107"/>
      <c r="BK401" s="107"/>
      <c r="BL401" s="107"/>
      <c r="BM401" s="107"/>
      <c r="BN401" s="107"/>
      <c r="BO401" s="107"/>
      <c r="BP401" s="107"/>
      <c r="BQ401" s="107"/>
      <c r="BR401" s="107"/>
      <c r="BS401" s="107"/>
      <c r="BT401" s="107"/>
      <c r="BU401" s="107"/>
      <c r="BV401" s="107"/>
      <c r="BW401" s="107"/>
      <c r="BX401" s="75"/>
      <c r="BY401" s="75"/>
      <c r="BZ401" s="75"/>
      <c r="CA401" s="75"/>
      <c r="CB401" s="75"/>
      <c r="CC401" s="75"/>
      <c r="CD401" s="75"/>
      <c r="CE401" s="102"/>
      <c r="CF401" s="102"/>
      <c r="CG401" s="102"/>
      <c r="CH401" s="102"/>
      <c r="CI401" s="102"/>
      <c r="CJ401" s="102"/>
      <c r="CK401" s="102"/>
      <c r="CL401" s="102"/>
      <c r="CM401" s="102"/>
      <c r="CN401" s="102"/>
      <c r="CO401" s="102"/>
      <c r="CP401" s="102"/>
      <c r="CQ401" s="102"/>
      <c r="CR401" s="102"/>
      <c r="CS401" s="102"/>
      <c r="CT401" s="102"/>
      <c r="CU401" s="102"/>
      <c r="CV401" s="102"/>
      <c r="CW401" s="102"/>
      <c r="CX401" s="102"/>
      <c r="CY401" s="102"/>
      <c r="CZ401" s="102"/>
      <c r="DA401" s="102"/>
      <c r="DB401" s="102"/>
      <c r="DC401" s="102"/>
      <c r="DD401" s="102"/>
      <c r="DE401" s="102"/>
      <c r="DF401" s="102"/>
      <c r="DG401" s="102"/>
      <c r="DH401" s="102"/>
      <c r="DI401" s="102"/>
      <c r="DJ401" s="102"/>
      <c r="DK401" s="102"/>
      <c r="DL401" s="102"/>
      <c r="DM401" s="102"/>
      <c r="DN401" s="102"/>
      <c r="DO401" s="102"/>
      <c r="DP401" s="102"/>
    </row>
    <row r="402" spans="1:120" x14ac:dyDescent="0.25">
      <c r="A402" s="4"/>
      <c r="F402"/>
      <c r="G402" s="1"/>
      <c r="H402" s="1"/>
      <c r="I402" s="1"/>
      <c r="J402" s="68" t="str">
        <f t="shared" si="147"/>
        <v/>
      </c>
      <c r="K402" s="68" t="str">
        <f t="shared" si="148"/>
        <v/>
      </c>
      <c r="L402" s="69" t="str">
        <f t="shared" si="149"/>
        <v/>
      </c>
      <c r="M402" s="69" t="str">
        <f t="shared" si="150"/>
        <v/>
      </c>
      <c r="N402" s="69" t="str">
        <f>IF(A402="","",Tabela1[[#This Row],[PTC]]*Tabela1[[#This Row],[ODDC]])</f>
        <v/>
      </c>
      <c r="O402" s="69" t="str">
        <f>IF(A402="","",Tabela1[[#This Row],[PTV]]*Tabela1[[#This Row],[ODDV]])</f>
        <v/>
      </c>
      <c r="P402" s="68" t="str">
        <f t="shared" si="151"/>
        <v/>
      </c>
      <c r="Q402" s="68" t="str">
        <f t="shared" si="152"/>
        <v/>
      </c>
      <c r="R402" s="68" t="str">
        <f t="shared" si="153"/>
        <v/>
      </c>
      <c r="S402" s="68" t="str">
        <f t="shared" si="154"/>
        <v/>
      </c>
      <c r="T402" s="68" t="str">
        <f>IF(A402="","",IF(F402="D",Tabela1[[#This Row],[ODDE]]-1,-1))</f>
        <v/>
      </c>
      <c r="U402" s="70" t="str">
        <f>IF(A402="","",IF(AND(Tabela1[[#This Row],[FTHG]]&gt;3,F402="H"),1,0))</f>
        <v/>
      </c>
      <c r="V402" s="70" t="str">
        <f>IF(A402="","",IF(AND(Tabela1[[#This Row],[FTAG]]&gt;3,F402="A"),1,0))</f>
        <v/>
      </c>
      <c r="W402" s="70" t="str">
        <f t="shared" si="155"/>
        <v/>
      </c>
      <c r="X402" s="70" t="str">
        <f t="shared" si="156"/>
        <v/>
      </c>
      <c r="Y402" s="71" t="str">
        <f t="shared" si="157"/>
        <v/>
      </c>
      <c r="Z402" s="70" t="str">
        <f t="shared" si="158"/>
        <v/>
      </c>
      <c r="AA402" s="70" t="str">
        <f t="shared" si="159"/>
        <v/>
      </c>
      <c r="AB402" s="70" t="str">
        <f t="shared" si="160"/>
        <v/>
      </c>
      <c r="AC402" s="71" t="str">
        <f t="shared" si="161"/>
        <v/>
      </c>
      <c r="AD402" s="72" t="str">
        <f t="shared" si="162"/>
        <v/>
      </c>
      <c r="AE402" s="73" t="str">
        <f>IF(A402="","",COUNT($N$2:N402))</f>
        <v/>
      </c>
      <c r="AF402" s="74" t="str">
        <f t="shared" si="163"/>
        <v/>
      </c>
      <c r="AG402" s="74" t="str">
        <f t="shared" si="164"/>
        <v/>
      </c>
      <c r="AH402" s="74" t="str">
        <f t="shared" si="165"/>
        <v/>
      </c>
      <c r="AI402" s="74" t="str">
        <f t="shared" si="166"/>
        <v/>
      </c>
      <c r="AJ402" s="74" t="str">
        <f t="shared" si="167"/>
        <v/>
      </c>
      <c r="AK402" s="74" t="str">
        <f>IF(A402="","",1/Tabela1[[#This Row],[ODDC]])</f>
        <v/>
      </c>
      <c r="AL402" s="74" t="str">
        <f>IF(A402="","",1/Tabela1[[#This Row],[ODDE]])</f>
        <v/>
      </c>
      <c r="AM402" s="74" t="str">
        <f>IF(A402="","",1/Tabela1[[#This Row],[ODDV]])</f>
        <v/>
      </c>
      <c r="AN402" s="74" t="str">
        <f>IF(A402="","",1-(Tabela1[[#This Row],[p(H)]]+Tabela1[[#This Row],[p(D)]]+Tabela1[[#This Row],[p(A)]]))</f>
        <v/>
      </c>
      <c r="AO402" s="74" t="str">
        <f>IF(A402="","",IFERROR(Tabela1[[#This Row],[p(H)]]/Tabela1[[#This Row],[FTHG]],1))</f>
        <v/>
      </c>
      <c r="AP402" s="74" t="str">
        <f>IF(A402="","",IFERROR(Tabela1[[#This Row],[p(A)]]/Tabela1[[#This Row],[FTAG]],1))</f>
        <v/>
      </c>
      <c r="AQ402" s="107"/>
      <c r="AR402" s="107"/>
      <c r="AS402" s="107"/>
      <c r="AT402" s="107"/>
      <c r="AU402" s="107"/>
      <c r="AV402" s="107"/>
      <c r="AW402" s="107"/>
      <c r="AX402" s="107"/>
      <c r="AY402" s="107"/>
      <c r="AZ402" s="75"/>
      <c r="BA402" s="75"/>
      <c r="BB402" s="75"/>
      <c r="BC402" s="107"/>
      <c r="BD402" s="107"/>
      <c r="BE402" s="107"/>
      <c r="BF402" s="107"/>
      <c r="BG402" s="107"/>
      <c r="BH402" s="107"/>
      <c r="BI402" s="107"/>
      <c r="BJ402" s="107"/>
      <c r="BK402" s="107"/>
      <c r="BL402" s="107"/>
      <c r="BM402" s="107"/>
      <c r="BN402" s="107"/>
      <c r="BO402" s="107"/>
      <c r="BP402" s="107"/>
      <c r="BQ402" s="107"/>
      <c r="BR402" s="107"/>
      <c r="BS402" s="107"/>
      <c r="BT402" s="107"/>
      <c r="BU402" s="107"/>
      <c r="BV402" s="107"/>
      <c r="BW402" s="107"/>
      <c r="BX402" s="75"/>
      <c r="BY402" s="75"/>
      <c r="BZ402" s="75"/>
      <c r="CA402" s="75"/>
      <c r="CB402" s="75"/>
      <c r="CC402" s="75"/>
      <c r="CD402" s="75"/>
      <c r="CE402" s="102"/>
      <c r="CF402" s="102"/>
      <c r="CG402" s="102"/>
      <c r="CH402" s="102"/>
      <c r="CI402" s="102"/>
      <c r="CJ402" s="102"/>
      <c r="CK402" s="102"/>
      <c r="CL402" s="102"/>
      <c r="CM402" s="102"/>
      <c r="CN402" s="102"/>
      <c r="CO402" s="102"/>
      <c r="CP402" s="102"/>
      <c r="CQ402" s="102"/>
      <c r="CR402" s="102"/>
      <c r="CS402" s="102"/>
      <c r="CT402" s="102"/>
      <c r="CU402" s="102"/>
      <c r="CV402" s="102"/>
      <c r="CW402" s="102"/>
      <c r="CX402" s="102"/>
      <c r="CY402" s="102"/>
      <c r="CZ402" s="102"/>
      <c r="DA402" s="102"/>
      <c r="DB402" s="102"/>
      <c r="DC402" s="102"/>
      <c r="DD402" s="102"/>
      <c r="DE402" s="102"/>
      <c r="DF402" s="102"/>
      <c r="DG402" s="102"/>
      <c r="DH402" s="102"/>
      <c r="DI402" s="102"/>
      <c r="DJ402" s="102"/>
      <c r="DK402" s="102"/>
      <c r="DL402" s="102"/>
      <c r="DM402" s="102"/>
      <c r="DN402" s="102"/>
      <c r="DO402" s="102"/>
      <c r="DP402" s="102"/>
    </row>
    <row r="403" spans="1:120" x14ac:dyDescent="0.25">
      <c r="A403" s="4"/>
      <c r="F403"/>
      <c r="G403" s="1"/>
      <c r="H403" s="1"/>
      <c r="I403" s="1"/>
      <c r="J403" s="68" t="str">
        <f t="shared" si="147"/>
        <v/>
      </c>
      <c r="K403" s="68" t="str">
        <f t="shared" si="148"/>
        <v/>
      </c>
      <c r="L403" s="69" t="str">
        <f t="shared" si="149"/>
        <v/>
      </c>
      <c r="M403" s="69" t="str">
        <f t="shared" si="150"/>
        <v/>
      </c>
      <c r="N403" s="69" t="str">
        <f>IF(A403="","",Tabela1[[#This Row],[PTC]]*Tabela1[[#This Row],[ODDC]])</f>
        <v/>
      </c>
      <c r="O403" s="69" t="str">
        <f>IF(A403="","",Tabela1[[#This Row],[PTV]]*Tabela1[[#This Row],[ODDV]])</f>
        <v/>
      </c>
      <c r="P403" s="68" t="str">
        <f t="shared" si="151"/>
        <v/>
      </c>
      <c r="Q403" s="68" t="str">
        <f t="shared" si="152"/>
        <v/>
      </c>
      <c r="R403" s="68" t="str">
        <f t="shared" si="153"/>
        <v/>
      </c>
      <c r="S403" s="68" t="str">
        <f t="shared" si="154"/>
        <v/>
      </c>
      <c r="T403" s="68" t="str">
        <f>IF(A403="","",IF(F403="D",Tabela1[[#This Row],[ODDE]]-1,-1))</f>
        <v/>
      </c>
      <c r="U403" s="70" t="str">
        <f>IF(A403="","",IF(AND(Tabela1[[#This Row],[FTHG]]&gt;3,F403="H"),1,0))</f>
        <v/>
      </c>
      <c r="V403" s="70" t="str">
        <f>IF(A403="","",IF(AND(Tabela1[[#This Row],[FTAG]]&gt;3,F403="A"),1,0))</f>
        <v/>
      </c>
      <c r="W403" s="70" t="str">
        <f t="shared" si="155"/>
        <v/>
      </c>
      <c r="X403" s="70" t="str">
        <f t="shared" si="156"/>
        <v/>
      </c>
      <c r="Y403" s="71" t="str">
        <f t="shared" si="157"/>
        <v/>
      </c>
      <c r="Z403" s="70" t="str">
        <f t="shared" si="158"/>
        <v/>
      </c>
      <c r="AA403" s="70" t="str">
        <f t="shared" si="159"/>
        <v/>
      </c>
      <c r="AB403" s="70" t="str">
        <f t="shared" si="160"/>
        <v/>
      </c>
      <c r="AC403" s="71" t="str">
        <f t="shared" si="161"/>
        <v/>
      </c>
      <c r="AD403" s="72" t="str">
        <f t="shared" si="162"/>
        <v/>
      </c>
      <c r="AE403" s="73" t="str">
        <f>IF(A403="","",COUNT($N$2:N403))</f>
        <v/>
      </c>
      <c r="AF403" s="74" t="str">
        <f t="shared" si="163"/>
        <v/>
      </c>
      <c r="AG403" s="74" t="str">
        <f t="shared" si="164"/>
        <v/>
      </c>
      <c r="AH403" s="74" t="str">
        <f t="shared" si="165"/>
        <v/>
      </c>
      <c r="AI403" s="74" t="str">
        <f t="shared" si="166"/>
        <v/>
      </c>
      <c r="AJ403" s="74" t="str">
        <f t="shared" si="167"/>
        <v/>
      </c>
      <c r="AK403" s="74" t="str">
        <f>IF(A403="","",1/Tabela1[[#This Row],[ODDC]])</f>
        <v/>
      </c>
      <c r="AL403" s="74" t="str">
        <f>IF(A403="","",1/Tabela1[[#This Row],[ODDE]])</f>
        <v/>
      </c>
      <c r="AM403" s="74" t="str">
        <f>IF(A403="","",1/Tabela1[[#This Row],[ODDV]])</f>
        <v/>
      </c>
      <c r="AN403" s="74" t="str">
        <f>IF(A403="","",1-(Tabela1[[#This Row],[p(H)]]+Tabela1[[#This Row],[p(D)]]+Tabela1[[#This Row],[p(A)]]))</f>
        <v/>
      </c>
      <c r="AO403" s="74" t="str">
        <f>IF(A403="","",IFERROR(Tabela1[[#This Row],[p(H)]]/Tabela1[[#This Row],[FTHG]],1))</f>
        <v/>
      </c>
      <c r="AP403" s="74" t="str">
        <f>IF(A403="","",IFERROR(Tabela1[[#This Row],[p(A)]]/Tabela1[[#This Row],[FTAG]],1))</f>
        <v/>
      </c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75"/>
      <c r="BA403" s="75"/>
      <c r="BB403" s="75"/>
      <c r="BC403" s="107"/>
      <c r="BD403" s="107"/>
      <c r="BE403" s="107"/>
      <c r="BF403" s="107"/>
      <c r="BG403" s="107"/>
      <c r="BH403" s="107"/>
      <c r="BI403" s="107"/>
      <c r="BJ403" s="107"/>
      <c r="BK403" s="107"/>
      <c r="BL403" s="107"/>
      <c r="BM403" s="107"/>
      <c r="BN403" s="107"/>
      <c r="BO403" s="107"/>
      <c r="BP403" s="107"/>
      <c r="BQ403" s="107"/>
      <c r="BR403" s="107"/>
      <c r="BS403" s="107"/>
      <c r="BT403" s="107"/>
      <c r="BU403" s="107"/>
      <c r="BV403" s="107"/>
      <c r="BW403" s="107"/>
      <c r="BX403" s="75"/>
      <c r="BY403" s="75"/>
      <c r="BZ403" s="75"/>
      <c r="CA403" s="75"/>
      <c r="CB403" s="75"/>
      <c r="CC403" s="75"/>
      <c r="CD403" s="75"/>
      <c r="CE403" s="102"/>
      <c r="CF403" s="102"/>
      <c r="CG403" s="102"/>
      <c r="CH403" s="102"/>
      <c r="CI403" s="102"/>
      <c r="CJ403" s="102"/>
      <c r="CK403" s="102"/>
      <c r="CL403" s="102"/>
      <c r="CM403" s="102"/>
      <c r="CN403" s="102"/>
      <c r="CO403" s="102"/>
      <c r="CP403" s="102"/>
      <c r="CQ403" s="102"/>
      <c r="CR403" s="102"/>
      <c r="CS403" s="102"/>
      <c r="CT403" s="102"/>
      <c r="CU403" s="102"/>
      <c r="CV403" s="102"/>
      <c r="CW403" s="102"/>
      <c r="CX403" s="102"/>
      <c r="CY403" s="102"/>
      <c r="CZ403" s="102"/>
      <c r="DA403" s="102"/>
      <c r="DB403" s="102"/>
      <c r="DC403" s="102"/>
      <c r="DD403" s="102"/>
      <c r="DE403" s="102"/>
      <c r="DF403" s="102"/>
      <c r="DG403" s="102"/>
      <c r="DH403" s="102"/>
      <c r="DI403" s="102"/>
      <c r="DJ403" s="102"/>
      <c r="DK403" s="102"/>
      <c r="DL403" s="102"/>
      <c r="DM403" s="102"/>
      <c r="DN403" s="102"/>
      <c r="DO403" s="102"/>
      <c r="DP403" s="102"/>
    </row>
    <row r="404" spans="1:120" x14ac:dyDescent="0.25">
      <c r="A404" s="4"/>
      <c r="F404"/>
      <c r="G404" s="1"/>
      <c r="H404" s="1"/>
      <c r="I404" s="1"/>
      <c r="J404" s="68" t="str">
        <f t="shared" si="147"/>
        <v/>
      </c>
      <c r="K404" s="68" t="str">
        <f t="shared" si="148"/>
        <v/>
      </c>
      <c r="L404" s="69" t="str">
        <f t="shared" si="149"/>
        <v/>
      </c>
      <c r="M404" s="69" t="str">
        <f t="shared" si="150"/>
        <v/>
      </c>
      <c r="N404" s="69" t="str">
        <f>IF(A404="","",Tabela1[[#This Row],[PTC]]*Tabela1[[#This Row],[ODDC]])</f>
        <v/>
      </c>
      <c r="O404" s="69" t="str">
        <f>IF(A404="","",Tabela1[[#This Row],[PTV]]*Tabela1[[#This Row],[ODDV]])</f>
        <v/>
      </c>
      <c r="P404" s="68" t="str">
        <f t="shared" si="151"/>
        <v/>
      </c>
      <c r="Q404" s="68" t="str">
        <f t="shared" si="152"/>
        <v/>
      </c>
      <c r="R404" s="68" t="str">
        <f t="shared" si="153"/>
        <v/>
      </c>
      <c r="S404" s="68" t="str">
        <f t="shared" si="154"/>
        <v/>
      </c>
      <c r="T404" s="68" t="str">
        <f>IF(A404="","",IF(F404="D",Tabela1[[#This Row],[ODDE]]-1,-1))</f>
        <v/>
      </c>
      <c r="U404" s="70" t="str">
        <f>IF(A404="","",IF(AND(Tabela1[[#This Row],[FTHG]]&gt;3,F404="H"),1,0))</f>
        <v/>
      </c>
      <c r="V404" s="70" t="str">
        <f>IF(A404="","",IF(AND(Tabela1[[#This Row],[FTAG]]&gt;3,F404="A"),1,0))</f>
        <v/>
      </c>
      <c r="W404" s="70" t="str">
        <f t="shared" si="155"/>
        <v/>
      </c>
      <c r="X404" s="70" t="str">
        <f t="shared" si="156"/>
        <v/>
      </c>
      <c r="Y404" s="71" t="str">
        <f t="shared" si="157"/>
        <v/>
      </c>
      <c r="Z404" s="70" t="str">
        <f t="shared" si="158"/>
        <v/>
      </c>
      <c r="AA404" s="70" t="str">
        <f t="shared" si="159"/>
        <v/>
      </c>
      <c r="AB404" s="70" t="str">
        <f t="shared" si="160"/>
        <v/>
      </c>
      <c r="AC404" s="71" t="str">
        <f t="shared" si="161"/>
        <v/>
      </c>
      <c r="AD404" s="72" t="str">
        <f t="shared" si="162"/>
        <v/>
      </c>
      <c r="AE404" s="73" t="str">
        <f>IF(A404="","",COUNT($N$2:N404))</f>
        <v/>
      </c>
      <c r="AF404" s="74" t="str">
        <f t="shared" si="163"/>
        <v/>
      </c>
      <c r="AG404" s="74" t="str">
        <f t="shared" si="164"/>
        <v/>
      </c>
      <c r="AH404" s="74" t="str">
        <f t="shared" si="165"/>
        <v/>
      </c>
      <c r="AI404" s="74" t="str">
        <f t="shared" si="166"/>
        <v/>
      </c>
      <c r="AJ404" s="74" t="str">
        <f t="shared" si="167"/>
        <v/>
      </c>
      <c r="AK404" s="74" t="str">
        <f>IF(A404="","",1/Tabela1[[#This Row],[ODDC]])</f>
        <v/>
      </c>
      <c r="AL404" s="74" t="str">
        <f>IF(A404="","",1/Tabela1[[#This Row],[ODDE]])</f>
        <v/>
      </c>
      <c r="AM404" s="74" t="str">
        <f>IF(A404="","",1/Tabela1[[#This Row],[ODDV]])</f>
        <v/>
      </c>
      <c r="AN404" s="74" t="str">
        <f>IF(A404="","",1-(Tabela1[[#This Row],[p(H)]]+Tabela1[[#This Row],[p(D)]]+Tabela1[[#This Row],[p(A)]]))</f>
        <v/>
      </c>
      <c r="AO404" s="74" t="str">
        <f>IF(A404="","",IFERROR(Tabela1[[#This Row],[p(H)]]/Tabela1[[#This Row],[FTHG]],1))</f>
        <v/>
      </c>
      <c r="AP404" s="74" t="str">
        <f>IF(A404="","",IFERROR(Tabela1[[#This Row],[p(A)]]/Tabela1[[#This Row],[FTAG]],1))</f>
        <v/>
      </c>
      <c r="AQ404" s="107"/>
      <c r="AR404" s="107"/>
      <c r="AS404" s="107"/>
      <c r="AT404" s="107"/>
      <c r="AU404" s="107"/>
      <c r="AV404" s="107"/>
      <c r="AW404" s="107"/>
      <c r="AX404" s="107"/>
      <c r="AY404" s="107"/>
      <c r="AZ404" s="75"/>
      <c r="BA404" s="75"/>
      <c r="BB404" s="75"/>
      <c r="BC404" s="107"/>
      <c r="BD404" s="107"/>
      <c r="BE404" s="107"/>
      <c r="BF404" s="107"/>
      <c r="BG404" s="107"/>
      <c r="BH404" s="107"/>
      <c r="BI404" s="107"/>
      <c r="BJ404" s="107"/>
      <c r="BK404" s="107"/>
      <c r="BL404" s="107"/>
      <c r="BM404" s="107"/>
      <c r="BN404" s="107"/>
      <c r="BO404" s="107"/>
      <c r="BP404" s="107"/>
      <c r="BQ404" s="107"/>
      <c r="BR404" s="107"/>
      <c r="BS404" s="107"/>
      <c r="BT404" s="107"/>
      <c r="BU404" s="107"/>
      <c r="BV404" s="107"/>
      <c r="BW404" s="107"/>
      <c r="BX404" s="75"/>
      <c r="BY404" s="75"/>
      <c r="BZ404" s="75"/>
      <c r="CA404" s="75"/>
      <c r="CB404" s="75"/>
      <c r="CC404" s="75"/>
      <c r="CD404" s="75"/>
      <c r="CE404" s="102"/>
      <c r="CF404" s="102"/>
      <c r="CG404" s="102"/>
      <c r="CH404" s="102"/>
      <c r="CI404" s="102"/>
      <c r="CJ404" s="102"/>
      <c r="CK404" s="102"/>
      <c r="CL404" s="102"/>
      <c r="CM404" s="102"/>
      <c r="CN404" s="102"/>
      <c r="CO404" s="102"/>
      <c r="CP404" s="102"/>
      <c r="CQ404" s="102"/>
      <c r="CR404" s="102"/>
      <c r="CS404" s="102"/>
      <c r="CT404" s="102"/>
      <c r="CU404" s="102"/>
      <c r="CV404" s="102"/>
      <c r="CW404" s="102"/>
      <c r="CX404" s="102"/>
      <c r="CY404" s="102"/>
      <c r="CZ404" s="102"/>
      <c r="DA404" s="102"/>
      <c r="DB404" s="102"/>
      <c r="DC404" s="102"/>
      <c r="DD404" s="102"/>
      <c r="DE404" s="102"/>
      <c r="DF404" s="102"/>
      <c r="DG404" s="102"/>
      <c r="DH404" s="102"/>
      <c r="DI404" s="102"/>
      <c r="DJ404" s="102"/>
      <c r="DK404" s="102"/>
      <c r="DL404" s="102"/>
      <c r="DM404" s="102"/>
      <c r="DN404" s="102"/>
      <c r="DO404" s="102"/>
      <c r="DP404" s="102"/>
    </row>
    <row r="405" spans="1:120" x14ac:dyDescent="0.25">
      <c r="A405" s="4"/>
      <c r="F405"/>
      <c r="G405" s="1"/>
      <c r="H405" s="1"/>
      <c r="I405" s="1"/>
      <c r="J405" s="68" t="str">
        <f t="shared" si="147"/>
        <v/>
      </c>
      <c r="K405" s="68" t="str">
        <f t="shared" si="148"/>
        <v/>
      </c>
      <c r="L405" s="69" t="str">
        <f t="shared" si="149"/>
        <v/>
      </c>
      <c r="M405" s="69" t="str">
        <f t="shared" si="150"/>
        <v/>
      </c>
      <c r="N405" s="69" t="str">
        <f>IF(A405="","",Tabela1[[#This Row],[PTC]]*Tabela1[[#This Row],[ODDC]])</f>
        <v/>
      </c>
      <c r="O405" s="69" t="str">
        <f>IF(A405="","",Tabela1[[#This Row],[PTV]]*Tabela1[[#This Row],[ODDV]])</f>
        <v/>
      </c>
      <c r="P405" s="68" t="str">
        <f t="shared" si="151"/>
        <v/>
      </c>
      <c r="Q405" s="68" t="str">
        <f t="shared" si="152"/>
        <v/>
      </c>
      <c r="R405" s="68" t="str">
        <f t="shared" si="153"/>
        <v/>
      </c>
      <c r="S405" s="68" t="str">
        <f t="shared" si="154"/>
        <v/>
      </c>
      <c r="T405" s="68" t="str">
        <f>IF(A405="","",IF(F405="D",Tabela1[[#This Row],[ODDE]]-1,-1))</f>
        <v/>
      </c>
      <c r="U405" s="70" t="str">
        <f>IF(A405="","",IF(AND(Tabela1[[#This Row],[FTHG]]&gt;3,F405="H"),1,0))</f>
        <v/>
      </c>
      <c r="V405" s="70" t="str">
        <f>IF(A405="","",IF(AND(Tabela1[[#This Row],[FTAG]]&gt;3,F405="A"),1,0))</f>
        <v/>
      </c>
      <c r="W405" s="70" t="str">
        <f t="shared" si="155"/>
        <v/>
      </c>
      <c r="X405" s="70" t="str">
        <f t="shared" si="156"/>
        <v/>
      </c>
      <c r="Y405" s="71" t="str">
        <f t="shared" si="157"/>
        <v/>
      </c>
      <c r="Z405" s="70" t="str">
        <f t="shared" si="158"/>
        <v/>
      </c>
      <c r="AA405" s="70" t="str">
        <f t="shared" si="159"/>
        <v/>
      </c>
      <c r="AB405" s="70" t="str">
        <f t="shared" si="160"/>
        <v/>
      </c>
      <c r="AC405" s="71" t="str">
        <f t="shared" si="161"/>
        <v/>
      </c>
      <c r="AD405" s="72" t="str">
        <f t="shared" si="162"/>
        <v/>
      </c>
      <c r="AE405" s="73" t="str">
        <f>IF(A405="","",COUNT($N$2:N405))</f>
        <v/>
      </c>
      <c r="AF405" s="74" t="str">
        <f t="shared" si="163"/>
        <v/>
      </c>
      <c r="AG405" s="74" t="str">
        <f t="shared" si="164"/>
        <v/>
      </c>
      <c r="AH405" s="74" t="str">
        <f t="shared" si="165"/>
        <v/>
      </c>
      <c r="AI405" s="74" t="str">
        <f t="shared" si="166"/>
        <v/>
      </c>
      <c r="AJ405" s="74" t="str">
        <f t="shared" si="167"/>
        <v/>
      </c>
      <c r="AK405" s="74" t="str">
        <f>IF(A405="","",1/Tabela1[[#This Row],[ODDC]])</f>
        <v/>
      </c>
      <c r="AL405" s="74" t="str">
        <f>IF(A405="","",1/Tabela1[[#This Row],[ODDE]])</f>
        <v/>
      </c>
      <c r="AM405" s="74" t="str">
        <f>IF(A405="","",1/Tabela1[[#This Row],[ODDV]])</f>
        <v/>
      </c>
      <c r="AN405" s="74" t="str">
        <f>IF(A405="","",1-(Tabela1[[#This Row],[p(H)]]+Tabela1[[#This Row],[p(D)]]+Tabela1[[#This Row],[p(A)]]))</f>
        <v/>
      </c>
      <c r="AO405" s="74" t="str">
        <f>IF(A405="","",IFERROR(Tabela1[[#This Row],[p(H)]]/Tabela1[[#This Row],[FTHG]],1))</f>
        <v/>
      </c>
      <c r="AP405" s="74" t="str">
        <f>IF(A405="","",IFERROR(Tabela1[[#This Row],[p(A)]]/Tabela1[[#This Row],[FTAG]],1))</f>
        <v/>
      </c>
      <c r="AQ405" s="107"/>
      <c r="AR405" s="107"/>
      <c r="AS405" s="107"/>
      <c r="AT405" s="107"/>
      <c r="AU405" s="107"/>
      <c r="AV405" s="107"/>
      <c r="AW405" s="107"/>
      <c r="AX405" s="107"/>
      <c r="AY405" s="107"/>
      <c r="AZ405" s="75"/>
      <c r="BA405" s="75"/>
      <c r="BB405" s="75"/>
      <c r="BC405" s="107"/>
      <c r="BD405" s="107"/>
      <c r="BE405" s="107"/>
      <c r="BF405" s="107"/>
      <c r="BG405" s="107"/>
      <c r="BH405" s="107"/>
      <c r="BI405" s="107"/>
      <c r="BJ405" s="107"/>
      <c r="BK405" s="107"/>
      <c r="BL405" s="107"/>
      <c r="BM405" s="107"/>
      <c r="BN405" s="107"/>
      <c r="BO405" s="107"/>
      <c r="BP405" s="107"/>
      <c r="BQ405" s="107"/>
      <c r="BR405" s="107"/>
      <c r="BS405" s="107"/>
      <c r="BT405" s="107"/>
      <c r="BU405" s="107"/>
      <c r="BV405" s="107"/>
      <c r="BW405" s="107"/>
      <c r="BX405" s="75"/>
      <c r="BY405" s="75"/>
      <c r="BZ405" s="75"/>
      <c r="CA405" s="75"/>
      <c r="CB405" s="75"/>
      <c r="CC405" s="75"/>
      <c r="CD405" s="75"/>
      <c r="CE405" s="102"/>
      <c r="CF405" s="102"/>
      <c r="CG405" s="102"/>
      <c r="CH405" s="102"/>
      <c r="CI405" s="102"/>
      <c r="CJ405" s="102"/>
      <c r="CK405" s="102"/>
      <c r="CL405" s="102"/>
      <c r="CM405" s="102"/>
      <c r="CN405" s="102"/>
      <c r="CO405" s="102"/>
      <c r="CP405" s="102"/>
      <c r="CQ405" s="102"/>
      <c r="CR405" s="102"/>
      <c r="CS405" s="102"/>
      <c r="CT405" s="102"/>
      <c r="CU405" s="102"/>
      <c r="CV405" s="102"/>
      <c r="CW405" s="102"/>
      <c r="CX405" s="102"/>
      <c r="CY405" s="102"/>
      <c r="CZ405" s="102"/>
      <c r="DA405" s="102"/>
      <c r="DB405" s="102"/>
      <c r="DC405" s="102"/>
      <c r="DD405" s="102"/>
      <c r="DE405" s="102"/>
      <c r="DF405" s="102"/>
      <c r="DG405" s="102"/>
      <c r="DH405" s="102"/>
      <c r="DI405" s="102"/>
      <c r="DJ405" s="102"/>
      <c r="DK405" s="102"/>
      <c r="DL405" s="102"/>
      <c r="DM405" s="102"/>
      <c r="DN405" s="102"/>
      <c r="DO405" s="102"/>
      <c r="DP405" s="102"/>
    </row>
    <row r="406" spans="1:120" x14ac:dyDescent="0.25">
      <c r="A406" s="4"/>
      <c r="G406" s="1"/>
      <c r="H406" s="1"/>
      <c r="I406" s="1"/>
      <c r="J406" s="68" t="str">
        <f t="shared" si="147"/>
        <v/>
      </c>
      <c r="K406" s="68" t="str">
        <f t="shared" si="148"/>
        <v/>
      </c>
      <c r="L406" s="69" t="str">
        <f t="shared" si="149"/>
        <v/>
      </c>
      <c r="M406" s="69" t="str">
        <f t="shared" si="150"/>
        <v/>
      </c>
      <c r="N406" s="69" t="str">
        <f>IF(A406="","",Tabela1[[#This Row],[PTC]]*Tabela1[[#This Row],[ODDC]])</f>
        <v/>
      </c>
      <c r="O406" s="69" t="str">
        <f>IF(A406="","",Tabela1[[#This Row],[PTV]]*Tabela1[[#This Row],[ODDV]])</f>
        <v/>
      </c>
      <c r="P406" s="68" t="str">
        <f t="shared" si="151"/>
        <v/>
      </c>
      <c r="Q406" s="68" t="str">
        <f t="shared" si="152"/>
        <v/>
      </c>
      <c r="R406" s="68" t="str">
        <f t="shared" si="153"/>
        <v/>
      </c>
      <c r="S406" s="68" t="str">
        <f t="shared" si="154"/>
        <v/>
      </c>
      <c r="T406" s="68" t="str">
        <f>IF(A406="","",IF(F406="D",Tabela1[[#This Row],[ODDE]]-1,-1))</f>
        <v/>
      </c>
      <c r="U406" s="70" t="str">
        <f>IF(A406="","",IF(AND(Tabela1[[#This Row],[FTHG]]&gt;3,F406="H"),1,0))</f>
        <v/>
      </c>
      <c r="V406" s="70" t="str">
        <f>IF(A406="","",IF(AND(Tabela1[[#This Row],[FTAG]]&gt;3,F406="A"),1,0))</f>
        <v/>
      </c>
      <c r="W406" s="70" t="str">
        <f t="shared" si="155"/>
        <v/>
      </c>
      <c r="X406" s="70" t="str">
        <f t="shared" si="156"/>
        <v/>
      </c>
      <c r="Y406" s="71" t="str">
        <f t="shared" si="157"/>
        <v/>
      </c>
      <c r="Z406" s="70" t="str">
        <f t="shared" si="158"/>
        <v/>
      </c>
      <c r="AA406" s="70" t="str">
        <f t="shared" si="159"/>
        <v/>
      </c>
      <c r="AB406" s="70" t="str">
        <f t="shared" si="160"/>
        <v/>
      </c>
      <c r="AC406" s="71" t="str">
        <f t="shared" si="161"/>
        <v/>
      </c>
      <c r="AD406" s="72" t="str">
        <f t="shared" si="162"/>
        <v/>
      </c>
      <c r="AE406" s="73" t="str">
        <f>IF(A406="","",COUNT($N$2:N406))</f>
        <v/>
      </c>
      <c r="AF406" s="74" t="str">
        <f t="shared" si="163"/>
        <v/>
      </c>
      <c r="AG406" s="74" t="str">
        <f t="shared" si="164"/>
        <v/>
      </c>
      <c r="AH406" s="74" t="str">
        <f t="shared" si="165"/>
        <v/>
      </c>
      <c r="AI406" s="74" t="str">
        <f t="shared" si="166"/>
        <v/>
      </c>
      <c r="AJ406" s="74" t="str">
        <f t="shared" si="167"/>
        <v/>
      </c>
      <c r="AK406" s="74" t="str">
        <f>IF(A406="","",1/Tabela1[[#This Row],[ODDC]])</f>
        <v/>
      </c>
      <c r="AL406" s="74" t="str">
        <f>IF(A406="","",1/Tabela1[[#This Row],[ODDE]])</f>
        <v/>
      </c>
      <c r="AM406" s="74" t="str">
        <f>IF(A406="","",1/Tabela1[[#This Row],[ODDV]])</f>
        <v/>
      </c>
      <c r="AN406" s="74" t="str">
        <f>IF(A406="","",1-(Tabela1[[#This Row],[p(H)]]+Tabela1[[#This Row],[p(D)]]+Tabela1[[#This Row],[p(A)]]))</f>
        <v/>
      </c>
      <c r="AO406" s="74" t="str">
        <f>IF(A406="","",IFERROR(Tabela1[[#This Row],[p(H)]]/Tabela1[[#This Row],[FTHG]],1))</f>
        <v/>
      </c>
      <c r="AP406" s="74" t="str">
        <f>IF(A406="","",IFERROR(Tabela1[[#This Row],[p(A)]]/Tabela1[[#This Row],[FTAG]],1))</f>
        <v/>
      </c>
      <c r="AQ406" s="107"/>
      <c r="AR406" s="107"/>
      <c r="AS406" s="107"/>
      <c r="AT406" s="107"/>
      <c r="AU406" s="107"/>
      <c r="AV406" s="107"/>
      <c r="AW406" s="107"/>
      <c r="AX406" s="107"/>
      <c r="AY406" s="107"/>
      <c r="AZ406" s="75"/>
      <c r="BA406" s="75"/>
      <c r="BB406" s="75"/>
      <c r="BC406" s="107"/>
      <c r="BD406" s="107"/>
      <c r="BE406" s="107"/>
      <c r="BF406" s="107"/>
      <c r="BG406" s="107"/>
      <c r="BH406" s="107"/>
      <c r="BI406" s="107"/>
      <c r="BJ406" s="107"/>
      <c r="BK406" s="107"/>
      <c r="BL406" s="107"/>
      <c r="BM406" s="107"/>
      <c r="BN406" s="107"/>
      <c r="BO406" s="107"/>
      <c r="BP406" s="107"/>
      <c r="BQ406" s="107"/>
      <c r="BR406" s="107"/>
      <c r="BS406" s="107"/>
      <c r="BT406" s="107"/>
      <c r="BU406" s="107"/>
      <c r="BV406" s="107"/>
      <c r="BW406" s="107"/>
      <c r="BX406" s="75"/>
      <c r="BY406" s="75"/>
      <c r="BZ406" s="75"/>
      <c r="CA406" s="75"/>
      <c r="CB406" s="75"/>
      <c r="CC406" s="75"/>
      <c r="CD406" s="75"/>
      <c r="CE406" s="102"/>
      <c r="CF406" s="102"/>
      <c r="CG406" s="102"/>
      <c r="CH406" s="102"/>
      <c r="CI406" s="102"/>
      <c r="CJ406" s="102"/>
      <c r="CK406" s="102"/>
      <c r="CL406" s="102"/>
      <c r="CM406" s="102"/>
      <c r="CN406" s="102"/>
      <c r="CO406" s="102"/>
      <c r="CP406" s="102"/>
      <c r="CQ406" s="102"/>
      <c r="CR406" s="102"/>
      <c r="CS406" s="102"/>
      <c r="CT406" s="102"/>
      <c r="CU406" s="102"/>
      <c r="CV406" s="102"/>
      <c r="CW406" s="102"/>
      <c r="CX406" s="102"/>
      <c r="CY406" s="102"/>
      <c r="CZ406" s="102"/>
      <c r="DA406" s="102"/>
      <c r="DB406" s="102"/>
      <c r="DC406" s="102"/>
      <c r="DD406" s="102"/>
      <c r="DE406" s="102"/>
      <c r="DF406" s="102"/>
      <c r="DG406" s="102"/>
      <c r="DH406" s="102"/>
      <c r="DI406" s="102"/>
      <c r="DJ406" s="102"/>
      <c r="DK406" s="102"/>
      <c r="DL406" s="102"/>
      <c r="DM406" s="102"/>
      <c r="DN406" s="102"/>
      <c r="DO406" s="102"/>
      <c r="DP406" s="102"/>
    </row>
    <row r="407" spans="1:120" x14ac:dyDescent="0.25">
      <c r="A407" s="4"/>
      <c r="G407" s="1"/>
      <c r="H407" s="1"/>
      <c r="I407" s="1"/>
      <c r="J407" s="68" t="str">
        <f t="shared" si="147"/>
        <v/>
      </c>
      <c r="K407" s="68" t="str">
        <f t="shared" si="148"/>
        <v/>
      </c>
      <c r="L407" s="69" t="str">
        <f t="shared" si="149"/>
        <v/>
      </c>
      <c r="M407" s="69" t="str">
        <f t="shared" si="150"/>
        <v/>
      </c>
      <c r="N407" s="69" t="str">
        <f>IF(A407="","",Tabela1[[#This Row],[PTC]]*Tabela1[[#This Row],[ODDC]])</f>
        <v/>
      </c>
      <c r="O407" s="69" t="str">
        <f>IF(A407="","",Tabela1[[#This Row],[PTV]]*Tabela1[[#This Row],[ODDV]])</f>
        <v/>
      </c>
      <c r="P407" s="68" t="str">
        <f t="shared" si="151"/>
        <v/>
      </c>
      <c r="Q407" s="68" t="str">
        <f t="shared" si="152"/>
        <v/>
      </c>
      <c r="R407" s="68" t="str">
        <f t="shared" si="153"/>
        <v/>
      </c>
      <c r="S407" s="68" t="str">
        <f t="shared" si="154"/>
        <v/>
      </c>
      <c r="T407" s="68" t="str">
        <f>IF(A407="","",IF(F407="D",Tabela1[[#This Row],[ODDE]]-1,-1))</f>
        <v/>
      </c>
      <c r="U407" s="70" t="str">
        <f>IF(A407="","",IF(AND(Tabela1[[#This Row],[FTHG]]&gt;3,F407="H"),1,0))</f>
        <v/>
      </c>
      <c r="V407" s="70" t="str">
        <f>IF(A407="","",IF(AND(Tabela1[[#This Row],[FTAG]]&gt;3,F407="A"),1,0))</f>
        <v/>
      </c>
      <c r="W407" s="70" t="str">
        <f t="shared" si="155"/>
        <v/>
      </c>
      <c r="X407" s="70" t="str">
        <f t="shared" si="156"/>
        <v/>
      </c>
      <c r="Y407" s="71" t="str">
        <f t="shared" si="157"/>
        <v/>
      </c>
      <c r="Z407" s="70" t="str">
        <f t="shared" si="158"/>
        <v/>
      </c>
      <c r="AA407" s="70" t="str">
        <f t="shared" si="159"/>
        <v/>
      </c>
      <c r="AB407" s="70" t="str">
        <f t="shared" si="160"/>
        <v/>
      </c>
      <c r="AC407" s="71" t="str">
        <f t="shared" si="161"/>
        <v/>
      </c>
      <c r="AD407" s="72" t="str">
        <f t="shared" si="162"/>
        <v/>
      </c>
      <c r="AE407" s="73" t="str">
        <f>IF(A407="","",COUNT($N$2:N407))</f>
        <v/>
      </c>
      <c r="AF407" s="74" t="str">
        <f t="shared" si="163"/>
        <v/>
      </c>
      <c r="AG407" s="74" t="str">
        <f t="shared" si="164"/>
        <v/>
      </c>
      <c r="AH407" s="74" t="str">
        <f t="shared" si="165"/>
        <v/>
      </c>
      <c r="AI407" s="74" t="str">
        <f t="shared" si="166"/>
        <v/>
      </c>
      <c r="AJ407" s="74" t="str">
        <f t="shared" si="167"/>
        <v/>
      </c>
      <c r="AK407" s="74" t="str">
        <f>IF(A407="","",1/Tabela1[[#This Row],[ODDC]])</f>
        <v/>
      </c>
      <c r="AL407" s="74" t="str">
        <f>IF(A407="","",1/Tabela1[[#This Row],[ODDE]])</f>
        <v/>
      </c>
      <c r="AM407" s="74" t="str">
        <f>IF(A407="","",1/Tabela1[[#This Row],[ODDV]])</f>
        <v/>
      </c>
      <c r="AN407" s="74" t="str">
        <f>IF(A407="","",1-(Tabela1[[#This Row],[p(H)]]+Tabela1[[#This Row],[p(D)]]+Tabela1[[#This Row],[p(A)]]))</f>
        <v/>
      </c>
      <c r="AO407" s="74" t="str">
        <f>IF(A407="","",IFERROR(Tabela1[[#This Row],[p(H)]]/Tabela1[[#This Row],[FTHG]],1))</f>
        <v/>
      </c>
      <c r="AP407" s="74" t="str">
        <f>IF(A407="","",IFERROR(Tabela1[[#This Row],[p(A)]]/Tabela1[[#This Row],[FTAG]],1))</f>
        <v/>
      </c>
      <c r="AQ407" s="107"/>
      <c r="AR407" s="107"/>
      <c r="AS407" s="107"/>
      <c r="AT407" s="107"/>
      <c r="AU407" s="107"/>
      <c r="AV407" s="107"/>
      <c r="AW407" s="107"/>
      <c r="AX407" s="107"/>
      <c r="AY407" s="107"/>
      <c r="AZ407" s="75"/>
      <c r="BA407" s="75"/>
      <c r="BB407" s="75"/>
      <c r="BC407" s="107"/>
      <c r="BD407" s="107"/>
      <c r="BE407" s="107"/>
      <c r="BF407" s="107"/>
      <c r="BG407" s="107"/>
      <c r="BH407" s="107"/>
      <c r="BI407" s="107"/>
      <c r="BJ407" s="107"/>
      <c r="BK407" s="107"/>
      <c r="BL407" s="107"/>
      <c r="BM407" s="107"/>
      <c r="BN407" s="107"/>
      <c r="BO407" s="107"/>
      <c r="BP407" s="107"/>
      <c r="BQ407" s="107"/>
      <c r="BR407" s="107"/>
      <c r="BS407" s="107"/>
      <c r="BT407" s="107"/>
      <c r="BU407" s="107"/>
      <c r="BV407" s="107"/>
      <c r="BW407" s="107"/>
      <c r="BX407" s="75"/>
      <c r="BY407" s="75"/>
      <c r="BZ407" s="75"/>
      <c r="CA407" s="75"/>
      <c r="CB407" s="75"/>
      <c r="CC407" s="75"/>
      <c r="CD407" s="75"/>
      <c r="CE407" s="102"/>
      <c r="CF407" s="102"/>
      <c r="CG407" s="102"/>
      <c r="CH407" s="102"/>
      <c r="CI407" s="102"/>
      <c r="CJ407" s="102"/>
      <c r="CK407" s="102"/>
      <c r="CL407" s="102"/>
      <c r="CM407" s="102"/>
      <c r="CN407" s="102"/>
      <c r="CO407" s="102"/>
      <c r="CP407" s="102"/>
      <c r="CQ407" s="102"/>
      <c r="CR407" s="102"/>
      <c r="CS407" s="102"/>
      <c r="CT407" s="102"/>
      <c r="CU407" s="102"/>
      <c r="CV407" s="102"/>
      <c r="CW407" s="102"/>
      <c r="CX407" s="102"/>
      <c r="CY407" s="102"/>
      <c r="CZ407" s="102"/>
      <c r="DA407" s="102"/>
      <c r="DB407" s="102"/>
      <c r="DC407" s="102"/>
      <c r="DD407" s="102"/>
      <c r="DE407" s="102"/>
      <c r="DF407" s="102"/>
      <c r="DG407" s="102"/>
      <c r="DH407" s="102"/>
      <c r="DI407" s="102"/>
      <c r="DJ407" s="102"/>
      <c r="DK407" s="102"/>
      <c r="DL407" s="102"/>
      <c r="DM407" s="102"/>
      <c r="DN407" s="102"/>
      <c r="DO407" s="102"/>
      <c r="DP407" s="102"/>
    </row>
    <row r="408" spans="1:120" x14ac:dyDescent="0.25">
      <c r="A408" s="4"/>
      <c r="G408" s="1"/>
      <c r="H408" s="1"/>
      <c r="I408" s="1"/>
      <c r="J408" s="68" t="str">
        <f t="shared" si="147"/>
        <v/>
      </c>
      <c r="K408" s="68" t="str">
        <f t="shared" si="148"/>
        <v/>
      </c>
      <c r="L408" s="69" t="str">
        <f t="shared" si="149"/>
        <v/>
      </c>
      <c r="M408" s="69" t="str">
        <f t="shared" si="150"/>
        <v/>
      </c>
      <c r="N408" s="69" t="str">
        <f>IF(A408="","",Tabela1[[#This Row],[PTC]]*Tabela1[[#This Row],[ODDC]])</f>
        <v/>
      </c>
      <c r="O408" s="69" t="str">
        <f>IF(A408="","",Tabela1[[#This Row],[PTV]]*Tabela1[[#This Row],[ODDV]])</f>
        <v/>
      </c>
      <c r="P408" s="68" t="str">
        <f t="shared" si="151"/>
        <v/>
      </c>
      <c r="Q408" s="68" t="str">
        <f t="shared" si="152"/>
        <v/>
      </c>
      <c r="R408" s="68" t="str">
        <f t="shared" si="153"/>
        <v/>
      </c>
      <c r="S408" s="68" t="str">
        <f t="shared" si="154"/>
        <v/>
      </c>
      <c r="T408" s="68" t="str">
        <f>IF(A408="","",IF(F408="D",Tabela1[[#This Row],[ODDE]]-1,-1))</f>
        <v/>
      </c>
      <c r="U408" s="70" t="str">
        <f>IF(A408="","",IF(AND(Tabela1[[#This Row],[FTHG]]&gt;3,F408="H"),1,0))</f>
        <v/>
      </c>
      <c r="V408" s="70" t="str">
        <f>IF(A408="","",IF(AND(Tabela1[[#This Row],[FTAG]]&gt;3,F408="A"),1,0))</f>
        <v/>
      </c>
      <c r="W408" s="70" t="str">
        <f t="shared" si="155"/>
        <v/>
      </c>
      <c r="X408" s="70" t="str">
        <f t="shared" si="156"/>
        <v/>
      </c>
      <c r="Y408" s="71" t="str">
        <f t="shared" si="157"/>
        <v/>
      </c>
      <c r="Z408" s="70" t="str">
        <f t="shared" si="158"/>
        <v/>
      </c>
      <c r="AA408" s="70" t="str">
        <f t="shared" si="159"/>
        <v/>
      </c>
      <c r="AB408" s="70" t="str">
        <f t="shared" si="160"/>
        <v/>
      </c>
      <c r="AC408" s="71" t="str">
        <f t="shared" si="161"/>
        <v/>
      </c>
      <c r="AD408" s="72" t="str">
        <f t="shared" si="162"/>
        <v/>
      </c>
      <c r="AE408" s="73" t="str">
        <f>IF(A408="","",COUNT($N$2:N408))</f>
        <v/>
      </c>
      <c r="AF408" s="74" t="str">
        <f t="shared" si="163"/>
        <v/>
      </c>
      <c r="AG408" s="74" t="str">
        <f t="shared" si="164"/>
        <v/>
      </c>
      <c r="AH408" s="74" t="str">
        <f t="shared" si="165"/>
        <v/>
      </c>
      <c r="AI408" s="74" t="str">
        <f t="shared" si="166"/>
        <v/>
      </c>
      <c r="AJ408" s="74" t="str">
        <f t="shared" si="167"/>
        <v/>
      </c>
      <c r="AK408" s="74" t="str">
        <f>IF(A408="","",1/Tabela1[[#This Row],[ODDC]])</f>
        <v/>
      </c>
      <c r="AL408" s="74" t="str">
        <f>IF(A408="","",1/Tabela1[[#This Row],[ODDE]])</f>
        <v/>
      </c>
      <c r="AM408" s="74" t="str">
        <f>IF(A408="","",1/Tabela1[[#This Row],[ODDV]])</f>
        <v/>
      </c>
      <c r="AN408" s="74" t="str">
        <f>IF(A408="","",1-(Tabela1[[#This Row],[p(H)]]+Tabela1[[#This Row],[p(D)]]+Tabela1[[#This Row],[p(A)]]))</f>
        <v/>
      </c>
      <c r="AO408" s="74" t="str">
        <f>IF(A408="","",IFERROR(Tabela1[[#This Row],[p(H)]]/Tabela1[[#This Row],[FTHG]],1))</f>
        <v/>
      </c>
      <c r="AP408" s="74" t="str">
        <f>IF(A408="","",IFERROR(Tabela1[[#This Row],[p(A)]]/Tabela1[[#This Row],[FTAG]],1))</f>
        <v/>
      </c>
      <c r="AQ408" s="107"/>
      <c r="AR408" s="107"/>
      <c r="AS408" s="107"/>
      <c r="AT408" s="107"/>
      <c r="AU408" s="107"/>
      <c r="AV408" s="107"/>
      <c r="AW408" s="107"/>
      <c r="AX408" s="107"/>
      <c r="AY408" s="107"/>
      <c r="AZ408" s="75"/>
      <c r="BA408" s="75"/>
      <c r="BB408" s="75"/>
      <c r="BC408" s="107"/>
      <c r="BD408" s="107"/>
      <c r="BE408" s="107"/>
      <c r="BF408" s="107"/>
      <c r="BG408" s="107"/>
      <c r="BH408" s="107"/>
      <c r="BI408" s="107"/>
      <c r="BJ408" s="107"/>
      <c r="BK408" s="107"/>
      <c r="BL408" s="107"/>
      <c r="BM408" s="107"/>
      <c r="BN408" s="107"/>
      <c r="BO408" s="107"/>
      <c r="BP408" s="107"/>
      <c r="BQ408" s="107"/>
      <c r="BR408" s="107"/>
      <c r="BS408" s="107"/>
      <c r="BT408" s="107"/>
      <c r="BU408" s="107"/>
      <c r="BV408" s="107"/>
      <c r="BW408" s="107"/>
      <c r="BX408" s="75"/>
      <c r="BY408" s="75"/>
      <c r="BZ408" s="75"/>
      <c r="CA408" s="75"/>
      <c r="CB408" s="75"/>
      <c r="CC408" s="75"/>
      <c r="CD408" s="75"/>
      <c r="CE408" s="102"/>
      <c r="CF408" s="102"/>
      <c r="CG408" s="102"/>
      <c r="CH408" s="102"/>
      <c r="CI408" s="102"/>
      <c r="CJ408" s="102"/>
      <c r="CK408" s="102"/>
      <c r="CL408" s="102"/>
      <c r="CM408" s="102"/>
      <c r="CN408" s="102"/>
      <c r="CO408" s="102"/>
      <c r="CP408" s="102"/>
      <c r="CQ408" s="102"/>
      <c r="CR408" s="102"/>
      <c r="CS408" s="102"/>
      <c r="CT408" s="102"/>
      <c r="CU408" s="102"/>
      <c r="CV408" s="102"/>
      <c r="CW408" s="102"/>
      <c r="CX408" s="102"/>
      <c r="CY408" s="102"/>
      <c r="CZ408" s="102"/>
      <c r="DA408" s="102"/>
      <c r="DB408" s="102"/>
      <c r="DC408" s="102"/>
      <c r="DD408" s="102"/>
      <c r="DE408" s="102"/>
      <c r="DF408" s="102"/>
      <c r="DG408" s="102"/>
      <c r="DH408" s="102"/>
      <c r="DI408" s="102"/>
      <c r="DJ408" s="102"/>
      <c r="DK408" s="102"/>
      <c r="DL408" s="102"/>
      <c r="DM408" s="102"/>
      <c r="DN408" s="102"/>
      <c r="DO408" s="102"/>
      <c r="DP408" s="102"/>
    </row>
    <row r="409" spans="1:120" x14ac:dyDescent="0.25">
      <c r="A409" s="4"/>
      <c r="G409" s="1"/>
      <c r="H409" s="1"/>
      <c r="I409" s="1"/>
      <c r="J409" s="68" t="str">
        <f t="shared" si="147"/>
        <v/>
      </c>
      <c r="K409" s="68" t="str">
        <f t="shared" si="148"/>
        <v/>
      </c>
      <c r="L409" s="69" t="str">
        <f t="shared" si="149"/>
        <v/>
      </c>
      <c r="M409" s="69" t="str">
        <f t="shared" si="150"/>
        <v/>
      </c>
      <c r="N409" s="69" t="str">
        <f>IF(A409="","",Tabela1[[#This Row],[PTC]]*Tabela1[[#This Row],[ODDC]])</f>
        <v/>
      </c>
      <c r="O409" s="69" t="str">
        <f>IF(A409="","",Tabela1[[#This Row],[PTV]]*Tabela1[[#This Row],[ODDV]])</f>
        <v/>
      </c>
      <c r="P409" s="68" t="str">
        <f t="shared" si="151"/>
        <v/>
      </c>
      <c r="Q409" s="68" t="str">
        <f t="shared" si="152"/>
        <v/>
      </c>
      <c r="R409" s="68" t="str">
        <f t="shared" si="153"/>
        <v/>
      </c>
      <c r="S409" s="68" t="str">
        <f t="shared" si="154"/>
        <v/>
      </c>
      <c r="T409" s="68" t="str">
        <f>IF(A409="","",IF(F409="D",Tabela1[[#This Row],[ODDE]]-1,-1))</f>
        <v/>
      </c>
      <c r="U409" s="70" t="str">
        <f>IF(A409="","",IF(AND(Tabela1[[#This Row],[FTHG]]&gt;3,F409="H"),1,0))</f>
        <v/>
      </c>
      <c r="V409" s="70" t="str">
        <f>IF(A409="","",IF(AND(Tabela1[[#This Row],[FTAG]]&gt;3,F409="A"),1,0))</f>
        <v/>
      </c>
      <c r="W409" s="70" t="str">
        <f t="shared" si="155"/>
        <v/>
      </c>
      <c r="X409" s="70" t="str">
        <f t="shared" si="156"/>
        <v/>
      </c>
      <c r="Y409" s="71" t="str">
        <f t="shared" si="157"/>
        <v/>
      </c>
      <c r="Z409" s="70" t="str">
        <f t="shared" si="158"/>
        <v/>
      </c>
      <c r="AA409" s="70" t="str">
        <f t="shared" si="159"/>
        <v/>
      </c>
      <c r="AB409" s="70" t="str">
        <f t="shared" si="160"/>
        <v/>
      </c>
      <c r="AC409" s="71" t="str">
        <f t="shared" si="161"/>
        <v/>
      </c>
      <c r="AD409" s="72" t="str">
        <f t="shared" si="162"/>
        <v/>
      </c>
      <c r="AE409" s="73" t="str">
        <f>IF(A409="","",COUNT($N$2:N409))</f>
        <v/>
      </c>
      <c r="AF409" s="74" t="str">
        <f t="shared" si="163"/>
        <v/>
      </c>
      <c r="AG409" s="74" t="str">
        <f t="shared" si="164"/>
        <v/>
      </c>
      <c r="AH409" s="74" t="str">
        <f t="shared" si="165"/>
        <v/>
      </c>
      <c r="AI409" s="74" t="str">
        <f t="shared" si="166"/>
        <v/>
      </c>
      <c r="AJ409" s="74" t="str">
        <f t="shared" si="167"/>
        <v/>
      </c>
      <c r="AK409" s="74" t="str">
        <f>IF(A409="","",1/Tabela1[[#This Row],[ODDC]])</f>
        <v/>
      </c>
      <c r="AL409" s="74" t="str">
        <f>IF(A409="","",1/Tabela1[[#This Row],[ODDE]])</f>
        <v/>
      </c>
      <c r="AM409" s="74" t="str">
        <f>IF(A409="","",1/Tabela1[[#This Row],[ODDV]])</f>
        <v/>
      </c>
      <c r="AN409" s="74" t="str">
        <f>IF(A409="","",1-(Tabela1[[#This Row],[p(H)]]+Tabela1[[#This Row],[p(D)]]+Tabela1[[#This Row],[p(A)]]))</f>
        <v/>
      </c>
      <c r="AO409" s="74" t="str">
        <f>IF(A409="","",IFERROR(Tabela1[[#This Row],[p(H)]]/Tabela1[[#This Row],[FTHG]],1))</f>
        <v/>
      </c>
      <c r="AP409" s="74" t="str">
        <f>IF(A409="","",IFERROR(Tabela1[[#This Row],[p(A)]]/Tabela1[[#This Row],[FTAG]],1))</f>
        <v/>
      </c>
      <c r="AQ409" s="107"/>
      <c r="AR409" s="107"/>
      <c r="AS409" s="107"/>
      <c r="AT409" s="107"/>
      <c r="AU409" s="107"/>
      <c r="AV409" s="107"/>
      <c r="AW409" s="107"/>
      <c r="AX409" s="107"/>
      <c r="AY409" s="107"/>
      <c r="AZ409" s="75"/>
      <c r="BA409" s="75"/>
      <c r="BB409" s="75"/>
      <c r="BC409" s="107"/>
      <c r="BD409" s="107"/>
      <c r="BE409" s="107"/>
      <c r="BF409" s="107"/>
      <c r="BG409" s="107"/>
      <c r="BH409" s="107"/>
      <c r="BI409" s="107"/>
      <c r="BJ409" s="107"/>
      <c r="BK409" s="107"/>
      <c r="BL409" s="107"/>
      <c r="BM409" s="107"/>
      <c r="BN409" s="107"/>
      <c r="BO409" s="107"/>
      <c r="BP409" s="107"/>
      <c r="BQ409" s="107"/>
      <c r="BR409" s="107"/>
      <c r="BS409" s="107"/>
      <c r="BT409" s="107"/>
      <c r="BU409" s="107"/>
      <c r="BV409" s="107"/>
      <c r="BW409" s="107"/>
      <c r="BX409" s="75"/>
      <c r="BY409" s="75"/>
      <c r="BZ409" s="75"/>
      <c r="CA409" s="75"/>
      <c r="CB409" s="75"/>
      <c r="CC409" s="75"/>
      <c r="CD409" s="75"/>
      <c r="CE409" s="102"/>
      <c r="CF409" s="102"/>
      <c r="CG409" s="102"/>
      <c r="CH409" s="102"/>
      <c r="CI409" s="102"/>
      <c r="CJ409" s="102"/>
      <c r="CK409" s="102"/>
      <c r="CL409" s="102"/>
      <c r="CM409" s="102"/>
      <c r="CN409" s="102"/>
      <c r="CO409" s="102"/>
      <c r="CP409" s="102"/>
      <c r="CQ409" s="102"/>
      <c r="CR409" s="102"/>
      <c r="CS409" s="102"/>
      <c r="CT409" s="102"/>
      <c r="CU409" s="102"/>
      <c r="CV409" s="102"/>
      <c r="CW409" s="102"/>
      <c r="CX409" s="102"/>
      <c r="CY409" s="102"/>
      <c r="CZ409" s="102"/>
      <c r="DA409" s="102"/>
      <c r="DB409" s="102"/>
      <c r="DC409" s="102"/>
      <c r="DD409" s="102"/>
      <c r="DE409" s="102"/>
      <c r="DF409" s="102"/>
      <c r="DG409" s="102"/>
      <c r="DH409" s="102"/>
      <c r="DI409" s="102"/>
      <c r="DJ409" s="102"/>
      <c r="DK409" s="102"/>
      <c r="DL409" s="102"/>
      <c r="DM409" s="102"/>
      <c r="DN409" s="102"/>
      <c r="DO409" s="102"/>
      <c r="DP409" s="102"/>
    </row>
    <row r="410" spans="1:120" x14ac:dyDescent="0.25">
      <c r="A410" s="4"/>
      <c r="G410" s="1"/>
      <c r="H410" s="1"/>
      <c r="I410" s="1"/>
      <c r="J410" s="68" t="str">
        <f t="shared" si="147"/>
        <v/>
      </c>
      <c r="K410" s="68" t="str">
        <f t="shared" si="148"/>
        <v/>
      </c>
      <c r="L410" s="69" t="str">
        <f t="shared" si="149"/>
        <v/>
      </c>
      <c r="M410" s="69" t="str">
        <f t="shared" si="150"/>
        <v/>
      </c>
      <c r="N410" s="69" t="str">
        <f>IF(A410="","",Tabela1[[#This Row],[PTC]]*Tabela1[[#This Row],[ODDC]])</f>
        <v/>
      </c>
      <c r="O410" s="69" t="str">
        <f>IF(A410="","",Tabela1[[#This Row],[PTV]]*Tabela1[[#This Row],[ODDV]])</f>
        <v/>
      </c>
      <c r="P410" s="68" t="str">
        <f t="shared" si="151"/>
        <v/>
      </c>
      <c r="Q410" s="68" t="str">
        <f t="shared" si="152"/>
        <v/>
      </c>
      <c r="R410" s="68" t="str">
        <f t="shared" si="153"/>
        <v/>
      </c>
      <c r="S410" s="68" t="str">
        <f t="shared" si="154"/>
        <v/>
      </c>
      <c r="T410" s="68" t="str">
        <f>IF(A410="","",IF(F410="D",Tabela1[[#This Row],[ODDE]]-1,-1))</f>
        <v/>
      </c>
      <c r="U410" s="70" t="str">
        <f>IF(A410="","",IF(AND(Tabela1[[#This Row],[FTHG]]&gt;3,F410="H"),1,0))</f>
        <v/>
      </c>
      <c r="V410" s="70" t="str">
        <f>IF(A410="","",IF(AND(Tabela1[[#This Row],[FTAG]]&gt;3,F410="A"),1,0))</f>
        <v/>
      </c>
      <c r="W410" s="70" t="str">
        <f t="shared" si="155"/>
        <v/>
      </c>
      <c r="X410" s="70" t="str">
        <f t="shared" si="156"/>
        <v/>
      </c>
      <c r="Y410" s="71" t="str">
        <f t="shared" si="157"/>
        <v/>
      </c>
      <c r="Z410" s="70" t="str">
        <f t="shared" si="158"/>
        <v/>
      </c>
      <c r="AA410" s="70" t="str">
        <f t="shared" si="159"/>
        <v/>
      </c>
      <c r="AB410" s="70" t="str">
        <f t="shared" si="160"/>
        <v/>
      </c>
      <c r="AC410" s="71" t="str">
        <f t="shared" si="161"/>
        <v/>
      </c>
      <c r="AD410" s="72" t="str">
        <f t="shared" si="162"/>
        <v/>
      </c>
      <c r="AE410" s="73" t="str">
        <f>IF(A410="","",COUNT($N$2:N410))</f>
        <v/>
      </c>
      <c r="AF410" s="74" t="str">
        <f t="shared" si="163"/>
        <v/>
      </c>
      <c r="AG410" s="74" t="str">
        <f t="shared" si="164"/>
        <v/>
      </c>
      <c r="AH410" s="74" t="str">
        <f t="shared" si="165"/>
        <v/>
      </c>
      <c r="AI410" s="74" t="str">
        <f t="shared" si="166"/>
        <v/>
      </c>
      <c r="AJ410" s="74" t="str">
        <f t="shared" si="167"/>
        <v/>
      </c>
      <c r="AK410" s="74" t="str">
        <f>IF(A410="","",1/Tabela1[[#This Row],[ODDC]])</f>
        <v/>
      </c>
      <c r="AL410" s="74" t="str">
        <f>IF(A410="","",1/Tabela1[[#This Row],[ODDE]])</f>
        <v/>
      </c>
      <c r="AM410" s="74" t="str">
        <f>IF(A410="","",1/Tabela1[[#This Row],[ODDV]])</f>
        <v/>
      </c>
      <c r="AN410" s="74" t="str">
        <f>IF(A410="","",1-(Tabela1[[#This Row],[p(H)]]+Tabela1[[#This Row],[p(D)]]+Tabela1[[#This Row],[p(A)]]))</f>
        <v/>
      </c>
      <c r="AO410" s="74" t="str">
        <f>IF(A410="","",IFERROR(Tabela1[[#This Row],[p(H)]]/Tabela1[[#This Row],[FTHG]],1))</f>
        <v/>
      </c>
      <c r="AP410" s="74" t="str">
        <f>IF(A410="","",IFERROR(Tabela1[[#This Row],[p(A)]]/Tabela1[[#This Row],[FTAG]],1))</f>
        <v/>
      </c>
      <c r="AQ410" s="107"/>
      <c r="AR410" s="107"/>
      <c r="AS410" s="107"/>
      <c r="AT410" s="107"/>
      <c r="AU410" s="107"/>
      <c r="AV410" s="107"/>
      <c r="AW410" s="107"/>
      <c r="AX410" s="107"/>
      <c r="AY410" s="107"/>
      <c r="AZ410" s="75"/>
      <c r="BA410" s="75"/>
      <c r="BB410" s="75"/>
      <c r="BC410" s="107"/>
      <c r="BD410" s="107"/>
      <c r="BE410" s="107"/>
      <c r="BF410" s="107"/>
      <c r="BG410" s="107"/>
      <c r="BH410" s="107"/>
      <c r="BI410" s="107"/>
      <c r="BJ410" s="107"/>
      <c r="BK410" s="107"/>
      <c r="BL410" s="107"/>
      <c r="BM410" s="107"/>
      <c r="BN410" s="107"/>
      <c r="BO410" s="107"/>
      <c r="BP410" s="107"/>
      <c r="BQ410" s="107"/>
      <c r="BR410" s="107"/>
      <c r="BS410" s="107"/>
      <c r="BT410" s="107"/>
      <c r="BU410" s="107"/>
      <c r="BV410" s="107"/>
      <c r="BW410" s="107"/>
      <c r="BX410" s="75"/>
      <c r="BY410" s="75"/>
      <c r="BZ410" s="75"/>
      <c r="CA410" s="75"/>
      <c r="CB410" s="75"/>
      <c r="CC410" s="75"/>
      <c r="CD410" s="75"/>
      <c r="CE410" s="102"/>
      <c r="CF410" s="102"/>
      <c r="CG410" s="102"/>
      <c r="CH410" s="102"/>
      <c r="CI410" s="102"/>
      <c r="CJ410" s="102"/>
      <c r="CK410" s="102"/>
      <c r="CL410" s="102"/>
      <c r="CM410" s="102"/>
      <c r="CN410" s="102"/>
      <c r="CO410" s="102"/>
      <c r="CP410" s="102"/>
      <c r="CQ410" s="102"/>
      <c r="CR410" s="102"/>
      <c r="CS410" s="102"/>
      <c r="CT410" s="102"/>
      <c r="CU410" s="102"/>
      <c r="CV410" s="102"/>
      <c r="CW410" s="102"/>
      <c r="CX410" s="102"/>
      <c r="CY410" s="102"/>
      <c r="CZ410" s="102"/>
      <c r="DA410" s="102"/>
      <c r="DB410" s="102"/>
      <c r="DC410" s="102"/>
      <c r="DD410" s="102"/>
      <c r="DE410" s="102"/>
      <c r="DF410" s="102"/>
      <c r="DG410" s="102"/>
      <c r="DH410" s="102"/>
      <c r="DI410" s="102"/>
      <c r="DJ410" s="102"/>
      <c r="DK410" s="102"/>
      <c r="DL410" s="102"/>
      <c r="DM410" s="102"/>
      <c r="DN410" s="102"/>
      <c r="DO410" s="102"/>
      <c r="DP410" s="102"/>
    </row>
    <row r="411" spans="1:120" x14ac:dyDescent="0.25">
      <c r="A411" s="4"/>
      <c r="G411" s="1"/>
      <c r="H411" s="1"/>
      <c r="I411" s="1"/>
      <c r="J411" s="68" t="str">
        <f t="shared" si="147"/>
        <v/>
      </c>
      <c r="K411" s="68" t="str">
        <f t="shared" si="148"/>
        <v/>
      </c>
      <c r="L411" s="69" t="str">
        <f t="shared" si="149"/>
        <v/>
      </c>
      <c r="M411" s="69" t="str">
        <f t="shared" si="150"/>
        <v/>
      </c>
      <c r="N411" s="69" t="str">
        <f>IF(A411="","",Tabela1[[#This Row],[PTC]]*Tabela1[[#This Row],[ODDC]])</f>
        <v/>
      </c>
      <c r="O411" s="69" t="str">
        <f>IF(A411="","",Tabela1[[#This Row],[PTV]]*Tabela1[[#This Row],[ODDV]])</f>
        <v/>
      </c>
      <c r="P411" s="68" t="str">
        <f t="shared" si="151"/>
        <v/>
      </c>
      <c r="Q411" s="68" t="str">
        <f t="shared" si="152"/>
        <v/>
      </c>
      <c r="R411" s="68" t="str">
        <f t="shared" si="153"/>
        <v/>
      </c>
      <c r="S411" s="68" t="str">
        <f t="shared" si="154"/>
        <v/>
      </c>
      <c r="T411" s="68" t="str">
        <f>IF(A411="","",IF(F411="D",Tabela1[[#This Row],[ODDE]]-1,-1))</f>
        <v/>
      </c>
      <c r="U411" s="70" t="str">
        <f>IF(A411="","",IF(AND(Tabela1[[#This Row],[FTHG]]&gt;3,F411="H"),1,0))</f>
        <v/>
      </c>
      <c r="V411" s="70" t="str">
        <f>IF(A411="","",IF(AND(Tabela1[[#This Row],[FTAG]]&gt;3,F411="A"),1,0))</f>
        <v/>
      </c>
      <c r="W411" s="70" t="str">
        <f t="shared" si="155"/>
        <v/>
      </c>
      <c r="X411" s="70" t="str">
        <f t="shared" si="156"/>
        <v/>
      </c>
      <c r="Y411" s="71" t="str">
        <f t="shared" si="157"/>
        <v/>
      </c>
      <c r="Z411" s="70" t="str">
        <f t="shared" si="158"/>
        <v/>
      </c>
      <c r="AA411" s="70" t="str">
        <f t="shared" si="159"/>
        <v/>
      </c>
      <c r="AB411" s="70" t="str">
        <f t="shared" si="160"/>
        <v/>
      </c>
      <c r="AC411" s="71" t="str">
        <f t="shared" si="161"/>
        <v/>
      </c>
      <c r="AD411" s="72" t="str">
        <f t="shared" si="162"/>
        <v/>
      </c>
      <c r="AE411" s="73" t="str">
        <f>IF(A411="","",COUNT($N$2:N411))</f>
        <v/>
      </c>
      <c r="AF411" s="74" t="str">
        <f t="shared" si="163"/>
        <v/>
      </c>
      <c r="AG411" s="74" t="str">
        <f t="shared" si="164"/>
        <v/>
      </c>
      <c r="AH411" s="74" t="str">
        <f t="shared" si="165"/>
        <v/>
      </c>
      <c r="AI411" s="74" t="str">
        <f t="shared" si="166"/>
        <v/>
      </c>
      <c r="AJ411" s="74" t="str">
        <f t="shared" si="167"/>
        <v/>
      </c>
      <c r="AK411" s="74" t="str">
        <f>IF(A411="","",1/Tabela1[[#This Row],[ODDC]])</f>
        <v/>
      </c>
      <c r="AL411" s="74" t="str">
        <f>IF(A411="","",1/Tabela1[[#This Row],[ODDE]])</f>
        <v/>
      </c>
      <c r="AM411" s="74" t="str">
        <f>IF(A411="","",1/Tabela1[[#This Row],[ODDV]])</f>
        <v/>
      </c>
      <c r="AN411" s="74" t="str">
        <f>IF(A411="","",1-(Tabela1[[#This Row],[p(H)]]+Tabela1[[#This Row],[p(D)]]+Tabela1[[#This Row],[p(A)]]))</f>
        <v/>
      </c>
      <c r="AO411" s="74" t="str">
        <f>IF(A411="","",IFERROR(Tabela1[[#This Row],[p(H)]]/Tabela1[[#This Row],[FTHG]],1))</f>
        <v/>
      </c>
      <c r="AP411" s="74" t="str">
        <f>IF(A411="","",IFERROR(Tabela1[[#This Row],[p(A)]]/Tabela1[[#This Row],[FTAG]],1))</f>
        <v/>
      </c>
      <c r="AQ411" s="107"/>
      <c r="AR411" s="107"/>
      <c r="AS411" s="107"/>
      <c r="AT411" s="107"/>
      <c r="AU411" s="107"/>
      <c r="AV411" s="107"/>
      <c r="AW411" s="107"/>
      <c r="AX411" s="107"/>
      <c r="AY411" s="107"/>
      <c r="AZ411" s="75"/>
      <c r="BA411" s="75"/>
      <c r="BB411" s="75"/>
      <c r="BC411" s="107"/>
      <c r="BD411" s="107"/>
      <c r="BE411" s="107"/>
      <c r="BF411" s="107"/>
      <c r="BG411" s="107"/>
      <c r="BH411" s="107"/>
      <c r="BI411" s="107"/>
      <c r="BJ411" s="107"/>
      <c r="BK411" s="107"/>
      <c r="BL411" s="107"/>
      <c r="BM411" s="107"/>
      <c r="BN411" s="107"/>
      <c r="BO411" s="107"/>
      <c r="BP411" s="107"/>
      <c r="BQ411" s="107"/>
      <c r="BR411" s="107"/>
      <c r="BS411" s="107"/>
      <c r="BT411" s="107"/>
      <c r="BU411" s="107"/>
      <c r="BV411" s="107"/>
      <c r="BW411" s="107"/>
      <c r="BX411" s="75"/>
      <c r="BY411" s="75"/>
      <c r="BZ411" s="75"/>
      <c r="CA411" s="75"/>
      <c r="CB411" s="75"/>
      <c r="CC411" s="75"/>
      <c r="CD411" s="75"/>
      <c r="CE411" s="102"/>
      <c r="CF411" s="102"/>
      <c r="CG411" s="102"/>
      <c r="CH411" s="102"/>
      <c r="CI411" s="102"/>
      <c r="CJ411" s="102"/>
      <c r="CK411" s="102"/>
      <c r="CL411" s="102"/>
      <c r="CM411" s="102"/>
      <c r="CN411" s="102"/>
      <c r="CO411" s="102"/>
      <c r="CP411" s="102"/>
      <c r="CQ411" s="102"/>
      <c r="CR411" s="102"/>
      <c r="CS411" s="102"/>
      <c r="CT411" s="102"/>
      <c r="CU411" s="102"/>
      <c r="CV411" s="102"/>
      <c r="CW411" s="102"/>
      <c r="CX411" s="102"/>
      <c r="CY411" s="102"/>
      <c r="CZ411" s="102"/>
      <c r="DA411" s="102"/>
      <c r="DB411" s="102"/>
      <c r="DC411" s="102"/>
      <c r="DD411" s="102"/>
      <c r="DE411" s="102"/>
      <c r="DF411" s="102"/>
      <c r="DG411" s="102"/>
      <c r="DH411" s="102"/>
      <c r="DI411" s="102"/>
      <c r="DJ411" s="102"/>
      <c r="DK411" s="102"/>
      <c r="DL411" s="102"/>
      <c r="DM411" s="102"/>
      <c r="DN411" s="102"/>
      <c r="DO411" s="102"/>
      <c r="DP411" s="102"/>
    </row>
    <row r="412" spans="1:120" x14ac:dyDescent="0.25">
      <c r="A412" s="4"/>
      <c r="G412" s="1"/>
      <c r="H412" s="1"/>
      <c r="I412" s="1"/>
      <c r="J412" s="68" t="str">
        <f t="shared" si="147"/>
        <v/>
      </c>
      <c r="K412" s="68" t="str">
        <f t="shared" si="148"/>
        <v/>
      </c>
      <c r="L412" s="69" t="str">
        <f t="shared" si="149"/>
        <v/>
      </c>
      <c r="M412" s="69" t="str">
        <f t="shared" si="150"/>
        <v/>
      </c>
      <c r="N412" s="69" t="str">
        <f>IF(A412="","",Tabela1[[#This Row],[PTC]]*Tabela1[[#This Row],[ODDC]])</f>
        <v/>
      </c>
      <c r="O412" s="69" t="str">
        <f>IF(A412="","",Tabela1[[#This Row],[PTV]]*Tabela1[[#This Row],[ODDV]])</f>
        <v/>
      </c>
      <c r="P412" s="68" t="str">
        <f t="shared" si="151"/>
        <v/>
      </c>
      <c r="Q412" s="68" t="str">
        <f t="shared" si="152"/>
        <v/>
      </c>
      <c r="R412" s="68" t="str">
        <f t="shared" si="153"/>
        <v/>
      </c>
      <c r="S412" s="68" t="str">
        <f t="shared" si="154"/>
        <v/>
      </c>
      <c r="T412" s="68" t="str">
        <f>IF(A412="","",IF(F412="D",Tabela1[[#This Row],[ODDE]]-1,-1))</f>
        <v/>
      </c>
      <c r="U412" s="70" t="str">
        <f>IF(A412="","",IF(AND(Tabela1[[#This Row],[FTHG]]&gt;3,F412="H"),1,0))</f>
        <v/>
      </c>
      <c r="V412" s="70" t="str">
        <f>IF(A412="","",IF(AND(Tabela1[[#This Row],[FTAG]]&gt;3,F412="A"),1,0))</f>
        <v/>
      </c>
      <c r="W412" s="70" t="str">
        <f t="shared" si="155"/>
        <v/>
      </c>
      <c r="X412" s="70" t="str">
        <f t="shared" si="156"/>
        <v/>
      </c>
      <c r="Y412" s="71" t="str">
        <f t="shared" si="157"/>
        <v/>
      </c>
      <c r="Z412" s="70" t="str">
        <f t="shared" si="158"/>
        <v/>
      </c>
      <c r="AA412" s="70" t="str">
        <f t="shared" si="159"/>
        <v/>
      </c>
      <c r="AB412" s="70" t="str">
        <f t="shared" si="160"/>
        <v/>
      </c>
      <c r="AC412" s="71" t="str">
        <f t="shared" si="161"/>
        <v/>
      </c>
      <c r="AD412" s="72" t="str">
        <f t="shared" si="162"/>
        <v/>
      </c>
      <c r="AE412" s="73" t="str">
        <f>IF(A412="","",COUNT($N$2:N412))</f>
        <v/>
      </c>
      <c r="AF412" s="74" t="str">
        <f t="shared" si="163"/>
        <v/>
      </c>
      <c r="AG412" s="74" t="str">
        <f t="shared" si="164"/>
        <v/>
      </c>
      <c r="AH412" s="74" t="str">
        <f t="shared" si="165"/>
        <v/>
      </c>
      <c r="AI412" s="74" t="str">
        <f t="shared" si="166"/>
        <v/>
      </c>
      <c r="AJ412" s="74" t="str">
        <f t="shared" si="167"/>
        <v/>
      </c>
      <c r="AK412" s="74" t="str">
        <f>IF(A412="","",1/Tabela1[[#This Row],[ODDC]])</f>
        <v/>
      </c>
      <c r="AL412" s="74" t="str">
        <f>IF(A412="","",1/Tabela1[[#This Row],[ODDE]])</f>
        <v/>
      </c>
      <c r="AM412" s="74" t="str">
        <f>IF(A412="","",1/Tabela1[[#This Row],[ODDV]])</f>
        <v/>
      </c>
      <c r="AN412" s="74" t="str">
        <f>IF(A412="","",1-(Tabela1[[#This Row],[p(H)]]+Tabela1[[#This Row],[p(D)]]+Tabela1[[#This Row],[p(A)]]))</f>
        <v/>
      </c>
      <c r="AO412" s="74" t="str">
        <f>IF(A412="","",IFERROR(Tabela1[[#This Row],[p(H)]]/Tabela1[[#This Row],[FTHG]],1))</f>
        <v/>
      </c>
      <c r="AP412" s="74" t="str">
        <f>IF(A412="","",IFERROR(Tabela1[[#This Row],[p(A)]]/Tabela1[[#This Row],[FTAG]],1))</f>
        <v/>
      </c>
      <c r="AQ412" s="107"/>
      <c r="AR412" s="107"/>
      <c r="AS412" s="107"/>
      <c r="AT412" s="107"/>
      <c r="AU412" s="107"/>
      <c r="AV412" s="107"/>
      <c r="AW412" s="107"/>
      <c r="AX412" s="107"/>
      <c r="AY412" s="107"/>
      <c r="AZ412" s="75"/>
      <c r="BA412" s="75"/>
      <c r="BB412" s="75"/>
      <c r="BC412" s="107"/>
      <c r="BD412" s="107"/>
      <c r="BE412" s="107"/>
      <c r="BF412" s="107"/>
      <c r="BG412" s="107"/>
      <c r="BH412" s="107"/>
      <c r="BI412" s="107"/>
      <c r="BJ412" s="107"/>
      <c r="BK412" s="107"/>
      <c r="BL412" s="107"/>
      <c r="BM412" s="107"/>
      <c r="BN412" s="107"/>
      <c r="BO412" s="107"/>
      <c r="BP412" s="107"/>
      <c r="BQ412" s="107"/>
      <c r="BR412" s="107"/>
      <c r="BS412" s="107"/>
      <c r="BT412" s="107"/>
      <c r="BU412" s="107"/>
      <c r="BV412" s="107"/>
      <c r="BW412" s="107"/>
      <c r="BX412" s="75"/>
      <c r="BY412" s="75"/>
      <c r="BZ412" s="75"/>
      <c r="CA412" s="75"/>
      <c r="CB412" s="75"/>
      <c r="CC412" s="75"/>
      <c r="CD412" s="75"/>
      <c r="CE412" s="102"/>
      <c r="CF412" s="102"/>
      <c r="CG412" s="102"/>
      <c r="CH412" s="102"/>
      <c r="CI412" s="102"/>
      <c r="CJ412" s="102"/>
      <c r="CK412" s="102"/>
      <c r="CL412" s="102"/>
      <c r="CM412" s="102"/>
      <c r="CN412" s="102"/>
      <c r="CO412" s="102"/>
      <c r="CP412" s="102"/>
      <c r="CQ412" s="102"/>
      <c r="CR412" s="102"/>
      <c r="CS412" s="102"/>
      <c r="CT412" s="102"/>
      <c r="CU412" s="102"/>
      <c r="CV412" s="102"/>
      <c r="CW412" s="102"/>
      <c r="CX412" s="102"/>
      <c r="CY412" s="102"/>
      <c r="CZ412" s="102"/>
      <c r="DA412" s="102"/>
      <c r="DB412" s="102"/>
      <c r="DC412" s="102"/>
      <c r="DD412" s="102"/>
      <c r="DE412" s="102"/>
      <c r="DF412" s="102"/>
      <c r="DG412" s="102"/>
      <c r="DH412" s="102"/>
      <c r="DI412" s="102"/>
      <c r="DJ412" s="102"/>
      <c r="DK412" s="102"/>
      <c r="DL412" s="102"/>
      <c r="DM412" s="102"/>
      <c r="DN412" s="102"/>
      <c r="DO412" s="102"/>
      <c r="DP412" s="102"/>
    </row>
    <row r="413" spans="1:120" x14ac:dyDescent="0.25">
      <c r="A413" s="4"/>
      <c r="G413" s="1"/>
      <c r="H413" s="1"/>
      <c r="I413" s="1"/>
      <c r="J413" s="68" t="str">
        <f t="shared" si="147"/>
        <v/>
      </c>
      <c r="K413" s="68" t="str">
        <f t="shared" si="148"/>
        <v/>
      </c>
      <c r="L413" s="69" t="str">
        <f t="shared" si="149"/>
        <v/>
      </c>
      <c r="M413" s="69" t="str">
        <f t="shared" si="150"/>
        <v/>
      </c>
      <c r="N413" s="69" t="str">
        <f>IF(A413="","",Tabela1[[#This Row],[PTC]]*Tabela1[[#This Row],[ODDC]])</f>
        <v/>
      </c>
      <c r="O413" s="69" t="str">
        <f>IF(A413="","",Tabela1[[#This Row],[PTV]]*Tabela1[[#This Row],[ODDV]])</f>
        <v/>
      </c>
      <c r="P413" s="68" t="str">
        <f t="shared" si="151"/>
        <v/>
      </c>
      <c r="Q413" s="68" t="str">
        <f t="shared" si="152"/>
        <v/>
      </c>
      <c r="R413" s="68" t="str">
        <f t="shared" si="153"/>
        <v/>
      </c>
      <c r="S413" s="68" t="str">
        <f t="shared" si="154"/>
        <v/>
      </c>
      <c r="T413" s="68" t="str">
        <f>IF(A413="","",IF(F413="D",Tabela1[[#This Row],[ODDE]]-1,-1))</f>
        <v/>
      </c>
      <c r="U413" s="70" t="str">
        <f>IF(A413="","",IF(AND(Tabela1[[#This Row],[FTHG]]&gt;3,F413="H"),1,0))</f>
        <v/>
      </c>
      <c r="V413" s="70" t="str">
        <f>IF(A413="","",IF(AND(Tabela1[[#This Row],[FTAG]]&gt;3,F413="A"),1,0))</f>
        <v/>
      </c>
      <c r="W413" s="70" t="str">
        <f t="shared" si="155"/>
        <v/>
      </c>
      <c r="X413" s="70" t="str">
        <f t="shared" si="156"/>
        <v/>
      </c>
      <c r="Y413" s="71" t="str">
        <f t="shared" si="157"/>
        <v/>
      </c>
      <c r="Z413" s="70" t="str">
        <f t="shared" si="158"/>
        <v/>
      </c>
      <c r="AA413" s="70" t="str">
        <f t="shared" si="159"/>
        <v/>
      </c>
      <c r="AB413" s="70" t="str">
        <f t="shared" si="160"/>
        <v/>
      </c>
      <c r="AC413" s="71" t="str">
        <f t="shared" si="161"/>
        <v/>
      </c>
      <c r="AD413" s="72" t="str">
        <f t="shared" si="162"/>
        <v/>
      </c>
      <c r="AE413" s="73" t="str">
        <f>IF(A413="","",COUNT($N$2:N413))</f>
        <v/>
      </c>
      <c r="AF413" s="74" t="str">
        <f t="shared" si="163"/>
        <v/>
      </c>
      <c r="AG413" s="74" t="str">
        <f t="shared" si="164"/>
        <v/>
      </c>
      <c r="AH413" s="74" t="str">
        <f t="shared" si="165"/>
        <v/>
      </c>
      <c r="AI413" s="74" t="str">
        <f t="shared" si="166"/>
        <v/>
      </c>
      <c r="AJ413" s="74" t="str">
        <f t="shared" si="167"/>
        <v/>
      </c>
      <c r="AK413" s="74" t="str">
        <f>IF(A413="","",1/Tabela1[[#This Row],[ODDC]])</f>
        <v/>
      </c>
      <c r="AL413" s="74" t="str">
        <f>IF(A413="","",1/Tabela1[[#This Row],[ODDE]])</f>
        <v/>
      </c>
      <c r="AM413" s="74" t="str">
        <f>IF(A413="","",1/Tabela1[[#This Row],[ODDV]])</f>
        <v/>
      </c>
      <c r="AN413" s="74" t="str">
        <f>IF(A413="","",1-(Tabela1[[#This Row],[p(H)]]+Tabela1[[#This Row],[p(D)]]+Tabela1[[#This Row],[p(A)]]))</f>
        <v/>
      </c>
      <c r="AO413" s="74" t="str">
        <f>IF(A413="","",IFERROR(Tabela1[[#This Row],[p(H)]]/Tabela1[[#This Row],[FTHG]],1))</f>
        <v/>
      </c>
      <c r="AP413" s="74" t="str">
        <f>IF(A413="","",IFERROR(Tabela1[[#This Row],[p(A)]]/Tabela1[[#This Row],[FTAG]],1))</f>
        <v/>
      </c>
      <c r="AQ413" s="107"/>
      <c r="AR413" s="107"/>
      <c r="AS413" s="107"/>
      <c r="AT413" s="107"/>
      <c r="AU413" s="107"/>
      <c r="AV413" s="107"/>
      <c r="AW413" s="107"/>
      <c r="AX413" s="107"/>
      <c r="AY413" s="107"/>
      <c r="AZ413" s="75"/>
      <c r="BA413" s="75"/>
      <c r="BB413" s="75"/>
      <c r="BC413" s="107"/>
      <c r="BD413" s="107"/>
      <c r="BE413" s="107"/>
      <c r="BF413" s="107"/>
      <c r="BG413" s="107"/>
      <c r="BH413" s="107"/>
      <c r="BI413" s="107"/>
      <c r="BJ413" s="107"/>
      <c r="BK413" s="107"/>
      <c r="BL413" s="107"/>
      <c r="BM413" s="107"/>
      <c r="BN413" s="107"/>
      <c r="BO413" s="107"/>
      <c r="BP413" s="107"/>
      <c r="BQ413" s="107"/>
      <c r="BR413" s="107"/>
      <c r="BS413" s="107"/>
      <c r="BT413" s="107"/>
      <c r="BU413" s="107"/>
      <c r="BV413" s="107"/>
      <c r="BW413" s="107"/>
      <c r="BX413" s="75"/>
      <c r="BY413" s="75"/>
      <c r="BZ413" s="75"/>
      <c r="CA413" s="75"/>
      <c r="CB413" s="75"/>
      <c r="CC413" s="75"/>
      <c r="CD413" s="75"/>
      <c r="CE413" s="102"/>
      <c r="CF413" s="102"/>
      <c r="CG413" s="102"/>
      <c r="CH413" s="102"/>
      <c r="CI413" s="102"/>
      <c r="CJ413" s="102"/>
      <c r="CK413" s="102"/>
      <c r="CL413" s="102"/>
      <c r="CM413" s="102"/>
      <c r="CN413" s="102"/>
      <c r="CO413" s="102"/>
      <c r="CP413" s="102"/>
      <c r="CQ413" s="102"/>
      <c r="CR413" s="102"/>
      <c r="CS413" s="102"/>
      <c r="CT413" s="102"/>
      <c r="CU413" s="102"/>
      <c r="CV413" s="102"/>
      <c r="CW413" s="102"/>
      <c r="CX413" s="102"/>
      <c r="CY413" s="102"/>
      <c r="CZ413" s="102"/>
      <c r="DA413" s="102"/>
      <c r="DB413" s="102"/>
      <c r="DC413" s="102"/>
      <c r="DD413" s="102"/>
      <c r="DE413" s="102"/>
      <c r="DF413" s="102"/>
      <c r="DG413" s="102"/>
      <c r="DH413" s="102"/>
      <c r="DI413" s="102"/>
      <c r="DJ413" s="102"/>
      <c r="DK413" s="102"/>
      <c r="DL413" s="102"/>
      <c r="DM413" s="102"/>
      <c r="DN413" s="102"/>
      <c r="DO413" s="102"/>
      <c r="DP413" s="102"/>
    </row>
    <row r="414" spans="1:120" x14ac:dyDescent="0.25">
      <c r="A414" s="4"/>
      <c r="G414" s="11"/>
      <c r="H414" s="11"/>
      <c r="I414" s="11"/>
      <c r="J414" s="68" t="str">
        <f t="shared" si="147"/>
        <v/>
      </c>
      <c r="K414" s="68" t="str">
        <f t="shared" si="148"/>
        <v/>
      </c>
      <c r="L414" s="69" t="str">
        <f t="shared" si="149"/>
        <v/>
      </c>
      <c r="M414" s="69" t="str">
        <f t="shared" si="150"/>
        <v/>
      </c>
      <c r="N414" s="69" t="str">
        <f>IF(A414="","",Tabela1[[#This Row],[PTC]]*Tabela1[[#This Row],[ODDC]])</f>
        <v/>
      </c>
      <c r="O414" s="69" t="str">
        <f>IF(A414="","",Tabela1[[#This Row],[PTV]]*Tabela1[[#This Row],[ODDV]])</f>
        <v/>
      </c>
      <c r="P414" s="68" t="str">
        <f t="shared" si="151"/>
        <v/>
      </c>
      <c r="Q414" s="68" t="str">
        <f t="shared" si="152"/>
        <v/>
      </c>
      <c r="R414" s="68" t="str">
        <f t="shared" si="153"/>
        <v/>
      </c>
      <c r="S414" s="68" t="str">
        <f t="shared" si="154"/>
        <v/>
      </c>
      <c r="T414" s="68" t="str">
        <f>IF(A414="","",IF(F414="D",Tabela1[[#This Row],[ODDE]]-1,-1))</f>
        <v/>
      </c>
      <c r="U414" s="70" t="str">
        <f>IF(A414="","",IF(AND(Tabela1[[#This Row],[FTHG]]&gt;3,F414="H"),1,0))</f>
        <v/>
      </c>
      <c r="V414" s="70" t="str">
        <f>IF(A414="","",IF(AND(Tabela1[[#This Row],[FTAG]]&gt;3,F414="A"),1,0))</f>
        <v/>
      </c>
      <c r="W414" s="70" t="str">
        <f t="shared" si="155"/>
        <v/>
      </c>
      <c r="X414" s="70" t="str">
        <f t="shared" si="156"/>
        <v/>
      </c>
      <c r="Y414" s="71" t="str">
        <f t="shared" si="157"/>
        <v/>
      </c>
      <c r="Z414" s="70" t="str">
        <f t="shared" si="158"/>
        <v/>
      </c>
      <c r="AA414" s="70" t="str">
        <f t="shared" si="159"/>
        <v/>
      </c>
      <c r="AB414" s="70" t="str">
        <f t="shared" si="160"/>
        <v/>
      </c>
      <c r="AC414" s="71" t="str">
        <f t="shared" si="161"/>
        <v/>
      </c>
      <c r="AD414" s="72" t="str">
        <f t="shared" si="162"/>
        <v/>
      </c>
      <c r="AE414" s="73" t="str">
        <f>IF(A414="","",COUNT($N$2:N414))</f>
        <v/>
      </c>
      <c r="AF414" s="74" t="str">
        <f t="shared" si="163"/>
        <v/>
      </c>
      <c r="AG414" s="74" t="str">
        <f t="shared" si="164"/>
        <v/>
      </c>
      <c r="AH414" s="74" t="str">
        <f t="shared" si="165"/>
        <v/>
      </c>
      <c r="AI414" s="74" t="str">
        <f t="shared" si="166"/>
        <v/>
      </c>
      <c r="AJ414" s="74" t="str">
        <f t="shared" si="167"/>
        <v/>
      </c>
      <c r="AK414" s="74" t="str">
        <f>IF(A414="","",1/Tabela1[[#This Row],[ODDC]])</f>
        <v/>
      </c>
      <c r="AL414" s="74" t="str">
        <f>IF(A414="","",1/Tabela1[[#This Row],[ODDE]])</f>
        <v/>
      </c>
      <c r="AM414" s="74" t="str">
        <f>IF(A414="","",1/Tabela1[[#This Row],[ODDV]])</f>
        <v/>
      </c>
      <c r="AN414" s="74" t="str">
        <f>IF(A414="","",1-(Tabela1[[#This Row],[p(H)]]+Tabela1[[#This Row],[p(D)]]+Tabela1[[#This Row],[p(A)]]))</f>
        <v/>
      </c>
      <c r="AO414" s="74" t="str">
        <f>IF(A414="","",IFERROR(Tabela1[[#This Row],[p(H)]]/Tabela1[[#This Row],[FTHG]],1))</f>
        <v/>
      </c>
      <c r="AP414" s="74" t="str">
        <f>IF(A414="","",IFERROR(Tabela1[[#This Row],[p(A)]]/Tabela1[[#This Row],[FTAG]],1))</f>
        <v/>
      </c>
      <c r="AZ414" s="2"/>
      <c r="BA414" s="2"/>
      <c r="BB414" s="2"/>
      <c r="BX414" s="2"/>
      <c r="BY414" s="2"/>
      <c r="BZ414" s="2"/>
      <c r="CA414" s="2"/>
      <c r="CB414" s="2"/>
      <c r="CC414" s="2"/>
      <c r="CD414" s="2"/>
    </row>
    <row r="415" spans="1:120" x14ac:dyDescent="0.25"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Z415" s="2"/>
      <c r="BA415" s="2"/>
      <c r="BB415" s="2"/>
      <c r="BX415" s="2"/>
      <c r="BY415" s="2"/>
      <c r="BZ415" s="2"/>
      <c r="CA415" s="2"/>
      <c r="CB415" s="2"/>
      <c r="CC415" s="2"/>
      <c r="CD415" s="2"/>
    </row>
    <row r="416" spans="1:120" x14ac:dyDescent="0.25"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Z416" s="2"/>
      <c r="BA416" s="2"/>
      <c r="BB416" s="2"/>
      <c r="BX416" s="2"/>
      <c r="BY416" s="2"/>
      <c r="BZ416" s="2"/>
      <c r="CA416" s="2"/>
      <c r="CB416" s="2"/>
      <c r="CC416" s="2"/>
      <c r="CD416" s="2"/>
    </row>
    <row r="417" spans="12:82" x14ac:dyDescent="0.25"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Z417" s="2"/>
      <c r="BA417" s="2"/>
      <c r="BB417" s="2"/>
      <c r="BX417" s="2"/>
      <c r="BY417" s="2"/>
      <c r="BZ417" s="2"/>
      <c r="CA417" s="2"/>
      <c r="CB417" s="2"/>
      <c r="CC417" s="2"/>
      <c r="CD417" s="2"/>
    </row>
    <row r="418" spans="12:82" x14ac:dyDescent="0.25"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Z418" s="2"/>
      <c r="BA418" s="2"/>
      <c r="BB418" s="2"/>
      <c r="BX418" s="2"/>
      <c r="BY418" s="2"/>
      <c r="BZ418" s="2"/>
      <c r="CA418" s="2"/>
      <c r="CB418" s="2"/>
      <c r="CC418" s="2"/>
      <c r="CD418" s="2"/>
    </row>
    <row r="419" spans="12:82" x14ac:dyDescent="0.25"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Z419" s="2"/>
      <c r="BA419" s="2"/>
      <c r="BB419" s="2"/>
      <c r="BX419" s="2"/>
      <c r="BY419" s="2"/>
      <c r="BZ419" s="2"/>
      <c r="CA419" s="2"/>
      <c r="CB419" s="2"/>
      <c r="CC419" s="2"/>
      <c r="CD419" s="2"/>
    </row>
    <row r="420" spans="12:82" x14ac:dyDescent="0.25"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Z420" s="2"/>
      <c r="BA420" s="2"/>
      <c r="BB420" s="2"/>
      <c r="BX420" s="2"/>
      <c r="BY420" s="2"/>
      <c r="BZ420" s="2"/>
      <c r="CA420" s="2"/>
      <c r="CB420" s="2"/>
      <c r="CC420" s="2"/>
      <c r="CD420" s="2"/>
    </row>
    <row r="421" spans="12:82" x14ac:dyDescent="0.25"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Z421" s="2"/>
      <c r="BA421" s="2"/>
      <c r="BB421" s="2"/>
      <c r="BX421" s="2"/>
      <c r="BY421" s="2"/>
      <c r="BZ421" s="2"/>
      <c r="CA421" s="2"/>
      <c r="CB421" s="2"/>
      <c r="CC421" s="2"/>
      <c r="CD421" s="2"/>
    </row>
    <row r="422" spans="12:82" x14ac:dyDescent="0.25"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Z422" s="2"/>
      <c r="BA422" s="2"/>
      <c r="BB422" s="2"/>
      <c r="BX422" s="2"/>
      <c r="BY422" s="2"/>
      <c r="BZ422" s="2"/>
      <c r="CA422" s="2"/>
      <c r="CB422" s="2"/>
      <c r="CC422" s="2"/>
      <c r="CD422" s="2"/>
    </row>
    <row r="423" spans="12:82" x14ac:dyDescent="0.25"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Z423" s="2"/>
      <c r="BA423" s="2"/>
      <c r="BB423" s="2"/>
      <c r="BX423" s="2"/>
      <c r="BY423" s="2"/>
      <c r="BZ423" s="2"/>
      <c r="CA423" s="2"/>
      <c r="CB423" s="2"/>
      <c r="CC423" s="2"/>
      <c r="CD423" s="2"/>
    </row>
    <row r="424" spans="12:82" x14ac:dyDescent="0.25"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Z424" s="2"/>
      <c r="BA424" s="2"/>
      <c r="BB424" s="2"/>
      <c r="BX424" s="2"/>
      <c r="BY424" s="2"/>
      <c r="BZ424" s="2"/>
      <c r="CA424" s="2"/>
      <c r="CB424" s="2"/>
      <c r="CC424" s="2"/>
      <c r="CD424" s="2"/>
    </row>
    <row r="425" spans="12:82" x14ac:dyDescent="0.25"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Z425" s="2"/>
      <c r="BA425" s="2"/>
      <c r="BB425" s="2"/>
      <c r="BX425" s="2"/>
      <c r="BY425" s="2"/>
      <c r="BZ425" s="2"/>
      <c r="CA425" s="2"/>
      <c r="CB425" s="2"/>
      <c r="CC425" s="2"/>
      <c r="CD425" s="2"/>
    </row>
    <row r="426" spans="12:82" x14ac:dyDescent="0.25"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Z426" s="2"/>
      <c r="BA426" s="2"/>
      <c r="BB426" s="2"/>
      <c r="BX426" s="2"/>
      <c r="BY426" s="2"/>
      <c r="BZ426" s="2"/>
      <c r="CA426" s="2"/>
      <c r="CB426" s="2"/>
      <c r="CC426" s="2"/>
      <c r="CD426" s="2"/>
    </row>
    <row r="427" spans="12:82" x14ac:dyDescent="0.25"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Z427" s="2"/>
      <c r="BA427" s="2"/>
      <c r="BB427" s="2"/>
      <c r="BX427" s="2"/>
      <c r="BY427" s="2"/>
      <c r="BZ427" s="2"/>
      <c r="CA427" s="2"/>
      <c r="CB427" s="2"/>
      <c r="CC427" s="2"/>
      <c r="CD427" s="2"/>
    </row>
    <row r="428" spans="12:82" x14ac:dyDescent="0.25"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Z428" s="2"/>
      <c r="BA428" s="2"/>
      <c r="BB428" s="2"/>
      <c r="BX428" s="2"/>
      <c r="BY428" s="2"/>
      <c r="BZ428" s="2"/>
      <c r="CA428" s="2"/>
      <c r="CB428" s="2"/>
      <c r="CC428" s="2"/>
      <c r="CD428" s="2"/>
    </row>
    <row r="429" spans="12:82" x14ac:dyDescent="0.25"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Z429" s="2"/>
      <c r="BA429" s="2"/>
      <c r="BB429" s="2"/>
      <c r="BX429" s="2"/>
      <c r="BY429" s="2"/>
      <c r="BZ429" s="2"/>
      <c r="CA429" s="2"/>
      <c r="CB429" s="2"/>
      <c r="CC429" s="2"/>
      <c r="CD429" s="2"/>
    </row>
    <row r="430" spans="12:82" x14ac:dyDescent="0.25"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Z430" s="2"/>
      <c r="BA430" s="2"/>
      <c r="BB430" s="2"/>
      <c r="BX430" s="2"/>
      <c r="BY430" s="2"/>
      <c r="BZ430" s="2"/>
      <c r="CA430" s="2"/>
      <c r="CB430" s="2"/>
      <c r="CC430" s="2"/>
      <c r="CD430" s="2"/>
    </row>
    <row r="431" spans="12:82" x14ac:dyDescent="0.25"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Z431" s="2"/>
      <c r="BA431" s="2"/>
      <c r="BB431" s="2"/>
      <c r="BX431" s="2"/>
      <c r="BY431" s="2"/>
      <c r="BZ431" s="2"/>
      <c r="CA431" s="2"/>
      <c r="CB431" s="2"/>
      <c r="CC431" s="2"/>
      <c r="CD431" s="2"/>
    </row>
    <row r="432" spans="12:82" x14ac:dyDescent="0.25"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Z432" s="2"/>
      <c r="BA432" s="2"/>
      <c r="BB432" s="2"/>
      <c r="BX432" s="2"/>
      <c r="BY432" s="2"/>
      <c r="BZ432" s="2"/>
      <c r="CA432" s="2"/>
      <c r="CB432" s="2"/>
      <c r="CC432" s="2"/>
      <c r="CD432" s="2"/>
    </row>
    <row r="433" spans="5:82" x14ac:dyDescent="0.25"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Z433" s="2"/>
      <c r="BA433" s="2"/>
      <c r="BB433" s="2"/>
      <c r="BX433" s="2"/>
      <c r="BY433" s="2"/>
      <c r="BZ433" s="2"/>
      <c r="CA433" s="2"/>
      <c r="CB433" s="2"/>
      <c r="CC433" s="2"/>
      <c r="CD433" s="2"/>
    </row>
    <row r="434" spans="5:82" x14ac:dyDescent="0.25"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Z434" s="2"/>
      <c r="BA434" s="2"/>
      <c r="BB434" s="2"/>
      <c r="BX434" s="2"/>
      <c r="BY434" s="2"/>
      <c r="BZ434" s="2"/>
      <c r="CA434" s="2"/>
      <c r="CB434" s="2"/>
      <c r="CC434" s="2"/>
      <c r="CD434" s="2"/>
    </row>
    <row r="435" spans="5:82" x14ac:dyDescent="0.25"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Z435" s="2"/>
      <c r="BA435" s="2"/>
      <c r="BB435" s="2"/>
      <c r="BX435" s="2"/>
      <c r="BY435" s="2"/>
      <c r="BZ435" s="2"/>
      <c r="CA435" s="2"/>
      <c r="CB435" s="2"/>
      <c r="CC435" s="2"/>
      <c r="CD435" s="2"/>
    </row>
    <row r="436" spans="5:82" x14ac:dyDescent="0.25"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Z436" s="2"/>
      <c r="BA436" s="2"/>
      <c r="BB436" s="2"/>
      <c r="BX436" s="2"/>
      <c r="BY436" s="2"/>
      <c r="BZ436" s="2"/>
      <c r="CA436" s="2"/>
      <c r="CB436" s="2"/>
      <c r="CC436" s="2"/>
      <c r="CD436" s="2"/>
    </row>
    <row r="437" spans="5:82" x14ac:dyDescent="0.25"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Z437" s="2"/>
      <c r="BA437" s="2"/>
      <c r="BB437" s="2"/>
      <c r="BX437" s="2"/>
      <c r="BY437" s="2"/>
      <c r="BZ437" s="2"/>
      <c r="CA437" s="2"/>
      <c r="CB437" s="2"/>
      <c r="CC437" s="2"/>
      <c r="CD437" s="2"/>
    </row>
    <row r="438" spans="5:82" x14ac:dyDescent="0.25"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Z438" s="2"/>
      <c r="BA438" s="2"/>
      <c r="BB438" s="2"/>
      <c r="BX438" s="2"/>
      <c r="BY438" s="2"/>
      <c r="BZ438" s="2"/>
      <c r="CA438" s="2"/>
      <c r="CB438" s="2"/>
      <c r="CC438" s="2"/>
      <c r="CD438" s="2"/>
    </row>
    <row r="439" spans="5:82" x14ac:dyDescent="0.25"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Z439" s="2"/>
      <c r="BA439" s="2"/>
      <c r="BB439" s="2"/>
      <c r="BX439" s="2"/>
      <c r="BY439" s="2"/>
      <c r="BZ439" s="2"/>
      <c r="CA439" s="2"/>
      <c r="CB439" s="2"/>
      <c r="CC439" s="2"/>
      <c r="CD439" s="2"/>
    </row>
    <row r="440" spans="5:82" x14ac:dyDescent="0.25">
      <c r="E440" s="5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Z440" s="2"/>
      <c r="BA440" s="2"/>
      <c r="BB440" s="2"/>
      <c r="BX440" s="2"/>
      <c r="BY440" s="2"/>
      <c r="BZ440" s="2"/>
      <c r="CA440" s="2"/>
      <c r="CB440" s="2"/>
      <c r="CC440" s="2"/>
      <c r="CD440" s="2"/>
    </row>
    <row r="441" spans="5:82" x14ac:dyDescent="0.25"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Z441" s="2"/>
      <c r="BA441" s="2"/>
      <c r="BB441" s="2"/>
      <c r="BX441" s="2"/>
      <c r="BY441" s="2"/>
      <c r="BZ441" s="2"/>
      <c r="CA441" s="2"/>
      <c r="CB441" s="2"/>
      <c r="CC441" s="2"/>
      <c r="CD441" s="2"/>
    </row>
    <row r="442" spans="5:82" x14ac:dyDescent="0.25"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Z442" s="2"/>
      <c r="BA442" s="2"/>
      <c r="BB442" s="2"/>
      <c r="BX442" s="2"/>
      <c r="BY442" s="2"/>
      <c r="BZ442" s="2"/>
      <c r="CA442" s="2"/>
      <c r="CB442" s="2"/>
      <c r="CC442" s="2"/>
      <c r="CD442" s="2"/>
    </row>
    <row r="443" spans="5:82" x14ac:dyDescent="0.25"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Z443" s="2"/>
      <c r="BA443" s="2"/>
      <c r="BB443" s="2"/>
      <c r="BX443" s="2"/>
      <c r="BY443" s="2"/>
      <c r="BZ443" s="2"/>
      <c r="CA443" s="2"/>
      <c r="CB443" s="2"/>
      <c r="CC443" s="2"/>
      <c r="CD443" s="2"/>
    </row>
    <row r="444" spans="5:82" x14ac:dyDescent="0.25"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Z444" s="2"/>
      <c r="BA444" s="2"/>
      <c r="BB444" s="2"/>
      <c r="BX444" s="2"/>
      <c r="BY444" s="2"/>
      <c r="BZ444" s="2"/>
      <c r="CA444" s="2"/>
      <c r="CB444" s="2"/>
      <c r="CC444" s="2"/>
      <c r="CD444" s="2"/>
    </row>
    <row r="445" spans="5:82" x14ac:dyDescent="0.25"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Z445" s="2"/>
      <c r="BA445" s="2"/>
      <c r="BB445" s="2"/>
      <c r="BX445" s="2"/>
      <c r="BY445" s="2"/>
      <c r="BZ445" s="2"/>
      <c r="CA445" s="2"/>
      <c r="CB445" s="2"/>
      <c r="CC445" s="2"/>
      <c r="CD445" s="2"/>
    </row>
    <row r="446" spans="5:82" x14ac:dyDescent="0.25"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Z446" s="2"/>
      <c r="BA446" s="2"/>
      <c r="BB446" s="2"/>
      <c r="BX446" s="2"/>
      <c r="BY446" s="2"/>
      <c r="BZ446" s="2"/>
      <c r="CA446" s="2"/>
      <c r="CB446" s="2"/>
      <c r="CC446" s="2"/>
      <c r="CD446" s="2"/>
    </row>
    <row r="447" spans="5:82" x14ac:dyDescent="0.25"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Z447" s="2"/>
      <c r="BA447" s="2"/>
      <c r="BB447" s="2"/>
      <c r="BX447" s="2"/>
      <c r="BY447" s="2"/>
      <c r="BZ447" s="2"/>
      <c r="CA447" s="2"/>
      <c r="CB447" s="2"/>
      <c r="CC447" s="2"/>
      <c r="CD447" s="2"/>
    </row>
    <row r="448" spans="5:82" x14ac:dyDescent="0.25"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Z448" s="2"/>
      <c r="BA448" s="2"/>
      <c r="BB448" s="2"/>
      <c r="BX448" s="2"/>
      <c r="BY448" s="2"/>
      <c r="BZ448" s="2"/>
      <c r="CA448" s="2"/>
      <c r="CB448" s="2"/>
      <c r="CC448" s="2"/>
      <c r="CD448" s="2"/>
    </row>
    <row r="449" spans="12:82" x14ac:dyDescent="0.25"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Z449" s="2"/>
      <c r="BA449" s="2"/>
      <c r="BB449" s="2"/>
      <c r="BX449" s="2"/>
      <c r="BY449" s="2"/>
      <c r="BZ449" s="2"/>
      <c r="CA449" s="2"/>
      <c r="CB449" s="2"/>
      <c r="CC449" s="2"/>
      <c r="CD449" s="2"/>
    </row>
    <row r="450" spans="12:82" x14ac:dyDescent="0.25"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Z450" s="2"/>
      <c r="BA450" s="2"/>
      <c r="BB450" s="2"/>
      <c r="BX450" s="2"/>
      <c r="BY450" s="2"/>
      <c r="BZ450" s="2"/>
      <c r="CA450" s="2"/>
      <c r="CB450" s="2"/>
      <c r="CC450" s="2"/>
      <c r="CD450" s="2"/>
    </row>
    <row r="451" spans="12:82" x14ac:dyDescent="0.25"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Z451" s="2"/>
      <c r="BA451" s="2"/>
      <c r="BB451" s="2"/>
      <c r="BX451" s="2"/>
      <c r="BY451" s="2"/>
      <c r="BZ451" s="2"/>
      <c r="CA451" s="2"/>
      <c r="CB451" s="2"/>
      <c r="CC451" s="2"/>
      <c r="CD451" s="2"/>
    </row>
    <row r="452" spans="12:82" x14ac:dyDescent="0.25"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Z452" s="2"/>
      <c r="BA452" s="2"/>
      <c r="BB452" s="2"/>
      <c r="BX452" s="2"/>
      <c r="BY452" s="2"/>
      <c r="BZ452" s="2"/>
      <c r="CA452" s="2"/>
      <c r="CB452" s="2"/>
      <c r="CC452" s="2"/>
      <c r="CD452" s="2"/>
    </row>
    <row r="453" spans="12:82" x14ac:dyDescent="0.25"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Z453" s="2"/>
      <c r="BA453" s="2"/>
      <c r="BB453" s="2"/>
      <c r="BX453" s="2"/>
      <c r="BY453" s="2"/>
      <c r="BZ453" s="2"/>
      <c r="CA453" s="2"/>
      <c r="CB453" s="2"/>
      <c r="CC453" s="2"/>
      <c r="CD453" s="2"/>
    </row>
    <row r="454" spans="12:82" x14ac:dyDescent="0.25"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Z454" s="2"/>
      <c r="BA454" s="2"/>
      <c r="BB454" s="2"/>
      <c r="BX454" s="2"/>
      <c r="BY454" s="2"/>
      <c r="BZ454" s="2"/>
      <c r="CA454" s="2"/>
      <c r="CB454" s="2"/>
      <c r="CC454" s="2"/>
      <c r="CD454" s="2"/>
    </row>
    <row r="455" spans="12:82" x14ac:dyDescent="0.25"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Z455" s="2"/>
      <c r="BA455" s="2"/>
      <c r="BB455" s="2"/>
      <c r="BX455" s="2"/>
      <c r="BY455" s="2"/>
      <c r="BZ455" s="2"/>
      <c r="CA455" s="2"/>
      <c r="CB455" s="2"/>
      <c r="CC455" s="2"/>
      <c r="CD455" s="2"/>
    </row>
    <row r="456" spans="12:82" x14ac:dyDescent="0.25"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Z456" s="2"/>
      <c r="BA456" s="2"/>
      <c r="BB456" s="2"/>
      <c r="BX456" s="2"/>
      <c r="BY456" s="2"/>
      <c r="BZ456" s="2"/>
      <c r="CA456" s="2"/>
      <c r="CB456" s="2"/>
      <c r="CC456" s="2"/>
      <c r="CD456" s="2"/>
    </row>
    <row r="457" spans="12:82" x14ac:dyDescent="0.25"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Z457" s="2"/>
      <c r="BA457" s="2"/>
      <c r="BB457" s="2"/>
      <c r="BX457" s="2"/>
      <c r="BY457" s="2"/>
      <c r="BZ457" s="2"/>
      <c r="CA457" s="2"/>
      <c r="CB457" s="2"/>
      <c r="CC457" s="2"/>
      <c r="CD457" s="2"/>
    </row>
    <row r="458" spans="12:82" x14ac:dyDescent="0.25"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Z458" s="2"/>
      <c r="BA458" s="2"/>
      <c r="BB458" s="2"/>
      <c r="BX458" s="2"/>
      <c r="BY458" s="2"/>
      <c r="BZ458" s="2"/>
      <c r="CA458" s="2"/>
      <c r="CB458" s="2"/>
      <c r="CC458" s="2"/>
      <c r="CD458" s="2"/>
    </row>
    <row r="459" spans="12:82" x14ac:dyDescent="0.25"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Z459" s="2"/>
      <c r="BA459" s="2"/>
      <c r="BB459" s="2"/>
      <c r="BX459" s="2"/>
      <c r="BY459" s="2"/>
      <c r="BZ459" s="2"/>
      <c r="CA459" s="2"/>
      <c r="CB459" s="2"/>
      <c r="CC459" s="2"/>
      <c r="CD459" s="2"/>
    </row>
    <row r="460" spans="12:82" x14ac:dyDescent="0.25"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Z460" s="2"/>
      <c r="BA460" s="2"/>
      <c r="BB460" s="2"/>
      <c r="BX460" s="2"/>
      <c r="BY460" s="2"/>
      <c r="BZ460" s="2"/>
      <c r="CA460" s="2"/>
      <c r="CB460" s="2"/>
      <c r="CC460" s="2"/>
      <c r="CD460" s="2"/>
    </row>
    <row r="461" spans="12:82" x14ac:dyDescent="0.25"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Z461" s="2"/>
      <c r="BA461" s="2"/>
      <c r="BB461" s="2"/>
      <c r="BX461" s="2"/>
      <c r="BY461" s="2"/>
      <c r="BZ461" s="2"/>
      <c r="CA461" s="2"/>
      <c r="CB461" s="2"/>
      <c r="CC461" s="2"/>
      <c r="CD461" s="2"/>
    </row>
    <row r="462" spans="12:82" x14ac:dyDescent="0.25"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Z462" s="2"/>
      <c r="BA462" s="2"/>
      <c r="BB462" s="2"/>
      <c r="BX462" s="2"/>
      <c r="BY462" s="2"/>
      <c r="BZ462" s="2"/>
      <c r="CA462" s="2"/>
      <c r="CB462" s="2"/>
      <c r="CC462" s="2"/>
      <c r="CD462" s="2"/>
    </row>
    <row r="463" spans="12:82" x14ac:dyDescent="0.25"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Z463" s="2"/>
      <c r="BA463" s="2"/>
      <c r="BB463" s="2"/>
      <c r="BX463" s="2"/>
      <c r="BY463" s="2"/>
      <c r="BZ463" s="2"/>
      <c r="CA463" s="2"/>
      <c r="CB463" s="2"/>
      <c r="CC463" s="2"/>
      <c r="CD463" s="2"/>
    </row>
    <row r="464" spans="12:82" x14ac:dyDescent="0.25"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Z464" s="2"/>
      <c r="BA464" s="2"/>
      <c r="BB464" s="2"/>
      <c r="BX464" s="2"/>
      <c r="BY464" s="2"/>
      <c r="BZ464" s="2"/>
      <c r="CA464" s="2"/>
      <c r="CB464" s="2"/>
      <c r="CC464" s="2"/>
      <c r="CD464" s="2"/>
    </row>
    <row r="465" spans="12:82" x14ac:dyDescent="0.25"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Z465" s="2"/>
      <c r="BA465" s="2"/>
      <c r="BB465" s="2"/>
      <c r="BX465" s="2"/>
      <c r="BY465" s="2"/>
      <c r="BZ465" s="2"/>
      <c r="CA465" s="2"/>
      <c r="CB465" s="2"/>
      <c r="CC465" s="2"/>
      <c r="CD465" s="2"/>
    </row>
    <row r="466" spans="12:82" x14ac:dyDescent="0.25"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Z466" s="2"/>
      <c r="BA466" s="2"/>
      <c r="BB466" s="2"/>
      <c r="BX466" s="2"/>
      <c r="BY466" s="2"/>
      <c r="BZ466" s="2"/>
      <c r="CA466" s="2"/>
      <c r="CB466" s="2"/>
      <c r="CC466" s="2"/>
      <c r="CD466" s="2"/>
    </row>
    <row r="467" spans="12:82" x14ac:dyDescent="0.25"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Z467" s="2"/>
      <c r="BA467" s="2"/>
      <c r="BB467" s="2"/>
      <c r="BX467" s="2"/>
      <c r="BY467" s="2"/>
      <c r="BZ467" s="2"/>
      <c r="CA467" s="2"/>
      <c r="CB467" s="2"/>
      <c r="CC467" s="2"/>
      <c r="CD467" s="2"/>
    </row>
    <row r="468" spans="12:82" x14ac:dyDescent="0.25"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Z468" s="2"/>
      <c r="BA468" s="2"/>
      <c r="BB468" s="2"/>
      <c r="BX468" s="2"/>
      <c r="BY468" s="2"/>
      <c r="BZ468" s="2"/>
      <c r="CA468" s="2"/>
      <c r="CB468" s="2"/>
      <c r="CC468" s="2"/>
      <c r="CD468" s="2"/>
    </row>
    <row r="469" spans="12:82" x14ac:dyDescent="0.25"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Z469" s="2"/>
      <c r="BA469" s="2"/>
      <c r="BB469" s="2"/>
      <c r="BX469" s="2"/>
      <c r="BY469" s="2"/>
      <c r="BZ469" s="2"/>
      <c r="CA469" s="2"/>
      <c r="CB469" s="2"/>
      <c r="CC469" s="2"/>
      <c r="CD469" s="2"/>
    </row>
    <row r="470" spans="12:82" x14ac:dyDescent="0.25"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Z470" s="2"/>
      <c r="BA470" s="2"/>
      <c r="BB470" s="2"/>
      <c r="BX470" s="2"/>
      <c r="BY470" s="2"/>
      <c r="BZ470" s="2"/>
      <c r="CA470" s="2"/>
      <c r="CB470" s="2"/>
      <c r="CC470" s="2"/>
      <c r="CD470" s="2"/>
    </row>
    <row r="471" spans="12:82" x14ac:dyDescent="0.25"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Z471" s="2"/>
      <c r="BA471" s="2"/>
      <c r="BB471" s="2"/>
      <c r="BX471" s="2"/>
      <c r="BY471" s="2"/>
      <c r="BZ471" s="2"/>
      <c r="CA471" s="2"/>
      <c r="CB471" s="2"/>
      <c r="CC471" s="2"/>
      <c r="CD471" s="2"/>
    </row>
    <row r="472" spans="12:82" x14ac:dyDescent="0.25"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Z472" s="2"/>
      <c r="BA472" s="2"/>
      <c r="BB472" s="2"/>
      <c r="BX472" s="2"/>
      <c r="BY472" s="2"/>
      <c r="BZ472" s="2"/>
      <c r="CA472" s="2"/>
      <c r="CB472" s="2"/>
      <c r="CC472" s="2"/>
      <c r="CD472" s="2"/>
    </row>
    <row r="473" spans="12:82" x14ac:dyDescent="0.25"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Z473" s="2"/>
      <c r="BA473" s="2"/>
      <c r="BB473" s="2"/>
      <c r="BX473" s="2"/>
      <c r="BY473" s="2"/>
      <c r="BZ473" s="2"/>
      <c r="CA473" s="2"/>
      <c r="CB473" s="2"/>
      <c r="CC473" s="2"/>
      <c r="CD473" s="2"/>
    </row>
    <row r="474" spans="12:82" x14ac:dyDescent="0.25"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Z474" s="2"/>
      <c r="BA474" s="2"/>
      <c r="BB474" s="2"/>
      <c r="BX474" s="2"/>
      <c r="BY474" s="2"/>
      <c r="BZ474" s="2"/>
      <c r="CA474" s="2"/>
      <c r="CB474" s="2"/>
      <c r="CC474" s="2"/>
      <c r="CD474" s="2"/>
    </row>
    <row r="475" spans="12:82" x14ac:dyDescent="0.25"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Z475" s="2"/>
      <c r="BA475" s="2"/>
      <c r="BB475" s="2"/>
      <c r="BX475" s="2"/>
      <c r="BY475" s="2"/>
      <c r="BZ475" s="2"/>
      <c r="CA475" s="2"/>
      <c r="CB475" s="2"/>
      <c r="CC475" s="2"/>
      <c r="CD475" s="2"/>
    </row>
    <row r="476" spans="12:82" x14ac:dyDescent="0.25"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Z476" s="2"/>
      <c r="BA476" s="2"/>
      <c r="BB476" s="2"/>
      <c r="BX476" s="2"/>
      <c r="BY476" s="2"/>
      <c r="BZ476" s="2"/>
      <c r="CA476" s="2"/>
      <c r="CB476" s="2"/>
      <c r="CC476" s="2"/>
      <c r="CD476" s="2"/>
    </row>
    <row r="477" spans="12:82" x14ac:dyDescent="0.25"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Z477" s="2"/>
      <c r="BA477" s="2"/>
      <c r="BB477" s="2"/>
      <c r="BX477" s="2"/>
      <c r="BY477" s="2"/>
      <c r="BZ477" s="2"/>
      <c r="CA477" s="2"/>
      <c r="CB477" s="2"/>
      <c r="CC477" s="2"/>
      <c r="CD477" s="2"/>
    </row>
    <row r="478" spans="12:82" x14ac:dyDescent="0.25"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Z478" s="2"/>
      <c r="BA478" s="2"/>
      <c r="BB478" s="2"/>
      <c r="BX478" s="2"/>
      <c r="BY478" s="2"/>
      <c r="BZ478" s="2"/>
      <c r="CA478" s="2"/>
      <c r="CB478" s="2"/>
      <c r="CC478" s="2"/>
      <c r="CD478" s="2"/>
    </row>
    <row r="479" spans="12:82" x14ac:dyDescent="0.25"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Z479" s="2"/>
      <c r="BA479" s="2"/>
      <c r="BB479" s="2"/>
      <c r="BX479" s="2"/>
      <c r="BY479" s="2"/>
      <c r="BZ479" s="2"/>
      <c r="CA479" s="2"/>
      <c r="CB479" s="2"/>
      <c r="CC479" s="2"/>
      <c r="CD479" s="2"/>
    </row>
    <row r="480" spans="12:82" x14ac:dyDescent="0.25"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Z480" s="2"/>
      <c r="BA480" s="2"/>
      <c r="BB480" s="2"/>
      <c r="BX480" s="2"/>
      <c r="BY480" s="2"/>
      <c r="BZ480" s="2"/>
      <c r="CA480" s="2"/>
      <c r="CB480" s="2"/>
      <c r="CC480" s="2"/>
      <c r="CD480" s="2"/>
    </row>
    <row r="481" spans="12:82" x14ac:dyDescent="0.25"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Z481" s="2"/>
      <c r="BA481" s="2"/>
      <c r="BB481" s="2"/>
      <c r="BX481" s="2"/>
      <c r="BY481" s="2"/>
      <c r="BZ481" s="2"/>
      <c r="CA481" s="2"/>
      <c r="CB481" s="2"/>
      <c r="CC481" s="2"/>
      <c r="CD481" s="2"/>
    </row>
    <row r="482" spans="12:82" x14ac:dyDescent="0.25"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Z482" s="2"/>
      <c r="BA482" s="2"/>
      <c r="BB482" s="2"/>
      <c r="BX482" s="2"/>
      <c r="BY482" s="2"/>
      <c r="BZ482" s="2"/>
      <c r="CA482" s="2"/>
      <c r="CB482" s="2"/>
      <c r="CC482" s="2"/>
      <c r="CD482" s="2"/>
    </row>
    <row r="483" spans="12:82" x14ac:dyDescent="0.25"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Z483" s="2"/>
      <c r="BA483" s="2"/>
      <c r="BB483" s="2"/>
      <c r="BX483" s="2"/>
      <c r="BY483" s="2"/>
      <c r="BZ483" s="2"/>
      <c r="CA483" s="2"/>
      <c r="CB483" s="2"/>
      <c r="CC483" s="2"/>
      <c r="CD483" s="2"/>
    </row>
    <row r="484" spans="12:82" x14ac:dyDescent="0.25"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Z484" s="2"/>
      <c r="BA484" s="2"/>
      <c r="BB484" s="2"/>
      <c r="BX484" s="2"/>
      <c r="BY484" s="2"/>
      <c r="BZ484" s="2"/>
      <c r="CA484" s="2"/>
      <c r="CB484" s="2"/>
      <c r="CC484" s="2"/>
      <c r="CD484" s="2"/>
    </row>
    <row r="485" spans="12:82" x14ac:dyDescent="0.25"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Z485" s="2"/>
      <c r="BA485" s="2"/>
      <c r="BB485" s="2"/>
      <c r="BX485" s="2"/>
      <c r="BY485" s="2"/>
      <c r="BZ485" s="2"/>
      <c r="CA485" s="2"/>
      <c r="CB485" s="2"/>
      <c r="CC485" s="2"/>
      <c r="CD485" s="2"/>
    </row>
    <row r="486" spans="12:82" x14ac:dyDescent="0.25"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Z486" s="2"/>
      <c r="BA486" s="2"/>
      <c r="BB486" s="2"/>
      <c r="BX486" s="2"/>
      <c r="BY486" s="2"/>
      <c r="BZ486" s="2"/>
      <c r="CA486" s="2"/>
      <c r="CB486" s="2"/>
      <c r="CC486" s="2"/>
      <c r="CD486" s="2"/>
    </row>
    <row r="487" spans="12:82" x14ac:dyDescent="0.25"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Z487" s="2"/>
      <c r="BA487" s="2"/>
      <c r="BB487" s="2"/>
      <c r="BX487" s="2"/>
      <c r="BY487" s="2"/>
      <c r="BZ487" s="2"/>
      <c r="CA487" s="2"/>
      <c r="CB487" s="2"/>
      <c r="CC487" s="2"/>
      <c r="CD487" s="2"/>
    </row>
    <row r="488" spans="12:82" x14ac:dyDescent="0.25"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Z488" s="2"/>
      <c r="BA488" s="2"/>
      <c r="BB488" s="2"/>
      <c r="BX488" s="2"/>
      <c r="BY488" s="2"/>
      <c r="BZ488" s="2"/>
      <c r="CA488" s="2"/>
      <c r="CB488" s="2"/>
      <c r="CC488" s="2"/>
      <c r="CD488" s="2"/>
    </row>
    <row r="489" spans="12:82" x14ac:dyDescent="0.25"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Z489" s="2"/>
      <c r="BA489" s="2"/>
      <c r="BB489" s="2"/>
      <c r="BX489" s="2"/>
      <c r="BY489" s="2"/>
      <c r="BZ489" s="2"/>
      <c r="CA489" s="2"/>
      <c r="CB489" s="2"/>
      <c r="CC489" s="2"/>
      <c r="CD489" s="2"/>
    </row>
    <row r="490" spans="12:82" x14ac:dyDescent="0.25"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Z490" s="2"/>
      <c r="BA490" s="2"/>
      <c r="BB490" s="2"/>
      <c r="BX490" s="2"/>
      <c r="BY490" s="2"/>
      <c r="BZ490" s="2"/>
      <c r="CA490" s="2"/>
      <c r="CB490" s="2"/>
      <c r="CC490" s="2"/>
      <c r="CD490" s="2"/>
    </row>
    <row r="491" spans="12:82" x14ac:dyDescent="0.25"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Z491" s="2"/>
      <c r="BA491" s="2"/>
      <c r="BB491" s="2"/>
      <c r="BX491" s="2"/>
      <c r="BY491" s="2"/>
      <c r="BZ491" s="2"/>
      <c r="CA491" s="2"/>
      <c r="CB491" s="2"/>
      <c r="CC491" s="2"/>
      <c r="CD491" s="2"/>
    </row>
    <row r="492" spans="12:82" x14ac:dyDescent="0.25"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Z492" s="2"/>
      <c r="BA492" s="2"/>
      <c r="BB492" s="2"/>
      <c r="BX492" s="2"/>
      <c r="BY492" s="2"/>
      <c r="BZ492" s="2"/>
      <c r="CA492" s="2"/>
      <c r="CB492" s="2"/>
      <c r="CC492" s="2"/>
      <c r="CD492" s="2"/>
    </row>
    <row r="493" spans="12:82" x14ac:dyDescent="0.25"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Z493" s="2"/>
      <c r="BA493" s="2"/>
      <c r="BB493" s="2"/>
      <c r="BX493" s="2"/>
      <c r="BY493" s="2"/>
      <c r="BZ493" s="2"/>
      <c r="CA493" s="2"/>
      <c r="CB493" s="2"/>
      <c r="CC493" s="2"/>
      <c r="CD493" s="2"/>
    </row>
    <row r="494" spans="12:82" x14ac:dyDescent="0.25"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Z494" s="2"/>
      <c r="BA494" s="2"/>
      <c r="BB494" s="2"/>
      <c r="BX494" s="2"/>
      <c r="BY494" s="2"/>
      <c r="BZ494" s="2"/>
      <c r="CA494" s="2"/>
      <c r="CB494" s="2"/>
      <c r="CC494" s="2"/>
      <c r="CD494" s="2"/>
    </row>
    <row r="495" spans="12:82" x14ac:dyDescent="0.25"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Z495" s="2"/>
      <c r="BA495" s="2"/>
      <c r="BB495" s="2"/>
      <c r="BX495" s="2"/>
      <c r="BY495" s="2"/>
      <c r="BZ495" s="2"/>
      <c r="CA495" s="2"/>
      <c r="CB495" s="2"/>
      <c r="CC495" s="2"/>
      <c r="CD495" s="2"/>
    </row>
    <row r="496" spans="12:82" x14ac:dyDescent="0.25"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Z496" s="2"/>
      <c r="BA496" s="2"/>
      <c r="BB496" s="2"/>
      <c r="BX496" s="2"/>
      <c r="BY496" s="2"/>
      <c r="BZ496" s="2"/>
      <c r="CA496" s="2"/>
      <c r="CB496" s="2"/>
      <c r="CC496" s="2"/>
      <c r="CD496" s="2"/>
    </row>
    <row r="497" spans="12:82" x14ac:dyDescent="0.25"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Z497" s="2"/>
      <c r="BA497" s="2"/>
      <c r="BB497" s="2"/>
      <c r="BX497" s="2"/>
      <c r="BY497" s="2"/>
      <c r="BZ497" s="2"/>
      <c r="CA497" s="2"/>
      <c r="CB497" s="2"/>
      <c r="CC497" s="2"/>
      <c r="CD497" s="2"/>
    </row>
    <row r="498" spans="12:82" x14ac:dyDescent="0.25"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Z498" s="2"/>
      <c r="BA498" s="2"/>
      <c r="BB498" s="2"/>
      <c r="BX498" s="2"/>
      <c r="BY498" s="2"/>
      <c r="BZ498" s="2"/>
      <c r="CA498" s="2"/>
      <c r="CB498" s="2"/>
      <c r="CC498" s="2"/>
      <c r="CD498" s="2"/>
    </row>
    <row r="499" spans="12:82" x14ac:dyDescent="0.25"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Z499" s="2"/>
      <c r="BA499" s="2"/>
      <c r="BB499" s="2"/>
      <c r="BX499" s="2"/>
      <c r="BY499" s="2"/>
      <c r="BZ499" s="2"/>
      <c r="CA499" s="2"/>
      <c r="CB499" s="2"/>
      <c r="CC499" s="2"/>
      <c r="CD499" s="2"/>
    </row>
    <row r="500" spans="12:82" x14ac:dyDescent="0.25"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Z500" s="2"/>
      <c r="BA500" s="2"/>
      <c r="BB500" s="2"/>
      <c r="BX500" s="2"/>
      <c r="BY500" s="2"/>
      <c r="BZ500" s="2"/>
      <c r="CA500" s="2"/>
      <c r="CB500" s="2"/>
      <c r="CC500" s="2"/>
      <c r="CD500" s="2"/>
    </row>
    <row r="501" spans="12:82" x14ac:dyDescent="0.25"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Z501" s="2"/>
      <c r="BA501" s="2"/>
      <c r="BB501" s="2"/>
      <c r="BX501" s="2"/>
      <c r="BY501" s="2"/>
      <c r="BZ501" s="2"/>
      <c r="CA501" s="2"/>
      <c r="CB501" s="2"/>
      <c r="CC501" s="2"/>
      <c r="CD501" s="2"/>
    </row>
    <row r="502" spans="12:82" x14ac:dyDescent="0.25"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Z502" s="2"/>
      <c r="BA502" s="2"/>
      <c r="BB502" s="2"/>
      <c r="BX502" s="2"/>
      <c r="BY502" s="2"/>
      <c r="BZ502" s="2"/>
      <c r="CA502" s="2"/>
      <c r="CB502" s="2"/>
      <c r="CC502" s="2"/>
      <c r="CD502" s="2"/>
    </row>
    <row r="503" spans="12:82" x14ac:dyDescent="0.25"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Z503" s="2"/>
      <c r="BA503" s="2"/>
      <c r="BB503" s="2"/>
      <c r="BX503" s="2"/>
      <c r="BY503" s="2"/>
      <c r="BZ503" s="2"/>
      <c r="CA503" s="2"/>
      <c r="CB503" s="2"/>
      <c r="CC503" s="2"/>
      <c r="CD503" s="2"/>
    </row>
    <row r="504" spans="12:82" x14ac:dyDescent="0.25"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Z504" s="2"/>
      <c r="BA504" s="2"/>
      <c r="BB504" s="2"/>
      <c r="BX504" s="2"/>
      <c r="BY504" s="2"/>
      <c r="BZ504" s="2"/>
      <c r="CA504" s="2"/>
      <c r="CB504" s="2"/>
      <c r="CC504" s="2"/>
      <c r="CD504" s="2"/>
    </row>
    <row r="505" spans="12:82" x14ac:dyDescent="0.25"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Z505" s="2"/>
      <c r="BA505" s="2"/>
      <c r="BB505" s="2"/>
      <c r="BX505" s="2"/>
      <c r="BY505" s="2"/>
      <c r="BZ505" s="2"/>
      <c r="CA505" s="2"/>
      <c r="CB505" s="2"/>
      <c r="CC505" s="2"/>
      <c r="CD505" s="2"/>
    </row>
    <row r="506" spans="12:82" x14ac:dyDescent="0.25"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Z506" s="2"/>
      <c r="BA506" s="2"/>
      <c r="BB506" s="2"/>
      <c r="BX506" s="2"/>
      <c r="BY506" s="2"/>
      <c r="BZ506" s="2"/>
      <c r="CA506" s="2"/>
      <c r="CB506" s="2"/>
      <c r="CC506" s="2"/>
      <c r="CD506" s="2"/>
    </row>
    <row r="507" spans="12:82" x14ac:dyDescent="0.25"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Z507" s="2"/>
      <c r="BA507" s="2"/>
      <c r="BB507" s="2"/>
      <c r="BX507" s="2"/>
      <c r="BY507" s="2"/>
      <c r="BZ507" s="2"/>
      <c r="CA507" s="2"/>
      <c r="CB507" s="2"/>
      <c r="CC507" s="2"/>
      <c r="CD507" s="2"/>
    </row>
    <row r="508" spans="12:82" x14ac:dyDescent="0.25"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Z508" s="2"/>
      <c r="BA508" s="2"/>
      <c r="BB508" s="2"/>
      <c r="BX508" s="2"/>
      <c r="BY508" s="2"/>
      <c r="BZ508" s="2"/>
      <c r="CA508" s="2"/>
      <c r="CB508" s="2"/>
      <c r="CC508" s="2"/>
      <c r="CD508" s="2"/>
    </row>
    <row r="509" spans="12:82" x14ac:dyDescent="0.25"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Z509" s="2"/>
      <c r="BA509" s="2"/>
      <c r="BB509" s="2"/>
      <c r="BX509" s="2"/>
      <c r="BY509" s="2"/>
      <c r="BZ509" s="2"/>
      <c r="CA509" s="2"/>
      <c r="CB509" s="2"/>
      <c r="CC509" s="2"/>
      <c r="CD509" s="2"/>
    </row>
    <row r="510" spans="12:82" x14ac:dyDescent="0.25"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Z510" s="2"/>
      <c r="BA510" s="2"/>
      <c r="BB510" s="2"/>
      <c r="BX510" s="2"/>
      <c r="BY510" s="2"/>
      <c r="BZ510" s="2"/>
      <c r="CA510" s="2"/>
      <c r="CB510" s="2"/>
      <c r="CC510" s="2"/>
      <c r="CD510" s="2"/>
    </row>
    <row r="511" spans="12:82" x14ac:dyDescent="0.25"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Z511" s="2"/>
      <c r="BA511" s="2"/>
      <c r="BB511" s="2"/>
      <c r="BX511" s="2"/>
      <c r="BY511" s="2"/>
      <c r="BZ511" s="2"/>
      <c r="CA511" s="2"/>
      <c r="CB511" s="2"/>
      <c r="CC511" s="2"/>
      <c r="CD511" s="2"/>
    </row>
    <row r="512" spans="12:82" x14ac:dyDescent="0.25"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Z512" s="2"/>
      <c r="BA512" s="2"/>
      <c r="BB512" s="2"/>
      <c r="BX512" s="2"/>
      <c r="BY512" s="2"/>
      <c r="BZ512" s="2"/>
      <c r="CA512" s="2"/>
      <c r="CB512" s="2"/>
      <c r="CC512" s="2"/>
      <c r="CD512" s="2"/>
    </row>
    <row r="513" spans="12:82" x14ac:dyDescent="0.25"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Z513" s="2"/>
      <c r="BA513" s="2"/>
      <c r="BB513" s="2"/>
      <c r="BX513" s="2"/>
      <c r="BY513" s="2"/>
      <c r="BZ513" s="2"/>
      <c r="CA513" s="2"/>
      <c r="CB513" s="2"/>
      <c r="CC513" s="2"/>
      <c r="CD513" s="2"/>
    </row>
    <row r="514" spans="12:82" x14ac:dyDescent="0.25"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Z514" s="2"/>
      <c r="BA514" s="2"/>
      <c r="BB514" s="2"/>
      <c r="BX514" s="2"/>
      <c r="BY514" s="2"/>
      <c r="BZ514" s="2"/>
      <c r="CA514" s="2"/>
      <c r="CB514" s="2"/>
      <c r="CC514" s="2"/>
      <c r="CD514" s="2"/>
    </row>
    <row r="515" spans="12:82" x14ac:dyDescent="0.25"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Z515" s="2"/>
      <c r="BA515" s="2"/>
      <c r="BB515" s="2"/>
      <c r="BX515" s="2"/>
      <c r="BY515" s="2"/>
      <c r="BZ515" s="2"/>
      <c r="CA515" s="2"/>
      <c r="CB515" s="2"/>
      <c r="CC515" s="2"/>
      <c r="CD515" s="2"/>
    </row>
    <row r="516" spans="12:82" x14ac:dyDescent="0.25"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Z516" s="2"/>
      <c r="BA516" s="2"/>
      <c r="BB516" s="2"/>
      <c r="BX516" s="2"/>
      <c r="BY516" s="2"/>
      <c r="BZ516" s="2"/>
      <c r="CA516" s="2"/>
      <c r="CB516" s="2"/>
      <c r="CC516" s="2"/>
      <c r="CD516" s="2"/>
    </row>
    <row r="517" spans="12:82" x14ac:dyDescent="0.25"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Z517" s="2"/>
      <c r="BA517" s="2"/>
      <c r="BB517" s="2"/>
      <c r="BX517" s="2"/>
      <c r="BY517" s="2"/>
      <c r="BZ517" s="2"/>
      <c r="CA517" s="2"/>
      <c r="CB517" s="2"/>
      <c r="CC517" s="2"/>
      <c r="CD517" s="2"/>
    </row>
    <row r="518" spans="12:82" x14ac:dyDescent="0.25"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Z518" s="2"/>
      <c r="BA518" s="2"/>
      <c r="BB518" s="2"/>
      <c r="BX518" s="2"/>
      <c r="BY518" s="2"/>
      <c r="BZ518" s="2"/>
      <c r="CA518" s="2"/>
      <c r="CB518" s="2"/>
      <c r="CC518" s="2"/>
      <c r="CD518" s="2"/>
    </row>
    <row r="519" spans="12:82" x14ac:dyDescent="0.25"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Z519" s="2"/>
      <c r="BA519" s="2"/>
      <c r="BB519" s="2"/>
      <c r="BX519" s="2"/>
      <c r="BY519" s="2"/>
      <c r="BZ519" s="2"/>
      <c r="CA519" s="2"/>
      <c r="CB519" s="2"/>
      <c r="CC519" s="2"/>
      <c r="CD519" s="2"/>
    </row>
    <row r="520" spans="12:82" x14ac:dyDescent="0.25"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Z520" s="2"/>
      <c r="BA520" s="2"/>
      <c r="BB520" s="2"/>
      <c r="BX520" s="2"/>
      <c r="BY520" s="2"/>
      <c r="BZ520" s="2"/>
      <c r="CA520" s="2"/>
      <c r="CB520" s="2"/>
      <c r="CC520" s="2"/>
      <c r="CD520" s="2"/>
    </row>
    <row r="521" spans="12:82" x14ac:dyDescent="0.25"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Z521" s="2"/>
      <c r="BA521" s="2"/>
      <c r="BB521" s="2"/>
      <c r="BX521" s="2"/>
      <c r="BY521" s="2"/>
      <c r="BZ521" s="2"/>
      <c r="CA521" s="2"/>
      <c r="CB521" s="2"/>
      <c r="CC521" s="2"/>
      <c r="CD521" s="2"/>
    </row>
    <row r="522" spans="12:82" x14ac:dyDescent="0.25"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Z522" s="2"/>
      <c r="BA522" s="2"/>
      <c r="BB522" s="2"/>
      <c r="BX522" s="2"/>
      <c r="BY522" s="2"/>
      <c r="BZ522" s="2"/>
      <c r="CA522" s="2"/>
      <c r="CB522" s="2"/>
      <c r="CC522" s="2"/>
      <c r="CD522" s="2"/>
    </row>
    <row r="523" spans="12:82" x14ac:dyDescent="0.25"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Z523" s="2"/>
      <c r="BA523" s="2"/>
      <c r="BB523" s="2"/>
      <c r="BX523" s="2"/>
      <c r="BY523" s="2"/>
      <c r="BZ523" s="2"/>
      <c r="CA523" s="2"/>
      <c r="CB523" s="2"/>
      <c r="CC523" s="2"/>
      <c r="CD523" s="2"/>
    </row>
    <row r="524" spans="12:82" x14ac:dyDescent="0.25"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Z524" s="2"/>
      <c r="BA524" s="2"/>
      <c r="BB524" s="2"/>
      <c r="BX524" s="2"/>
      <c r="BY524" s="2"/>
      <c r="BZ524" s="2"/>
      <c r="CA524" s="2"/>
      <c r="CB524" s="2"/>
      <c r="CC524" s="2"/>
      <c r="CD524" s="2"/>
    </row>
    <row r="525" spans="12:82" x14ac:dyDescent="0.25"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Z525" s="2"/>
      <c r="BA525" s="2"/>
      <c r="BB525" s="2"/>
      <c r="BX525" s="2"/>
      <c r="BY525" s="2"/>
      <c r="BZ525" s="2"/>
      <c r="CA525" s="2"/>
      <c r="CB525" s="2"/>
      <c r="CC525" s="2"/>
      <c r="CD525" s="2"/>
    </row>
    <row r="526" spans="12:82" x14ac:dyDescent="0.25"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Z526" s="2"/>
      <c r="BA526" s="2"/>
      <c r="BB526" s="2"/>
      <c r="BX526" s="2"/>
      <c r="BY526" s="2"/>
      <c r="BZ526" s="2"/>
      <c r="CA526" s="2"/>
      <c r="CB526" s="2"/>
      <c r="CC526" s="2"/>
      <c r="CD526" s="2"/>
    </row>
    <row r="527" spans="12:82" x14ac:dyDescent="0.25"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Z527" s="2"/>
      <c r="BA527" s="2"/>
      <c r="BB527" s="2"/>
      <c r="BX527" s="2"/>
      <c r="BY527" s="2"/>
      <c r="BZ527" s="2"/>
      <c r="CA527" s="2"/>
      <c r="CB527" s="2"/>
      <c r="CC527" s="2"/>
      <c r="CD527" s="2"/>
    </row>
    <row r="528" spans="12:82" x14ac:dyDescent="0.25"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Z528" s="2"/>
      <c r="BA528" s="2"/>
      <c r="BB528" s="2"/>
      <c r="BX528" s="2"/>
      <c r="BY528" s="2"/>
      <c r="BZ528" s="2"/>
      <c r="CA528" s="2"/>
      <c r="CB528" s="2"/>
      <c r="CC528" s="2"/>
      <c r="CD528" s="2"/>
    </row>
    <row r="529" spans="12:82" x14ac:dyDescent="0.25"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Z529" s="2"/>
      <c r="BA529" s="2"/>
      <c r="BB529" s="2"/>
      <c r="BX529" s="2"/>
      <c r="BY529" s="2"/>
      <c r="BZ529" s="2"/>
      <c r="CA529" s="2"/>
      <c r="CB529" s="2"/>
      <c r="CC529" s="2"/>
      <c r="CD529" s="2"/>
    </row>
    <row r="530" spans="12:82" x14ac:dyDescent="0.25"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Z530" s="2"/>
      <c r="BA530" s="2"/>
      <c r="BB530" s="2"/>
      <c r="BX530" s="2"/>
      <c r="BY530" s="2"/>
      <c r="BZ530" s="2"/>
      <c r="CA530" s="2"/>
      <c r="CB530" s="2"/>
      <c r="CC530" s="2"/>
      <c r="CD530" s="2"/>
    </row>
    <row r="531" spans="12:82" x14ac:dyDescent="0.25"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Z531" s="2"/>
      <c r="BA531" s="2"/>
      <c r="BB531" s="2"/>
      <c r="BX531" s="2"/>
      <c r="BY531" s="2"/>
      <c r="BZ531" s="2"/>
      <c r="CA531" s="2"/>
      <c r="CB531" s="2"/>
      <c r="CC531" s="2"/>
      <c r="CD531" s="2"/>
    </row>
    <row r="532" spans="12:82" x14ac:dyDescent="0.25"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Z532" s="2"/>
      <c r="BA532" s="2"/>
      <c r="BB532" s="2"/>
      <c r="BX532" s="2"/>
      <c r="BY532" s="2"/>
      <c r="BZ532" s="2"/>
      <c r="CA532" s="2"/>
      <c r="CB532" s="2"/>
      <c r="CC532" s="2"/>
      <c r="CD532" s="2"/>
    </row>
    <row r="533" spans="12:82" x14ac:dyDescent="0.25"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Z533" s="2"/>
      <c r="BA533" s="2"/>
      <c r="BB533" s="2"/>
      <c r="BX533" s="2"/>
      <c r="BY533" s="2"/>
      <c r="BZ533" s="2"/>
      <c r="CA533" s="2"/>
      <c r="CB533" s="2"/>
      <c r="CC533" s="2"/>
      <c r="CD533" s="2"/>
    </row>
    <row r="534" spans="12:82" x14ac:dyDescent="0.25"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Z534" s="2"/>
      <c r="BA534" s="2"/>
      <c r="BB534" s="2"/>
      <c r="BX534" s="2"/>
      <c r="BY534" s="2"/>
      <c r="BZ534" s="2"/>
      <c r="CA534" s="2"/>
      <c r="CB534" s="2"/>
      <c r="CC534" s="2"/>
      <c r="CD534" s="2"/>
    </row>
    <row r="535" spans="12:82" x14ac:dyDescent="0.25"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Z535" s="2"/>
      <c r="BA535" s="2"/>
      <c r="BB535" s="2"/>
      <c r="BX535" s="2"/>
      <c r="BY535" s="2"/>
      <c r="BZ535" s="2"/>
      <c r="CA535" s="2"/>
      <c r="CB535" s="2"/>
      <c r="CC535" s="2"/>
      <c r="CD535" s="2"/>
    </row>
    <row r="536" spans="12:82" x14ac:dyDescent="0.25"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Z536" s="2"/>
      <c r="BA536" s="2"/>
      <c r="BB536" s="2"/>
      <c r="BX536" s="2"/>
      <c r="BY536" s="2"/>
      <c r="BZ536" s="2"/>
      <c r="CA536" s="2"/>
      <c r="CB536" s="2"/>
      <c r="CC536" s="2"/>
      <c r="CD536" s="2"/>
    </row>
    <row r="537" spans="12:82" x14ac:dyDescent="0.25"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Z537" s="2"/>
      <c r="BA537" s="2"/>
      <c r="BB537" s="2"/>
      <c r="BX537" s="2"/>
      <c r="BY537" s="2"/>
      <c r="BZ537" s="2"/>
      <c r="CA537" s="2"/>
      <c r="CB537" s="2"/>
      <c r="CC537" s="2"/>
      <c r="CD537" s="2"/>
    </row>
    <row r="538" spans="12:82" x14ac:dyDescent="0.25"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Z538" s="2"/>
      <c r="BA538" s="2"/>
      <c r="BB538" s="2"/>
      <c r="BX538" s="2"/>
      <c r="BY538" s="2"/>
      <c r="BZ538" s="2"/>
      <c r="CA538" s="2"/>
      <c r="CB538" s="2"/>
      <c r="CC538" s="2"/>
      <c r="CD538" s="2"/>
    </row>
    <row r="539" spans="12:82" x14ac:dyDescent="0.25"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Z539" s="2"/>
      <c r="BA539" s="2"/>
      <c r="BB539" s="2"/>
      <c r="BX539" s="2"/>
      <c r="BY539" s="2"/>
      <c r="BZ539" s="2"/>
      <c r="CA539" s="2"/>
      <c r="CB539" s="2"/>
      <c r="CC539" s="2"/>
      <c r="CD539" s="2"/>
    </row>
    <row r="540" spans="12:82" x14ac:dyDescent="0.25"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Z540" s="2"/>
      <c r="BA540" s="2"/>
      <c r="BB540" s="2"/>
      <c r="BX540" s="2"/>
      <c r="BY540" s="2"/>
      <c r="BZ540" s="2"/>
      <c r="CA540" s="2"/>
      <c r="CB540" s="2"/>
      <c r="CC540" s="2"/>
      <c r="CD540" s="2"/>
    </row>
    <row r="541" spans="12:82" x14ac:dyDescent="0.25"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Z541" s="2"/>
      <c r="BA541" s="2"/>
      <c r="BB541" s="2"/>
      <c r="BX541" s="2"/>
      <c r="BY541" s="2"/>
      <c r="BZ541" s="2"/>
      <c r="CA541" s="2"/>
      <c r="CB541" s="2"/>
      <c r="CC541" s="2"/>
      <c r="CD541" s="2"/>
    </row>
    <row r="542" spans="12:82" x14ac:dyDescent="0.25"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Z542" s="2"/>
      <c r="BA542" s="2"/>
      <c r="BB542" s="2"/>
      <c r="BX542" s="2"/>
      <c r="BY542" s="2"/>
      <c r="BZ542" s="2"/>
      <c r="CA542" s="2"/>
      <c r="CB542" s="2"/>
      <c r="CC542" s="2"/>
      <c r="CD542" s="2"/>
    </row>
    <row r="543" spans="12:82" x14ac:dyDescent="0.25"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Z543" s="2"/>
      <c r="BA543" s="2"/>
      <c r="BB543" s="2"/>
      <c r="BX543" s="2"/>
      <c r="BY543" s="2"/>
      <c r="BZ543" s="2"/>
      <c r="CA543" s="2"/>
      <c r="CB543" s="2"/>
      <c r="CC543" s="2"/>
      <c r="CD543" s="2"/>
    </row>
    <row r="544" spans="12:82" x14ac:dyDescent="0.25"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Z544" s="2"/>
      <c r="BA544" s="2"/>
      <c r="BB544" s="2"/>
      <c r="BX544" s="2"/>
      <c r="BY544" s="2"/>
      <c r="BZ544" s="2"/>
      <c r="CA544" s="2"/>
      <c r="CB544" s="2"/>
      <c r="CC544" s="2"/>
      <c r="CD544" s="2"/>
    </row>
    <row r="545" spans="12:82" x14ac:dyDescent="0.25"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Z545" s="2"/>
      <c r="BA545" s="2"/>
      <c r="BB545" s="2"/>
      <c r="BX545" s="2"/>
      <c r="BY545" s="2"/>
      <c r="BZ545" s="2"/>
      <c r="CA545" s="2"/>
      <c r="CB545" s="2"/>
      <c r="CC545" s="2"/>
      <c r="CD545" s="2"/>
    </row>
    <row r="546" spans="12:82" x14ac:dyDescent="0.25"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Z546" s="2"/>
      <c r="BA546" s="2"/>
      <c r="BB546" s="2"/>
      <c r="BX546" s="2"/>
      <c r="BY546" s="2"/>
      <c r="BZ546" s="2"/>
      <c r="CA546" s="2"/>
      <c r="CB546" s="2"/>
      <c r="CC546" s="2"/>
      <c r="CD546" s="2"/>
    </row>
    <row r="547" spans="12:82" x14ac:dyDescent="0.25"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Z547" s="2"/>
      <c r="BA547" s="2"/>
      <c r="BB547" s="2"/>
      <c r="BX547" s="2"/>
      <c r="BY547" s="2"/>
      <c r="BZ547" s="2"/>
      <c r="CA547" s="2"/>
      <c r="CB547" s="2"/>
      <c r="CC547" s="2"/>
      <c r="CD547" s="2"/>
    </row>
    <row r="548" spans="12:82" x14ac:dyDescent="0.25"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Z548" s="2"/>
      <c r="BA548" s="2"/>
      <c r="BB548" s="2"/>
      <c r="BX548" s="2"/>
      <c r="BY548" s="2"/>
      <c r="BZ548" s="2"/>
      <c r="CA548" s="2"/>
      <c r="CB548" s="2"/>
      <c r="CC548" s="2"/>
      <c r="CD548" s="2"/>
    </row>
    <row r="549" spans="12:82" x14ac:dyDescent="0.25"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Z549" s="2"/>
      <c r="BA549" s="2"/>
      <c r="BB549" s="2"/>
      <c r="BX549" s="2"/>
      <c r="BY549" s="2"/>
      <c r="BZ549" s="2"/>
      <c r="CA549" s="2"/>
      <c r="CB549" s="2"/>
      <c r="CC549" s="2"/>
      <c r="CD549" s="2"/>
    </row>
    <row r="550" spans="12:82" x14ac:dyDescent="0.25"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Z550" s="2"/>
      <c r="BA550" s="2"/>
      <c r="BB550" s="2"/>
      <c r="BX550" s="2"/>
      <c r="BY550" s="2"/>
      <c r="BZ550" s="2"/>
      <c r="CA550" s="2"/>
      <c r="CB550" s="2"/>
      <c r="CC550" s="2"/>
      <c r="CD550" s="2"/>
    </row>
    <row r="551" spans="12:82" x14ac:dyDescent="0.25"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Z551" s="2"/>
      <c r="BA551" s="2"/>
      <c r="BB551" s="2"/>
      <c r="BX551" s="2"/>
      <c r="BY551" s="2"/>
      <c r="BZ551" s="2"/>
      <c r="CA551" s="2"/>
      <c r="CB551" s="2"/>
      <c r="CC551" s="2"/>
      <c r="CD551" s="2"/>
    </row>
    <row r="552" spans="12:82" x14ac:dyDescent="0.25"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Z552" s="2"/>
      <c r="BA552" s="2"/>
      <c r="BB552" s="2"/>
      <c r="BX552" s="2"/>
      <c r="BY552" s="2"/>
      <c r="BZ552" s="2"/>
      <c r="CA552" s="2"/>
      <c r="CB552" s="2"/>
      <c r="CC552" s="2"/>
      <c r="CD552" s="2"/>
    </row>
    <row r="553" spans="12:82" x14ac:dyDescent="0.25"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Z553" s="2"/>
      <c r="BA553" s="2"/>
      <c r="BB553" s="2"/>
      <c r="BX553" s="2"/>
      <c r="BY553" s="2"/>
      <c r="BZ553" s="2"/>
      <c r="CA553" s="2"/>
      <c r="CB553" s="2"/>
      <c r="CC553" s="2"/>
      <c r="CD553" s="2"/>
    </row>
    <row r="554" spans="12:82" x14ac:dyDescent="0.25"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Z554" s="2"/>
      <c r="BA554" s="2"/>
      <c r="BB554" s="2"/>
      <c r="BX554" s="2"/>
      <c r="BY554" s="2"/>
      <c r="BZ554" s="2"/>
      <c r="CA554" s="2"/>
      <c r="CB554" s="2"/>
      <c r="CC554" s="2"/>
      <c r="CD554" s="2"/>
    </row>
    <row r="555" spans="12:82" x14ac:dyDescent="0.25"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Z555" s="2"/>
      <c r="BA555" s="2"/>
      <c r="BB555" s="2"/>
      <c r="BX555" s="2"/>
      <c r="BY555" s="2"/>
      <c r="BZ555" s="2"/>
      <c r="CA555" s="2"/>
      <c r="CB555" s="2"/>
      <c r="CC555" s="2"/>
      <c r="CD555" s="2"/>
    </row>
    <row r="556" spans="12:82" x14ac:dyDescent="0.25"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Z556" s="2"/>
      <c r="BA556" s="2"/>
      <c r="BB556" s="2"/>
      <c r="BX556" s="2"/>
      <c r="BY556" s="2"/>
      <c r="BZ556" s="2"/>
      <c r="CA556" s="2"/>
      <c r="CB556" s="2"/>
      <c r="CC556" s="2"/>
      <c r="CD556" s="2"/>
    </row>
    <row r="557" spans="12:82" x14ac:dyDescent="0.25"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Z557" s="2"/>
      <c r="BA557" s="2"/>
      <c r="BB557" s="2"/>
      <c r="BX557" s="2"/>
      <c r="BY557" s="2"/>
      <c r="BZ557" s="2"/>
      <c r="CA557" s="2"/>
      <c r="CB557" s="2"/>
      <c r="CC557" s="2"/>
      <c r="CD557" s="2"/>
    </row>
    <row r="558" spans="12:82" x14ac:dyDescent="0.25"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Z558" s="2"/>
      <c r="BA558" s="2"/>
      <c r="BB558" s="2"/>
      <c r="BX558" s="2"/>
      <c r="BY558" s="2"/>
      <c r="BZ558" s="2"/>
      <c r="CA558" s="2"/>
      <c r="CB558" s="2"/>
      <c r="CC558" s="2"/>
      <c r="CD558" s="2"/>
    </row>
    <row r="559" spans="12:82" x14ac:dyDescent="0.25"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Z559" s="2"/>
      <c r="BA559" s="2"/>
      <c r="BB559" s="2"/>
      <c r="BX559" s="2"/>
      <c r="BY559" s="2"/>
      <c r="BZ559" s="2"/>
      <c r="CA559" s="2"/>
      <c r="CB559" s="2"/>
      <c r="CC559" s="2"/>
      <c r="CD559" s="2"/>
    </row>
    <row r="560" spans="12:82" x14ac:dyDescent="0.25"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Z560" s="2"/>
      <c r="BA560" s="2"/>
      <c r="BB560" s="2"/>
      <c r="BX560" s="2"/>
      <c r="BY560" s="2"/>
      <c r="BZ560" s="2"/>
      <c r="CA560" s="2"/>
      <c r="CB560" s="2"/>
      <c r="CC560" s="2"/>
      <c r="CD560" s="2"/>
    </row>
    <row r="561" spans="12:82" x14ac:dyDescent="0.25"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Z561" s="2"/>
      <c r="BA561" s="2"/>
      <c r="BB561" s="2"/>
      <c r="BX561" s="2"/>
      <c r="BY561" s="2"/>
      <c r="BZ561" s="2"/>
      <c r="CA561" s="2"/>
      <c r="CB561" s="2"/>
      <c r="CC561" s="2"/>
      <c r="CD561" s="2"/>
    </row>
    <row r="562" spans="12:82" x14ac:dyDescent="0.25"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Z562" s="2"/>
      <c r="BA562" s="2"/>
      <c r="BB562" s="2"/>
      <c r="BX562" s="2"/>
      <c r="BY562" s="2"/>
      <c r="BZ562" s="2"/>
      <c r="CA562" s="2"/>
      <c r="CB562" s="2"/>
      <c r="CC562" s="2"/>
      <c r="CD562" s="2"/>
    </row>
    <row r="563" spans="12:82" x14ac:dyDescent="0.25"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Z563" s="2"/>
      <c r="BA563" s="2"/>
      <c r="BB563" s="2"/>
      <c r="BX563" s="2"/>
      <c r="BY563" s="2"/>
      <c r="BZ563" s="2"/>
      <c r="CA563" s="2"/>
      <c r="CB563" s="2"/>
      <c r="CC563" s="2"/>
      <c r="CD563" s="2"/>
    </row>
    <row r="564" spans="12:82" x14ac:dyDescent="0.25"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Z564" s="2"/>
      <c r="BA564" s="2"/>
      <c r="BB564" s="2"/>
      <c r="BX564" s="2"/>
      <c r="BY564" s="2"/>
      <c r="BZ564" s="2"/>
      <c r="CA564" s="2"/>
      <c r="CB564" s="2"/>
      <c r="CC564" s="2"/>
      <c r="CD564" s="2"/>
    </row>
    <row r="565" spans="12:82" x14ac:dyDescent="0.25"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Z565" s="2"/>
      <c r="BA565" s="2"/>
      <c r="BB565" s="2"/>
      <c r="BX565" s="2"/>
      <c r="BY565" s="2"/>
      <c r="BZ565" s="2"/>
      <c r="CA565" s="2"/>
      <c r="CB565" s="2"/>
      <c r="CC565" s="2"/>
      <c r="CD565" s="2"/>
    </row>
    <row r="566" spans="12:82" x14ac:dyDescent="0.25"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Z566" s="2"/>
      <c r="BA566" s="2"/>
      <c r="BB566" s="2"/>
      <c r="BX566" s="2"/>
      <c r="BY566" s="2"/>
      <c r="BZ566" s="2"/>
      <c r="CA566" s="2"/>
      <c r="CB566" s="2"/>
      <c r="CC566" s="2"/>
      <c r="CD566" s="2"/>
    </row>
    <row r="567" spans="12:82" x14ac:dyDescent="0.25"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Z567" s="2"/>
      <c r="BA567" s="2"/>
      <c r="BB567" s="2"/>
      <c r="BX567" s="2"/>
      <c r="BY567" s="2"/>
      <c r="BZ567" s="2"/>
      <c r="CA567" s="2"/>
      <c r="CB567" s="2"/>
      <c r="CC567" s="2"/>
      <c r="CD567" s="2"/>
    </row>
    <row r="568" spans="12:82" x14ac:dyDescent="0.25"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Z568" s="2"/>
      <c r="BA568" s="2"/>
      <c r="BB568" s="2"/>
      <c r="BX568" s="2"/>
      <c r="BY568" s="2"/>
      <c r="BZ568" s="2"/>
      <c r="CA568" s="2"/>
      <c r="CB568" s="2"/>
      <c r="CC568" s="2"/>
      <c r="CD568" s="2"/>
    </row>
    <row r="569" spans="12:82" x14ac:dyDescent="0.25"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Z569" s="2"/>
      <c r="BA569" s="2"/>
      <c r="BB569" s="2"/>
      <c r="BX569" s="2"/>
      <c r="BY569" s="2"/>
      <c r="BZ569" s="2"/>
      <c r="CA569" s="2"/>
      <c r="CB569" s="2"/>
      <c r="CC569" s="2"/>
      <c r="CD569" s="2"/>
    </row>
    <row r="570" spans="12:82" x14ac:dyDescent="0.25"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Z570" s="2"/>
      <c r="BA570" s="2"/>
      <c r="BB570" s="2"/>
      <c r="BX570" s="2"/>
      <c r="BY570" s="2"/>
      <c r="BZ570" s="2"/>
      <c r="CA570" s="2"/>
      <c r="CB570" s="2"/>
      <c r="CC570" s="2"/>
      <c r="CD570" s="2"/>
    </row>
    <row r="571" spans="12:82" x14ac:dyDescent="0.25"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Z571" s="2"/>
      <c r="BA571" s="2"/>
      <c r="BB571" s="2"/>
      <c r="BX571" s="2"/>
      <c r="BY571" s="2"/>
      <c r="BZ571" s="2"/>
      <c r="CA571" s="2"/>
      <c r="CB571" s="2"/>
      <c r="CC571" s="2"/>
      <c r="CD571" s="2"/>
    </row>
    <row r="572" spans="12:82" x14ac:dyDescent="0.25"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Z572" s="2"/>
      <c r="BA572" s="2"/>
      <c r="BB572" s="2"/>
      <c r="BX572" s="2"/>
      <c r="BY572" s="2"/>
      <c r="BZ572" s="2"/>
      <c r="CA572" s="2"/>
      <c r="CB572" s="2"/>
      <c r="CC572" s="2"/>
      <c r="CD572" s="2"/>
    </row>
    <row r="573" spans="12:82" x14ac:dyDescent="0.25"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Z573" s="2"/>
      <c r="BA573" s="2"/>
      <c r="BB573" s="2"/>
      <c r="BX573" s="2"/>
      <c r="BY573" s="2"/>
      <c r="BZ573" s="2"/>
      <c r="CA573" s="2"/>
      <c r="CB573" s="2"/>
      <c r="CC573" s="2"/>
      <c r="CD573" s="2"/>
    </row>
    <row r="574" spans="12:82" x14ac:dyDescent="0.25"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Z574" s="2"/>
      <c r="BA574" s="2"/>
      <c r="BB574" s="2"/>
      <c r="BX574" s="2"/>
      <c r="BY574" s="2"/>
      <c r="BZ574" s="2"/>
      <c r="CA574" s="2"/>
      <c r="CB574" s="2"/>
      <c r="CC574" s="2"/>
      <c r="CD574" s="2"/>
    </row>
    <row r="575" spans="12:82" x14ac:dyDescent="0.25"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Z575" s="2"/>
      <c r="BA575" s="2"/>
      <c r="BB575" s="2"/>
      <c r="BX575" s="2"/>
      <c r="BY575" s="2"/>
      <c r="BZ575" s="2"/>
      <c r="CA575" s="2"/>
      <c r="CB575" s="2"/>
      <c r="CC575" s="2"/>
      <c r="CD575" s="2"/>
    </row>
    <row r="576" spans="12:82" x14ac:dyDescent="0.25"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Z576" s="2"/>
      <c r="BA576" s="2"/>
      <c r="BB576" s="2"/>
      <c r="BX576" s="2"/>
      <c r="BY576" s="2"/>
      <c r="BZ576" s="2"/>
      <c r="CA576" s="2"/>
      <c r="CB576" s="2"/>
      <c r="CC576" s="2"/>
      <c r="CD576" s="2"/>
    </row>
    <row r="577" spans="12:82" x14ac:dyDescent="0.25"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Z577" s="2"/>
      <c r="BA577" s="2"/>
      <c r="BB577" s="2"/>
      <c r="BX577" s="2"/>
      <c r="BY577" s="2"/>
      <c r="BZ577" s="2"/>
      <c r="CA577" s="2"/>
      <c r="CB577" s="2"/>
      <c r="CC577" s="2"/>
      <c r="CD577" s="2"/>
    </row>
    <row r="578" spans="12:82" x14ac:dyDescent="0.25"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Z578" s="2"/>
      <c r="BA578" s="2"/>
      <c r="BB578" s="2"/>
      <c r="BX578" s="2"/>
      <c r="BY578" s="2"/>
      <c r="BZ578" s="2"/>
      <c r="CA578" s="2"/>
      <c r="CB578" s="2"/>
      <c r="CC578" s="2"/>
      <c r="CD578" s="2"/>
    </row>
    <row r="579" spans="12:82" x14ac:dyDescent="0.25"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Z579" s="2"/>
      <c r="BA579" s="2"/>
      <c r="BB579" s="2"/>
      <c r="BX579" s="2"/>
      <c r="BY579" s="2"/>
      <c r="BZ579" s="2"/>
      <c r="CA579" s="2"/>
      <c r="CB579" s="2"/>
      <c r="CC579" s="2"/>
      <c r="CD579" s="2"/>
    </row>
    <row r="580" spans="12:82" x14ac:dyDescent="0.25"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Z580" s="2"/>
      <c r="BA580" s="2"/>
      <c r="BB580" s="2"/>
      <c r="BX580" s="2"/>
      <c r="BY580" s="2"/>
      <c r="BZ580" s="2"/>
      <c r="CA580" s="2"/>
      <c r="CB580" s="2"/>
      <c r="CC580" s="2"/>
      <c r="CD580" s="2"/>
    </row>
    <row r="581" spans="12:82" x14ac:dyDescent="0.25"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Z581" s="2"/>
      <c r="BA581" s="2"/>
      <c r="BB581" s="2"/>
      <c r="BX581" s="2"/>
      <c r="BY581" s="2"/>
      <c r="BZ581" s="2"/>
      <c r="CA581" s="2"/>
      <c r="CB581" s="2"/>
      <c r="CC581" s="2"/>
      <c r="CD581" s="2"/>
    </row>
    <row r="582" spans="12:82" x14ac:dyDescent="0.25"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Z582" s="2"/>
      <c r="BA582" s="2"/>
      <c r="BB582" s="2"/>
      <c r="BX582" s="2"/>
      <c r="BY582" s="2"/>
      <c r="BZ582" s="2"/>
      <c r="CA582" s="2"/>
      <c r="CB582" s="2"/>
      <c r="CC582" s="2"/>
      <c r="CD582" s="2"/>
    </row>
    <row r="583" spans="12:82" x14ac:dyDescent="0.25"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Z583" s="2"/>
      <c r="BA583" s="2"/>
      <c r="BB583" s="2"/>
      <c r="BX583" s="2"/>
      <c r="BY583" s="2"/>
      <c r="BZ583" s="2"/>
      <c r="CA583" s="2"/>
      <c r="CB583" s="2"/>
      <c r="CC583" s="2"/>
      <c r="CD583" s="2"/>
    </row>
    <row r="584" spans="12:82" x14ac:dyDescent="0.25"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Z584" s="2"/>
      <c r="BA584" s="2"/>
      <c r="BB584" s="2"/>
      <c r="BX584" s="2"/>
      <c r="BY584" s="2"/>
      <c r="BZ584" s="2"/>
      <c r="CA584" s="2"/>
      <c r="CB584" s="2"/>
      <c r="CC584" s="2"/>
      <c r="CD584" s="2"/>
    </row>
    <row r="585" spans="12:82" x14ac:dyDescent="0.25"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Z585" s="2"/>
      <c r="BA585" s="2"/>
      <c r="BB585" s="2"/>
      <c r="BX585" s="2"/>
      <c r="BY585" s="2"/>
      <c r="BZ585" s="2"/>
      <c r="CA585" s="2"/>
      <c r="CB585" s="2"/>
      <c r="CC585" s="2"/>
      <c r="CD585" s="2"/>
    </row>
    <row r="586" spans="12:82" x14ac:dyDescent="0.25"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Z586" s="2"/>
      <c r="BA586" s="2"/>
      <c r="BB586" s="2"/>
      <c r="BX586" s="2"/>
      <c r="BY586" s="2"/>
      <c r="BZ586" s="2"/>
      <c r="CA586" s="2"/>
      <c r="CB586" s="2"/>
      <c r="CC586" s="2"/>
      <c r="CD586" s="2"/>
    </row>
    <row r="587" spans="12:82" x14ac:dyDescent="0.25"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Z587" s="2"/>
      <c r="BA587" s="2"/>
      <c r="BB587" s="2"/>
      <c r="BX587" s="2"/>
      <c r="BY587" s="2"/>
      <c r="BZ587" s="2"/>
      <c r="CA587" s="2"/>
      <c r="CB587" s="2"/>
      <c r="CC587" s="2"/>
      <c r="CD587" s="2"/>
    </row>
    <row r="588" spans="12:82" x14ac:dyDescent="0.25"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Z588" s="2"/>
      <c r="BA588" s="2"/>
      <c r="BB588" s="2"/>
      <c r="BX588" s="2"/>
      <c r="BY588" s="2"/>
      <c r="BZ588" s="2"/>
      <c r="CA588" s="2"/>
      <c r="CB588" s="2"/>
      <c r="CC588" s="2"/>
      <c r="CD588" s="2"/>
    </row>
    <row r="589" spans="12:82" x14ac:dyDescent="0.25"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Z589" s="2"/>
      <c r="BA589" s="2"/>
      <c r="BB589" s="2"/>
      <c r="BX589" s="2"/>
      <c r="BY589" s="2"/>
      <c r="BZ589" s="2"/>
      <c r="CA589" s="2"/>
      <c r="CB589" s="2"/>
      <c r="CC589" s="2"/>
      <c r="CD589" s="2"/>
    </row>
    <row r="590" spans="12:82" x14ac:dyDescent="0.25"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Z590" s="2"/>
      <c r="BA590" s="2"/>
      <c r="BB590" s="2"/>
      <c r="BX590" s="2"/>
      <c r="BY590" s="2"/>
      <c r="BZ590" s="2"/>
      <c r="CA590" s="2"/>
      <c r="CB590" s="2"/>
      <c r="CC590" s="2"/>
      <c r="CD590" s="2"/>
    </row>
    <row r="591" spans="12:82" x14ac:dyDescent="0.25"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Z591" s="2"/>
      <c r="BA591" s="2"/>
      <c r="BB591" s="2"/>
      <c r="BX591" s="2"/>
      <c r="BY591" s="2"/>
      <c r="BZ591" s="2"/>
      <c r="CA591" s="2"/>
      <c r="CB591" s="2"/>
      <c r="CC591" s="2"/>
      <c r="CD591" s="2"/>
    </row>
    <row r="592" spans="12:82" x14ac:dyDescent="0.25"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Z592" s="2"/>
      <c r="BA592" s="2"/>
      <c r="BB592" s="2"/>
      <c r="BX592" s="2"/>
      <c r="BY592" s="2"/>
      <c r="BZ592" s="2"/>
      <c r="CA592" s="2"/>
      <c r="CB592" s="2"/>
      <c r="CC592" s="2"/>
      <c r="CD592" s="2"/>
    </row>
    <row r="593" spans="12:82" x14ac:dyDescent="0.25"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Z593" s="2"/>
      <c r="BA593" s="2"/>
      <c r="BB593" s="2"/>
      <c r="BX593" s="2"/>
      <c r="BY593" s="2"/>
      <c r="BZ593" s="2"/>
      <c r="CA593" s="2"/>
      <c r="CB593" s="2"/>
      <c r="CC593" s="2"/>
      <c r="CD593" s="2"/>
    </row>
    <row r="594" spans="12:82" x14ac:dyDescent="0.25"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Z594" s="2"/>
      <c r="BA594" s="2"/>
      <c r="BB594" s="2"/>
      <c r="BX594" s="2"/>
      <c r="BY594" s="2"/>
      <c r="BZ594" s="2"/>
      <c r="CA594" s="2"/>
      <c r="CB594" s="2"/>
      <c r="CC594" s="2"/>
      <c r="CD594" s="2"/>
    </row>
    <row r="595" spans="12:82" x14ac:dyDescent="0.25"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Z595" s="2"/>
      <c r="BA595" s="2"/>
      <c r="BB595" s="2"/>
      <c r="BX595" s="2"/>
      <c r="BY595" s="2"/>
      <c r="BZ595" s="2"/>
      <c r="CA595" s="2"/>
      <c r="CB595" s="2"/>
      <c r="CC595" s="2"/>
      <c r="CD595" s="2"/>
    </row>
    <row r="596" spans="12:82" x14ac:dyDescent="0.25"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Z596" s="2"/>
      <c r="BA596" s="2"/>
      <c r="BB596" s="2"/>
      <c r="BX596" s="2"/>
      <c r="BY596" s="2"/>
      <c r="BZ596" s="2"/>
      <c r="CA596" s="2"/>
      <c r="CB596" s="2"/>
      <c r="CC596" s="2"/>
      <c r="CD596" s="2"/>
    </row>
    <row r="597" spans="12:82" x14ac:dyDescent="0.25"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Z597" s="2"/>
      <c r="BA597" s="2"/>
      <c r="BB597" s="2"/>
      <c r="BX597" s="2"/>
      <c r="BY597" s="2"/>
      <c r="BZ597" s="2"/>
      <c r="CA597" s="2"/>
      <c r="CB597" s="2"/>
      <c r="CC597" s="2"/>
      <c r="CD597" s="2"/>
    </row>
    <row r="598" spans="12:82" x14ac:dyDescent="0.25"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Z598" s="2"/>
      <c r="BA598" s="2"/>
      <c r="BB598" s="2"/>
      <c r="BX598" s="2"/>
      <c r="BY598" s="2"/>
      <c r="BZ598" s="2"/>
      <c r="CA598" s="2"/>
      <c r="CB598" s="2"/>
      <c r="CC598" s="2"/>
      <c r="CD598" s="2"/>
    </row>
    <row r="599" spans="12:82" x14ac:dyDescent="0.25"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Z599" s="2"/>
      <c r="BA599" s="2"/>
      <c r="BB599" s="2"/>
      <c r="BX599" s="2"/>
      <c r="BY599" s="2"/>
      <c r="BZ599" s="2"/>
      <c r="CA599" s="2"/>
      <c r="CB599" s="2"/>
      <c r="CC599" s="2"/>
      <c r="CD599" s="2"/>
    </row>
    <row r="600" spans="12:82" x14ac:dyDescent="0.25"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Z600" s="2"/>
      <c r="BA600" s="2"/>
      <c r="BB600" s="2"/>
      <c r="BX600" s="2"/>
      <c r="BY600" s="2"/>
      <c r="BZ600" s="2"/>
      <c r="CA600" s="2"/>
      <c r="CB600" s="2"/>
      <c r="CC600" s="2"/>
      <c r="CD600" s="2"/>
    </row>
    <row r="601" spans="12:82" x14ac:dyDescent="0.25"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Z601" s="2"/>
      <c r="BA601" s="2"/>
      <c r="BB601" s="2"/>
      <c r="BX601" s="2"/>
      <c r="BY601" s="2"/>
      <c r="BZ601" s="2"/>
      <c r="CA601" s="2"/>
      <c r="CB601" s="2"/>
      <c r="CC601" s="2"/>
      <c r="CD601" s="2"/>
    </row>
    <row r="602" spans="12:82" x14ac:dyDescent="0.25"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Z602" s="2"/>
      <c r="BA602" s="2"/>
      <c r="BB602" s="2"/>
      <c r="BX602" s="2"/>
      <c r="BY602" s="2"/>
      <c r="BZ602" s="2"/>
      <c r="CA602" s="2"/>
      <c r="CB602" s="2"/>
      <c r="CC602" s="2"/>
      <c r="CD602" s="2"/>
    </row>
    <row r="603" spans="12:82" x14ac:dyDescent="0.25"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Z603" s="2"/>
      <c r="BA603" s="2"/>
      <c r="BB603" s="2"/>
      <c r="BX603" s="2"/>
      <c r="BY603" s="2"/>
      <c r="BZ603" s="2"/>
      <c r="CA603" s="2"/>
      <c r="CB603" s="2"/>
      <c r="CC603" s="2"/>
      <c r="CD603" s="2"/>
    </row>
    <row r="604" spans="12:82" x14ac:dyDescent="0.25"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Q604" s="2"/>
      <c r="AR604" s="2"/>
      <c r="AZ604" s="2"/>
      <c r="BA604" s="2"/>
      <c r="BB604" s="2"/>
      <c r="BG604" s="2"/>
      <c r="BH604" s="2"/>
      <c r="BI604" s="2"/>
      <c r="BX604" s="2"/>
      <c r="BY604" s="2"/>
      <c r="BZ604" s="2"/>
      <c r="CA604" s="2"/>
      <c r="CB604" s="2"/>
      <c r="CC604" s="2"/>
      <c r="CD604" s="2"/>
    </row>
    <row r="605" spans="12:82" x14ac:dyDescent="0.25"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Q605" s="2"/>
      <c r="AR605" s="2"/>
      <c r="AZ605" s="2"/>
      <c r="BA605" s="2"/>
      <c r="BB605" s="2"/>
      <c r="BG605" s="2"/>
      <c r="BH605" s="2"/>
      <c r="BI605" s="2"/>
      <c r="BX605" s="2"/>
      <c r="BY605" s="2"/>
      <c r="BZ605" s="2"/>
      <c r="CA605" s="2"/>
      <c r="CB605" s="2"/>
      <c r="CC605" s="2"/>
      <c r="CD605" s="2"/>
    </row>
    <row r="606" spans="12:82" x14ac:dyDescent="0.25"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Q606" s="2"/>
      <c r="AR606" s="2"/>
      <c r="AZ606" s="2"/>
      <c r="BA606" s="2"/>
      <c r="BB606" s="2"/>
      <c r="BG606" s="2"/>
      <c r="BH606" s="2"/>
      <c r="BI606" s="2"/>
      <c r="BX606" s="2"/>
      <c r="BY606" s="2"/>
      <c r="BZ606" s="2"/>
      <c r="CA606" s="2"/>
      <c r="CB606" s="2"/>
      <c r="CC606" s="2"/>
      <c r="CD606" s="2"/>
    </row>
    <row r="607" spans="12:82" x14ac:dyDescent="0.25"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Q607" s="2"/>
      <c r="AR607" s="2"/>
      <c r="AZ607" s="2"/>
      <c r="BA607" s="2"/>
      <c r="BB607" s="2"/>
      <c r="BG607" s="2"/>
      <c r="BH607" s="2"/>
      <c r="BI607" s="2"/>
      <c r="BX607" s="2"/>
      <c r="BY607" s="2"/>
      <c r="BZ607" s="2"/>
      <c r="CA607" s="2"/>
      <c r="CB607" s="2"/>
      <c r="CC607" s="2"/>
      <c r="CD607" s="2"/>
    </row>
    <row r="608" spans="12:82" x14ac:dyDescent="0.25"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Q608" s="2"/>
      <c r="AR608" s="2"/>
      <c r="AZ608" s="2"/>
      <c r="BA608" s="2"/>
      <c r="BB608" s="2"/>
      <c r="BG608" s="2"/>
      <c r="BH608" s="2"/>
      <c r="BI608" s="2"/>
      <c r="BX608" s="2"/>
      <c r="BY608" s="2"/>
      <c r="BZ608" s="2"/>
      <c r="CA608" s="2"/>
      <c r="CB608" s="2"/>
      <c r="CC608" s="2"/>
      <c r="CD608" s="2"/>
    </row>
    <row r="609" spans="12:82" x14ac:dyDescent="0.25"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Q609" s="2"/>
      <c r="AR609" s="2"/>
      <c r="AZ609" s="2"/>
      <c r="BA609" s="2"/>
      <c r="BB609" s="2"/>
      <c r="BG609" s="2"/>
      <c r="BH609" s="2"/>
      <c r="BI609" s="2"/>
      <c r="BX609" s="2"/>
      <c r="BY609" s="2"/>
      <c r="BZ609" s="2"/>
      <c r="CA609" s="2"/>
      <c r="CB609" s="2"/>
      <c r="CC609" s="2"/>
      <c r="CD609" s="2"/>
    </row>
    <row r="610" spans="12:82" x14ac:dyDescent="0.25"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Q610" s="2"/>
      <c r="AR610" s="2"/>
      <c r="AZ610" s="2"/>
      <c r="BA610" s="2"/>
      <c r="BB610" s="2"/>
      <c r="BG610" s="2"/>
      <c r="BH610" s="2"/>
      <c r="BI610" s="2"/>
      <c r="BX610" s="2"/>
      <c r="BY610" s="2"/>
      <c r="BZ610" s="2"/>
      <c r="CA610" s="2"/>
      <c r="CB610" s="2"/>
      <c r="CC610" s="2"/>
      <c r="CD610" s="2"/>
    </row>
    <row r="611" spans="12:82" x14ac:dyDescent="0.25"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Q611" s="2"/>
      <c r="AR611" s="2"/>
      <c r="AZ611" s="2"/>
      <c r="BA611" s="2"/>
      <c r="BB611" s="2"/>
      <c r="BG611" s="2"/>
      <c r="BH611" s="2"/>
      <c r="BI611" s="2"/>
      <c r="BX611" s="2"/>
      <c r="BY611" s="2"/>
      <c r="BZ611" s="2"/>
      <c r="CA611" s="2"/>
      <c r="CB611" s="2"/>
      <c r="CC611" s="2"/>
      <c r="CD611" s="2"/>
    </row>
    <row r="612" spans="12:82" x14ac:dyDescent="0.25"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Q612" s="2"/>
      <c r="AR612" s="2"/>
      <c r="AZ612" s="2"/>
      <c r="BA612" s="2"/>
      <c r="BB612" s="2"/>
      <c r="BG612" s="2"/>
      <c r="BH612" s="2"/>
      <c r="BI612" s="2"/>
      <c r="BX612" s="2"/>
      <c r="BY612" s="2"/>
      <c r="BZ612" s="2"/>
      <c r="CA612" s="2"/>
      <c r="CB612" s="2"/>
      <c r="CC612" s="2"/>
      <c r="CD612" s="2"/>
    </row>
    <row r="613" spans="12:82" x14ac:dyDescent="0.25"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Q613" s="2"/>
      <c r="AR613" s="2"/>
      <c r="AZ613" s="2"/>
      <c r="BA613" s="2"/>
      <c r="BB613" s="2"/>
      <c r="BG613" s="2"/>
      <c r="BH613" s="2"/>
      <c r="BI613" s="2"/>
      <c r="BX613" s="2"/>
      <c r="BY613" s="2"/>
      <c r="BZ613" s="2"/>
      <c r="CA613" s="2"/>
      <c r="CB613" s="2"/>
      <c r="CC613" s="2"/>
      <c r="CD613" s="2"/>
    </row>
    <row r="614" spans="12:82" x14ac:dyDescent="0.25"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Q614" s="2"/>
      <c r="AR614" s="2"/>
      <c r="AZ614" s="2"/>
      <c r="BA614" s="2"/>
      <c r="BB614" s="2"/>
      <c r="BG614" s="2"/>
      <c r="BH614" s="2"/>
      <c r="BI614" s="2"/>
      <c r="BX614" s="2"/>
      <c r="BY614" s="2"/>
      <c r="BZ614" s="2"/>
      <c r="CA614" s="2"/>
      <c r="CB614" s="2"/>
      <c r="CC614" s="2"/>
      <c r="CD614" s="2"/>
    </row>
    <row r="615" spans="12:82" x14ac:dyDescent="0.25"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Q615" s="2"/>
      <c r="AR615" s="2"/>
      <c r="AZ615" s="2"/>
      <c r="BA615" s="2"/>
      <c r="BB615" s="2"/>
      <c r="BG615" s="2"/>
      <c r="BH615" s="2"/>
      <c r="BI615" s="2"/>
      <c r="BX615" s="2"/>
      <c r="BY615" s="2"/>
      <c r="BZ615" s="2"/>
      <c r="CA615" s="2"/>
      <c r="CB615" s="2"/>
      <c r="CC615" s="2"/>
      <c r="CD615" s="2"/>
    </row>
    <row r="616" spans="12:82" x14ac:dyDescent="0.25"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Z616" s="2"/>
      <c r="BA616" s="2"/>
      <c r="BB616" s="2"/>
      <c r="BG616" s="2"/>
      <c r="BH616" s="2"/>
      <c r="BI616" s="2"/>
      <c r="BX616" s="2"/>
      <c r="BY616" s="2"/>
      <c r="BZ616" s="2"/>
      <c r="CA616" s="2"/>
      <c r="CB616" s="2"/>
      <c r="CC616" s="2"/>
      <c r="CD616" s="2"/>
    </row>
    <row r="617" spans="12:82" x14ac:dyDescent="0.25"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Z617" s="2"/>
      <c r="BA617" s="2"/>
      <c r="BB617" s="2"/>
      <c r="BG617" s="2"/>
      <c r="BH617" s="2"/>
      <c r="BI617" s="2"/>
      <c r="BX617" s="2"/>
      <c r="BY617" s="2"/>
      <c r="BZ617" s="2"/>
      <c r="CA617" s="2"/>
      <c r="CB617" s="2"/>
      <c r="CC617" s="2"/>
      <c r="CD617" s="2"/>
    </row>
    <row r="618" spans="12:82" x14ac:dyDescent="0.25"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Z618" s="2"/>
      <c r="BA618" s="2"/>
      <c r="BB618" s="2"/>
      <c r="BG618" s="2"/>
      <c r="BH618" s="2"/>
      <c r="BI618" s="2"/>
      <c r="BX618" s="2"/>
      <c r="BY618" s="2"/>
      <c r="BZ618" s="2"/>
      <c r="CA618" s="2"/>
      <c r="CB618" s="2"/>
      <c r="CC618" s="2"/>
      <c r="CD618" s="2"/>
    </row>
    <row r="619" spans="12:82" x14ac:dyDescent="0.25"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Z619" s="2"/>
      <c r="BA619" s="2"/>
      <c r="BB619" s="2"/>
      <c r="BG619" s="2"/>
      <c r="BH619" s="2"/>
      <c r="BI619" s="2"/>
      <c r="BX619" s="2"/>
      <c r="BY619" s="2"/>
      <c r="BZ619" s="2"/>
      <c r="CA619" s="2"/>
      <c r="CB619" s="2"/>
      <c r="CC619" s="2"/>
      <c r="CD619" s="2"/>
    </row>
    <row r="620" spans="12:82" x14ac:dyDescent="0.25"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Z620" s="2"/>
      <c r="BA620" s="2"/>
      <c r="BB620" s="2"/>
      <c r="BG620" s="2"/>
      <c r="BH620" s="2"/>
      <c r="BI620" s="2"/>
      <c r="BX620" s="2"/>
      <c r="BY620" s="2"/>
      <c r="BZ620" s="2"/>
      <c r="CA620" s="2"/>
      <c r="CB620" s="2"/>
      <c r="CC620" s="2"/>
      <c r="CD620" s="2"/>
    </row>
    <row r="621" spans="12:82" x14ac:dyDescent="0.25"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Z621" s="2"/>
      <c r="BA621" s="2"/>
      <c r="BB621" s="2"/>
      <c r="BG621" s="2"/>
      <c r="BH621" s="2"/>
      <c r="BI621" s="2"/>
      <c r="BX621" s="2"/>
      <c r="BY621" s="2"/>
      <c r="BZ621" s="2"/>
      <c r="CA621" s="2"/>
      <c r="CB621" s="2"/>
      <c r="CC621" s="2"/>
      <c r="CD621" s="2"/>
    </row>
    <row r="622" spans="12:82" x14ac:dyDescent="0.25"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Z622" s="2"/>
      <c r="BA622" s="2"/>
      <c r="BB622" s="2"/>
      <c r="BG622" s="2"/>
      <c r="BH622" s="2"/>
      <c r="BI622" s="2"/>
      <c r="BX622" s="2"/>
      <c r="BY622" s="2"/>
      <c r="BZ622" s="2"/>
      <c r="CA622" s="2"/>
      <c r="CB622" s="2"/>
      <c r="CC622" s="2"/>
      <c r="CD622" s="2"/>
    </row>
    <row r="623" spans="12:82" x14ac:dyDescent="0.25"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Z623" s="2"/>
      <c r="BA623" s="2"/>
      <c r="BB623" s="2"/>
      <c r="BG623" s="2"/>
      <c r="BH623" s="2"/>
      <c r="BI623" s="2"/>
      <c r="BX623" s="2"/>
      <c r="BY623" s="2"/>
      <c r="BZ623" s="2"/>
      <c r="CA623" s="2"/>
      <c r="CB623" s="2"/>
      <c r="CC623" s="2"/>
      <c r="CD623" s="2"/>
    </row>
    <row r="624" spans="12:82" x14ac:dyDescent="0.25"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Z624" s="2"/>
      <c r="BA624" s="2"/>
      <c r="BB624" s="2"/>
      <c r="BG624" s="2"/>
      <c r="BH624" s="2"/>
      <c r="BI624" s="2"/>
      <c r="BX624" s="2"/>
      <c r="BY624" s="2"/>
      <c r="BZ624" s="2"/>
      <c r="CA624" s="2"/>
      <c r="CB624" s="2"/>
      <c r="CC624" s="2"/>
      <c r="CD624" s="2"/>
    </row>
    <row r="625" spans="12:82" x14ac:dyDescent="0.25"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Z625" s="2"/>
      <c r="BA625" s="2"/>
      <c r="BB625" s="2"/>
      <c r="BG625" s="2"/>
      <c r="BH625" s="2"/>
      <c r="BI625" s="2"/>
      <c r="BX625" s="2"/>
      <c r="BY625" s="2"/>
      <c r="BZ625" s="2"/>
      <c r="CA625" s="2"/>
      <c r="CB625" s="2"/>
      <c r="CC625" s="2"/>
      <c r="CD625" s="2"/>
    </row>
    <row r="626" spans="12:82" x14ac:dyDescent="0.25"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Z626" s="2"/>
      <c r="BA626" s="2"/>
      <c r="BB626" s="2"/>
      <c r="BG626" s="2"/>
      <c r="BH626" s="2"/>
      <c r="BI626" s="2"/>
      <c r="BX626" s="2"/>
      <c r="BY626" s="2"/>
      <c r="BZ626" s="2"/>
      <c r="CA626" s="2"/>
      <c r="CB626" s="2"/>
      <c r="CC626" s="2"/>
      <c r="CD626" s="2"/>
    </row>
    <row r="627" spans="12:82" x14ac:dyDescent="0.25"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Z627" s="2"/>
      <c r="BA627" s="2"/>
      <c r="BB627" s="2"/>
      <c r="BG627" s="2"/>
      <c r="BH627" s="2"/>
      <c r="BI627" s="2"/>
      <c r="BX627" s="2"/>
      <c r="BY627" s="2"/>
      <c r="BZ627" s="2"/>
      <c r="CA627" s="2"/>
      <c r="CB627" s="2"/>
      <c r="CC627" s="2"/>
      <c r="CD627" s="2"/>
    </row>
    <row r="628" spans="12:82" x14ac:dyDescent="0.25"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Z628" s="2"/>
      <c r="BA628" s="2"/>
      <c r="BB628" s="2"/>
      <c r="BG628" s="2"/>
      <c r="BH628" s="2"/>
      <c r="BI628" s="2"/>
      <c r="BX628" s="2"/>
      <c r="BY628" s="2"/>
      <c r="BZ628" s="2"/>
      <c r="CA628" s="2"/>
      <c r="CB628" s="2"/>
      <c r="CC628" s="2"/>
      <c r="CD628" s="2"/>
    </row>
    <row r="629" spans="12:82" x14ac:dyDescent="0.25"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Z629" s="2"/>
      <c r="BA629" s="2"/>
      <c r="BB629" s="2"/>
      <c r="BG629" s="2"/>
      <c r="BH629" s="2"/>
      <c r="BI629" s="2"/>
      <c r="BX629" s="2"/>
      <c r="BY629" s="2"/>
      <c r="BZ629" s="2"/>
      <c r="CA629" s="2"/>
      <c r="CB629" s="2"/>
      <c r="CC629" s="2"/>
      <c r="CD629" s="2"/>
    </row>
    <row r="630" spans="12:82" x14ac:dyDescent="0.25"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Z630" s="2"/>
      <c r="BA630" s="2"/>
      <c r="BB630" s="2"/>
      <c r="BG630" s="2"/>
      <c r="BH630" s="2"/>
      <c r="BI630" s="2"/>
      <c r="BX630" s="2"/>
      <c r="BY630" s="2"/>
      <c r="BZ630" s="2"/>
      <c r="CA630" s="2"/>
      <c r="CB630" s="2"/>
      <c r="CC630" s="2"/>
      <c r="CD630" s="2"/>
    </row>
    <row r="631" spans="12:82" x14ac:dyDescent="0.25"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Z631" s="2"/>
      <c r="BA631" s="2"/>
      <c r="BB631" s="2"/>
      <c r="BG631" s="2"/>
      <c r="BH631" s="2"/>
      <c r="BI631" s="2"/>
      <c r="BX631" s="2"/>
      <c r="BY631" s="2"/>
      <c r="BZ631" s="2"/>
      <c r="CA631" s="2"/>
      <c r="CB631" s="2"/>
      <c r="CC631" s="2"/>
      <c r="CD631" s="2"/>
    </row>
    <row r="632" spans="12:82" x14ac:dyDescent="0.25"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Z632" s="2"/>
      <c r="BA632" s="2"/>
      <c r="BB632" s="2"/>
      <c r="BG632" s="2"/>
      <c r="BH632" s="2"/>
      <c r="BI632" s="2"/>
      <c r="BX632" s="2"/>
      <c r="BY632" s="2"/>
      <c r="BZ632" s="2"/>
      <c r="CA632" s="2"/>
      <c r="CB632" s="2"/>
      <c r="CC632" s="2"/>
      <c r="CD632" s="2"/>
    </row>
    <row r="633" spans="12:82" x14ac:dyDescent="0.25"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Z633" s="2"/>
      <c r="BA633" s="2"/>
      <c r="BB633" s="2"/>
      <c r="BG633" s="2"/>
      <c r="BH633" s="2"/>
      <c r="BI633" s="2"/>
      <c r="BX633" s="2"/>
      <c r="BY633" s="2"/>
      <c r="BZ633" s="2"/>
      <c r="CA633" s="2"/>
      <c r="CB633" s="2"/>
      <c r="CC633" s="2"/>
      <c r="CD633" s="2"/>
    </row>
    <row r="634" spans="12:82" x14ac:dyDescent="0.25"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Z634" s="2"/>
      <c r="BA634" s="2"/>
      <c r="BB634" s="2"/>
      <c r="BG634" s="2"/>
      <c r="BH634" s="2"/>
      <c r="BI634" s="2"/>
      <c r="BX634" s="2"/>
      <c r="BY634" s="2"/>
      <c r="BZ634" s="2"/>
      <c r="CA634" s="2"/>
      <c r="CB634" s="2"/>
      <c r="CC634" s="2"/>
      <c r="CD634" s="2"/>
    </row>
    <row r="635" spans="12:82" x14ac:dyDescent="0.25"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Z635" s="2"/>
      <c r="BA635" s="2"/>
      <c r="BB635" s="2"/>
      <c r="BG635" s="2"/>
      <c r="BH635" s="2"/>
      <c r="BI635" s="2"/>
      <c r="BX635" s="2"/>
      <c r="BY635" s="2"/>
      <c r="BZ635" s="2"/>
      <c r="CA635" s="2"/>
      <c r="CB635" s="2"/>
      <c r="CC635" s="2"/>
      <c r="CD635" s="2"/>
    </row>
    <row r="636" spans="12:82" x14ac:dyDescent="0.25"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Z636" s="2"/>
      <c r="BA636" s="2"/>
      <c r="BB636" s="2"/>
      <c r="BG636" s="2"/>
      <c r="BH636" s="2"/>
      <c r="BI636" s="2"/>
      <c r="BX636" s="2"/>
      <c r="BY636" s="2"/>
      <c r="BZ636" s="2"/>
      <c r="CA636" s="2"/>
      <c r="CB636" s="2"/>
      <c r="CC636" s="2"/>
      <c r="CD636" s="2"/>
    </row>
    <row r="637" spans="12:82" x14ac:dyDescent="0.25"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Z637" s="2"/>
      <c r="BA637" s="2"/>
      <c r="BB637" s="2"/>
      <c r="BG637" s="2"/>
      <c r="BH637" s="2"/>
      <c r="BI637" s="2"/>
      <c r="BX637" s="2"/>
      <c r="BY637" s="2"/>
      <c r="BZ637" s="2"/>
      <c r="CA637" s="2"/>
      <c r="CB637" s="2"/>
      <c r="CC637" s="2"/>
      <c r="CD637" s="2"/>
    </row>
    <row r="638" spans="12:82" x14ac:dyDescent="0.25"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Z638" s="2"/>
      <c r="BA638" s="2"/>
      <c r="BB638" s="2"/>
      <c r="BG638" s="2"/>
      <c r="BH638" s="2"/>
      <c r="BI638" s="2"/>
      <c r="BX638" s="2"/>
      <c r="BY638" s="2"/>
      <c r="BZ638" s="2"/>
      <c r="CA638" s="2"/>
      <c r="CB638" s="2"/>
      <c r="CC638" s="2"/>
      <c r="CD638" s="2"/>
    </row>
    <row r="639" spans="12:82" x14ac:dyDescent="0.25"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Z639" s="2"/>
      <c r="BA639" s="2"/>
      <c r="BB639" s="2"/>
      <c r="BG639" s="2"/>
      <c r="BH639" s="2"/>
      <c r="BI639" s="2"/>
      <c r="BX639" s="2"/>
      <c r="BY639" s="2"/>
      <c r="BZ639" s="2"/>
      <c r="CA639" s="2"/>
      <c r="CB639" s="2"/>
      <c r="CC639" s="2"/>
      <c r="CD639" s="2"/>
    </row>
    <row r="640" spans="12:82" x14ac:dyDescent="0.25"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Z640" s="2"/>
      <c r="BA640" s="2"/>
      <c r="BB640" s="2"/>
      <c r="BG640" s="2"/>
      <c r="BH640" s="2"/>
      <c r="BI640" s="2"/>
      <c r="BX640" s="2"/>
      <c r="BY640" s="2"/>
      <c r="BZ640" s="2"/>
      <c r="CA640" s="2"/>
      <c r="CB640" s="2"/>
      <c r="CC640" s="2"/>
      <c r="CD640" s="2"/>
    </row>
    <row r="641" spans="12:82" x14ac:dyDescent="0.25"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Z641" s="2"/>
      <c r="BA641" s="2"/>
      <c r="BB641" s="2"/>
      <c r="BG641" s="2"/>
      <c r="BH641" s="2"/>
      <c r="BI641" s="2"/>
      <c r="BX641" s="2"/>
      <c r="BY641" s="2"/>
      <c r="BZ641" s="2"/>
      <c r="CA641" s="2"/>
      <c r="CB641" s="2"/>
      <c r="CC641" s="2"/>
      <c r="CD641" s="2"/>
    </row>
    <row r="642" spans="12:82" x14ac:dyDescent="0.25"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Z642" s="2"/>
      <c r="BA642" s="2"/>
      <c r="BB642" s="2"/>
      <c r="BG642" s="2"/>
      <c r="BH642" s="2"/>
      <c r="BI642" s="2"/>
      <c r="BX642" s="2"/>
      <c r="BY642" s="2"/>
      <c r="BZ642" s="2"/>
      <c r="CA642" s="2"/>
      <c r="CB642" s="2"/>
      <c r="CC642" s="2"/>
      <c r="CD642" s="2"/>
    </row>
    <row r="643" spans="12:82" x14ac:dyDescent="0.25"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Z643" s="2"/>
      <c r="BA643" s="2"/>
      <c r="BB643" s="2"/>
      <c r="BG643" s="2"/>
      <c r="BH643" s="2"/>
      <c r="BI643" s="2"/>
      <c r="BX643" s="2"/>
      <c r="BY643" s="2"/>
      <c r="BZ643" s="2"/>
      <c r="CA643" s="2"/>
      <c r="CB643" s="2"/>
      <c r="CC643" s="2"/>
      <c r="CD643" s="2"/>
    </row>
    <row r="644" spans="12:82" x14ac:dyDescent="0.25"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Z644" s="2"/>
      <c r="BA644" s="2"/>
      <c r="BB644" s="2"/>
      <c r="BG644" s="2"/>
      <c r="BH644" s="2"/>
      <c r="BI644" s="2"/>
      <c r="BX644" s="2"/>
      <c r="BY644" s="2"/>
      <c r="BZ644" s="2"/>
      <c r="CA644" s="2"/>
      <c r="CB644" s="2"/>
      <c r="CC644" s="2"/>
      <c r="CD644" s="2"/>
    </row>
    <row r="645" spans="12:82" x14ac:dyDescent="0.25"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Z645" s="2"/>
      <c r="BA645" s="2"/>
      <c r="BB645" s="2"/>
      <c r="BG645" s="2"/>
      <c r="BH645" s="2"/>
      <c r="BI645" s="2"/>
      <c r="BX645" s="2"/>
      <c r="BY645" s="2"/>
      <c r="BZ645" s="2"/>
      <c r="CA645" s="2"/>
      <c r="CB645" s="2"/>
      <c r="CC645" s="2"/>
      <c r="CD645" s="2"/>
    </row>
    <row r="646" spans="12:82" x14ac:dyDescent="0.25"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Z646" s="2"/>
      <c r="BA646" s="2"/>
      <c r="BB646" s="2"/>
      <c r="BG646" s="2"/>
      <c r="BH646" s="2"/>
      <c r="BI646" s="2"/>
      <c r="BX646" s="2"/>
      <c r="BY646" s="2"/>
      <c r="BZ646" s="2"/>
      <c r="CA646" s="2"/>
      <c r="CB646" s="2"/>
      <c r="CC646" s="2"/>
      <c r="CD646" s="2"/>
    </row>
    <row r="647" spans="12:82" x14ac:dyDescent="0.25"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Z647" s="2"/>
      <c r="BA647" s="2"/>
      <c r="BB647" s="2"/>
      <c r="BG647" s="2"/>
      <c r="BH647" s="2"/>
      <c r="BI647" s="2"/>
      <c r="BX647" s="2"/>
      <c r="BY647" s="2"/>
      <c r="BZ647" s="2"/>
      <c r="CA647" s="2"/>
      <c r="CB647" s="2"/>
      <c r="CC647" s="2"/>
      <c r="CD647" s="2"/>
    </row>
    <row r="648" spans="12:82" x14ac:dyDescent="0.25"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Z648" s="2"/>
      <c r="BA648" s="2"/>
      <c r="BB648" s="2"/>
      <c r="BG648" s="2"/>
      <c r="BH648" s="2"/>
      <c r="BI648" s="2"/>
      <c r="BX648" s="2"/>
      <c r="BY648" s="2"/>
      <c r="BZ648" s="2"/>
      <c r="CA648" s="2"/>
      <c r="CB648" s="2"/>
      <c r="CC648" s="2"/>
      <c r="CD648" s="2"/>
    </row>
    <row r="649" spans="12:82" x14ac:dyDescent="0.25"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Z649" s="2"/>
      <c r="BA649" s="2"/>
      <c r="BB649" s="2"/>
      <c r="BG649" s="2"/>
      <c r="BH649" s="2"/>
      <c r="BI649" s="2"/>
      <c r="BX649" s="2"/>
      <c r="BY649" s="2"/>
      <c r="BZ649" s="2"/>
      <c r="CA649" s="2"/>
      <c r="CB649" s="2"/>
      <c r="CC649" s="2"/>
      <c r="CD649" s="2"/>
    </row>
    <row r="650" spans="12:82" x14ac:dyDescent="0.25"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Z650" s="2"/>
      <c r="BA650" s="2"/>
      <c r="BB650" s="2"/>
      <c r="BG650" s="2"/>
      <c r="BH650" s="2"/>
      <c r="BI650" s="2"/>
      <c r="BX650" s="2"/>
      <c r="BY650" s="2"/>
      <c r="BZ650" s="2"/>
      <c r="CA650" s="2"/>
      <c r="CB650" s="2"/>
      <c r="CC650" s="2"/>
      <c r="CD650" s="2"/>
    </row>
    <row r="651" spans="12:82" x14ac:dyDescent="0.25"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Z651" s="2"/>
      <c r="BA651" s="2"/>
      <c r="BB651" s="2"/>
      <c r="BG651" s="2"/>
      <c r="BH651" s="2"/>
      <c r="BI651" s="2"/>
      <c r="BX651" s="2"/>
      <c r="BY651" s="2"/>
      <c r="BZ651" s="2"/>
      <c r="CA651" s="2"/>
      <c r="CB651" s="2"/>
      <c r="CC651" s="2"/>
      <c r="CD651" s="2"/>
    </row>
    <row r="652" spans="12:82" x14ac:dyDescent="0.25"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Z652" s="2"/>
      <c r="BA652" s="2"/>
      <c r="BB652" s="2"/>
      <c r="BG652" s="2"/>
      <c r="BH652" s="2"/>
      <c r="BI652" s="2"/>
      <c r="BX652" s="2"/>
      <c r="BY652" s="2"/>
      <c r="BZ652" s="2"/>
      <c r="CA652" s="2"/>
      <c r="CB652" s="2"/>
      <c r="CC652" s="2"/>
      <c r="CD652" s="2"/>
    </row>
    <row r="653" spans="12:82" x14ac:dyDescent="0.25"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Z653" s="2"/>
      <c r="BA653" s="2"/>
      <c r="BB653" s="2"/>
      <c r="BG653" s="2"/>
      <c r="BH653" s="2"/>
      <c r="BI653" s="2"/>
      <c r="BX653" s="2"/>
      <c r="BY653" s="2"/>
      <c r="BZ653" s="2"/>
      <c r="CA653" s="2"/>
      <c r="CB653" s="2"/>
      <c r="CC653" s="2"/>
      <c r="CD653" s="2"/>
    </row>
    <row r="654" spans="12:82" x14ac:dyDescent="0.25"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Z654" s="2"/>
      <c r="BA654" s="2"/>
      <c r="BB654" s="2"/>
      <c r="BG654" s="2"/>
      <c r="BH654" s="2"/>
      <c r="BI654" s="2"/>
      <c r="BX654" s="2"/>
      <c r="BY654" s="2"/>
      <c r="BZ654" s="2"/>
      <c r="CA654" s="2"/>
      <c r="CB654" s="2"/>
      <c r="CC654" s="2"/>
      <c r="CD654" s="2"/>
    </row>
    <row r="655" spans="12:82" x14ac:dyDescent="0.25"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Z655" s="2"/>
      <c r="BA655" s="2"/>
      <c r="BB655" s="2"/>
      <c r="BG655" s="2"/>
      <c r="BH655" s="2"/>
      <c r="BI655" s="2"/>
      <c r="BX655" s="2"/>
      <c r="BY655" s="2"/>
      <c r="BZ655" s="2"/>
      <c r="CA655" s="2"/>
      <c r="CB655" s="2"/>
      <c r="CC655" s="2"/>
      <c r="CD655" s="2"/>
    </row>
    <row r="656" spans="12:82" x14ac:dyDescent="0.25"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Z656" s="2"/>
      <c r="BA656" s="2"/>
      <c r="BB656" s="2"/>
      <c r="BG656" s="2"/>
      <c r="BH656" s="2"/>
      <c r="BI656" s="2"/>
      <c r="BX656" s="2"/>
      <c r="BY656" s="2"/>
      <c r="BZ656" s="2"/>
      <c r="CA656" s="2"/>
      <c r="CB656" s="2"/>
      <c r="CC656" s="2"/>
      <c r="CD656" s="2"/>
    </row>
    <row r="657" spans="12:82" x14ac:dyDescent="0.25"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Z657" s="2"/>
      <c r="BA657" s="2"/>
      <c r="BB657" s="2"/>
      <c r="BG657" s="2"/>
      <c r="BH657" s="2"/>
      <c r="BI657" s="2"/>
      <c r="BX657" s="2"/>
      <c r="BY657" s="2"/>
      <c r="BZ657" s="2"/>
      <c r="CA657" s="2"/>
      <c r="CB657" s="2"/>
      <c r="CC657" s="2"/>
      <c r="CD657" s="2"/>
    </row>
    <row r="658" spans="12:82" x14ac:dyDescent="0.25"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Z658" s="2"/>
      <c r="BA658" s="2"/>
      <c r="BB658" s="2"/>
      <c r="BG658" s="2"/>
      <c r="BH658" s="2"/>
      <c r="BI658" s="2"/>
      <c r="BX658" s="2"/>
      <c r="BY658" s="2"/>
      <c r="BZ658" s="2"/>
      <c r="CA658" s="2"/>
      <c r="CB658" s="2"/>
      <c r="CC658" s="2"/>
      <c r="CD658" s="2"/>
    </row>
    <row r="659" spans="12:82" x14ac:dyDescent="0.25"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Z659" s="2"/>
      <c r="BA659" s="2"/>
      <c r="BB659" s="2"/>
      <c r="BG659" s="2"/>
      <c r="BH659" s="2"/>
      <c r="BI659" s="2"/>
      <c r="BX659" s="2"/>
      <c r="BY659" s="2"/>
      <c r="BZ659" s="2"/>
      <c r="CA659" s="2"/>
      <c r="CB659" s="2"/>
      <c r="CC659" s="2"/>
      <c r="CD659" s="2"/>
    </row>
    <row r="660" spans="12:82" x14ac:dyDescent="0.25"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Z660" s="2"/>
      <c r="BA660" s="2"/>
      <c r="BB660" s="2"/>
      <c r="BG660" s="2"/>
      <c r="BH660" s="2"/>
      <c r="BI660" s="2"/>
      <c r="BX660" s="2"/>
      <c r="BY660" s="2"/>
      <c r="BZ660" s="2"/>
      <c r="CA660" s="2"/>
      <c r="CB660" s="2"/>
      <c r="CC660" s="2"/>
      <c r="CD660" s="2"/>
    </row>
    <row r="661" spans="12:82" x14ac:dyDescent="0.25"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Z661" s="2"/>
      <c r="BA661" s="2"/>
      <c r="BB661" s="2"/>
      <c r="BG661" s="2"/>
      <c r="BH661" s="2"/>
      <c r="BI661" s="2"/>
      <c r="BX661" s="2"/>
      <c r="BY661" s="2"/>
      <c r="BZ661" s="2"/>
      <c r="CA661" s="2"/>
      <c r="CB661" s="2"/>
      <c r="CC661" s="2"/>
      <c r="CD661" s="2"/>
    </row>
    <row r="662" spans="12:82" x14ac:dyDescent="0.25"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Z662" s="2"/>
      <c r="BA662" s="2"/>
      <c r="BB662" s="2"/>
      <c r="BG662" s="2"/>
      <c r="BH662" s="2"/>
      <c r="BI662" s="2"/>
      <c r="BX662" s="2"/>
      <c r="BY662" s="2"/>
      <c r="BZ662" s="2"/>
      <c r="CA662" s="2"/>
      <c r="CB662" s="2"/>
      <c r="CC662" s="2"/>
      <c r="CD662" s="2"/>
    </row>
    <row r="663" spans="12:82" x14ac:dyDescent="0.25"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Z663" s="2"/>
      <c r="BA663" s="2"/>
      <c r="BB663" s="2"/>
      <c r="BG663" s="2"/>
      <c r="BH663" s="2"/>
      <c r="BI663" s="2"/>
      <c r="BX663" s="2"/>
      <c r="BY663" s="2"/>
      <c r="BZ663" s="2"/>
      <c r="CA663" s="2"/>
      <c r="CB663" s="2"/>
      <c r="CC663" s="2"/>
      <c r="CD663" s="2"/>
    </row>
    <row r="664" spans="12:82" x14ac:dyDescent="0.25"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Z664" s="2"/>
      <c r="BA664" s="2"/>
      <c r="BB664" s="2"/>
      <c r="BG664" s="2"/>
      <c r="BH664" s="2"/>
      <c r="BI664" s="2"/>
      <c r="BX664" s="2"/>
      <c r="BY664" s="2"/>
      <c r="BZ664" s="2"/>
      <c r="CA664" s="2"/>
      <c r="CB664" s="2"/>
      <c r="CC664" s="2"/>
      <c r="CD664" s="2"/>
    </row>
    <row r="665" spans="12:82" x14ac:dyDescent="0.25"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Z665" s="2"/>
      <c r="BA665" s="2"/>
      <c r="BB665" s="2"/>
      <c r="BG665" s="2"/>
      <c r="BH665" s="2"/>
      <c r="BI665" s="2"/>
      <c r="BX665" s="2"/>
      <c r="BY665" s="2"/>
      <c r="BZ665" s="2"/>
      <c r="CA665" s="2"/>
      <c r="CB665" s="2"/>
      <c r="CC665" s="2"/>
      <c r="CD665" s="2"/>
    </row>
    <row r="666" spans="12:82" x14ac:dyDescent="0.25"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Z666" s="2"/>
      <c r="BA666" s="2"/>
      <c r="BB666" s="2"/>
      <c r="BG666" s="2"/>
      <c r="BH666" s="2"/>
      <c r="BI666" s="2"/>
      <c r="BX666" s="2"/>
      <c r="BY666" s="2"/>
      <c r="BZ666" s="2"/>
      <c r="CA666" s="2"/>
      <c r="CB666" s="2"/>
      <c r="CC666" s="2"/>
      <c r="CD666" s="2"/>
    </row>
    <row r="667" spans="12:82" x14ac:dyDescent="0.25"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Z667" s="2"/>
      <c r="BA667" s="2"/>
      <c r="BB667" s="2"/>
      <c r="BG667" s="2"/>
      <c r="BH667" s="2"/>
      <c r="BI667" s="2"/>
      <c r="BX667" s="2"/>
      <c r="BY667" s="2"/>
      <c r="BZ667" s="2"/>
      <c r="CA667" s="2"/>
      <c r="CB667" s="2"/>
      <c r="CC667" s="2"/>
      <c r="CD667" s="2"/>
    </row>
    <row r="668" spans="12:82" x14ac:dyDescent="0.25"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Z668" s="2"/>
      <c r="BA668" s="2"/>
      <c r="BB668" s="2"/>
      <c r="BG668" s="2"/>
      <c r="BH668" s="2"/>
      <c r="BI668" s="2"/>
      <c r="BX668" s="2"/>
      <c r="BY668" s="2"/>
      <c r="BZ668" s="2"/>
      <c r="CA668" s="2"/>
      <c r="CB668" s="2"/>
      <c r="CC668" s="2"/>
      <c r="CD668" s="2"/>
    </row>
    <row r="669" spans="12:82" x14ac:dyDescent="0.25"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Z669" s="2"/>
      <c r="BA669" s="2"/>
      <c r="BB669" s="2"/>
      <c r="BG669" s="2"/>
      <c r="BH669" s="2"/>
      <c r="BI669" s="2"/>
      <c r="BX669" s="2"/>
      <c r="BY669" s="2"/>
      <c r="BZ669" s="2"/>
      <c r="CA669" s="2"/>
      <c r="CB669" s="2"/>
      <c r="CC669" s="2"/>
      <c r="CD669" s="2"/>
    </row>
    <row r="670" spans="12:82" x14ac:dyDescent="0.25"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Z670" s="2"/>
      <c r="BA670" s="2"/>
      <c r="BB670" s="2"/>
      <c r="BG670" s="2"/>
      <c r="BH670" s="2"/>
      <c r="BI670" s="2"/>
      <c r="BX670" s="2"/>
      <c r="BY670" s="2"/>
      <c r="BZ670" s="2"/>
      <c r="CA670" s="2"/>
      <c r="CB670" s="2"/>
      <c r="CC670" s="2"/>
      <c r="CD670" s="2"/>
    </row>
    <row r="671" spans="12:82" x14ac:dyDescent="0.25"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Z671" s="2"/>
      <c r="BA671" s="2"/>
      <c r="BB671" s="2"/>
      <c r="BG671" s="2"/>
      <c r="BH671" s="2"/>
      <c r="BI671" s="2"/>
      <c r="BX671" s="2"/>
      <c r="BY671" s="2"/>
      <c r="BZ671" s="2"/>
      <c r="CA671" s="2"/>
      <c r="CB671" s="2"/>
      <c r="CC671" s="2"/>
      <c r="CD671" s="2"/>
    </row>
    <row r="672" spans="12:82" x14ac:dyDescent="0.25"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Z672" s="2"/>
      <c r="BA672" s="2"/>
      <c r="BB672" s="2"/>
      <c r="BG672" s="2"/>
      <c r="BH672" s="2"/>
      <c r="BI672" s="2"/>
      <c r="BX672" s="2"/>
      <c r="BY672" s="2"/>
      <c r="BZ672" s="2"/>
      <c r="CA672" s="2"/>
      <c r="CB672" s="2"/>
      <c r="CC672" s="2"/>
      <c r="CD672" s="2"/>
    </row>
    <row r="673" spans="12:82" x14ac:dyDescent="0.25"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Z673" s="2"/>
      <c r="BA673" s="2"/>
      <c r="BB673" s="2"/>
      <c r="BG673" s="2"/>
      <c r="BH673" s="2"/>
      <c r="BI673" s="2"/>
      <c r="BX673" s="2"/>
      <c r="BY673" s="2"/>
      <c r="BZ673" s="2"/>
      <c r="CA673" s="2"/>
      <c r="CB673" s="2"/>
      <c r="CC673" s="2"/>
      <c r="CD673" s="2"/>
    </row>
    <row r="674" spans="12:82" x14ac:dyDescent="0.25"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Z674" s="2"/>
      <c r="BA674" s="2"/>
      <c r="BB674" s="2"/>
      <c r="BG674" s="2"/>
      <c r="BH674" s="2"/>
      <c r="BI674" s="2"/>
      <c r="BX674" s="2"/>
      <c r="BY674" s="2"/>
      <c r="BZ674" s="2"/>
      <c r="CA674" s="2"/>
      <c r="CB674" s="2"/>
      <c r="CC674" s="2"/>
      <c r="CD674" s="2"/>
    </row>
    <row r="675" spans="12:82" x14ac:dyDescent="0.25"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Z675" s="2"/>
      <c r="BA675" s="2"/>
      <c r="BB675" s="2"/>
      <c r="BG675" s="2"/>
      <c r="BH675" s="2"/>
      <c r="BI675" s="2"/>
      <c r="BX675" s="2"/>
      <c r="BY675" s="2"/>
      <c r="BZ675" s="2"/>
      <c r="CA675" s="2"/>
      <c r="CB675" s="2"/>
      <c r="CC675" s="2"/>
      <c r="CD675" s="2"/>
    </row>
    <row r="676" spans="12:82" x14ac:dyDescent="0.25"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Z676" s="2"/>
      <c r="BA676" s="2"/>
      <c r="BB676" s="2"/>
      <c r="BG676" s="2"/>
      <c r="BH676" s="2"/>
      <c r="BI676" s="2"/>
      <c r="BX676" s="2"/>
      <c r="BY676" s="2"/>
      <c r="BZ676" s="2"/>
      <c r="CA676" s="2"/>
      <c r="CB676" s="2"/>
      <c r="CC676" s="2"/>
      <c r="CD676" s="2"/>
    </row>
    <row r="677" spans="12:82" x14ac:dyDescent="0.25"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Z677" s="2"/>
      <c r="BA677" s="2"/>
      <c r="BB677" s="2"/>
      <c r="BG677" s="2"/>
      <c r="BH677" s="2"/>
      <c r="BI677" s="2"/>
      <c r="BX677" s="2"/>
      <c r="BY677" s="2"/>
      <c r="BZ677" s="2"/>
      <c r="CA677" s="2"/>
      <c r="CB677" s="2"/>
      <c r="CC677" s="2"/>
      <c r="CD677" s="2"/>
    </row>
    <row r="678" spans="12:82" x14ac:dyDescent="0.25"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Z678" s="2"/>
      <c r="BA678" s="2"/>
      <c r="BB678" s="2"/>
      <c r="BG678" s="2"/>
      <c r="BH678" s="2"/>
      <c r="BI678" s="2"/>
      <c r="BX678" s="2"/>
      <c r="BY678" s="2"/>
      <c r="BZ678" s="2"/>
      <c r="CA678" s="2"/>
      <c r="CB678" s="2"/>
      <c r="CC678" s="2"/>
      <c r="CD678" s="2"/>
    </row>
    <row r="679" spans="12:82" x14ac:dyDescent="0.25"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Z679" s="2"/>
      <c r="BA679" s="2"/>
      <c r="BB679" s="2"/>
      <c r="BG679" s="2"/>
      <c r="BH679" s="2"/>
      <c r="BI679" s="2"/>
      <c r="BX679" s="2"/>
      <c r="BY679" s="2"/>
      <c r="BZ679" s="2"/>
      <c r="CA679" s="2"/>
      <c r="CB679" s="2"/>
      <c r="CC679" s="2"/>
      <c r="CD679" s="2"/>
    </row>
    <row r="680" spans="12:82" x14ac:dyDescent="0.25"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Z680" s="2"/>
      <c r="BA680" s="2"/>
      <c r="BB680" s="2"/>
      <c r="BG680" s="2"/>
      <c r="BH680" s="2"/>
      <c r="BI680" s="2"/>
      <c r="BX680" s="2"/>
      <c r="BY680" s="2"/>
      <c r="BZ680" s="2"/>
      <c r="CA680" s="2"/>
      <c r="CB680" s="2"/>
      <c r="CC680" s="2"/>
      <c r="CD680" s="2"/>
    </row>
    <row r="681" spans="12:82" x14ac:dyDescent="0.25"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Z681" s="2"/>
      <c r="BA681" s="2"/>
      <c r="BB681" s="2"/>
      <c r="BG681" s="2"/>
      <c r="BH681" s="2"/>
      <c r="BI681" s="2"/>
      <c r="BX681" s="2"/>
      <c r="BY681" s="2"/>
      <c r="BZ681" s="2"/>
      <c r="CA681" s="2"/>
      <c r="CB681" s="2"/>
      <c r="CC681" s="2"/>
      <c r="CD681" s="2"/>
    </row>
    <row r="682" spans="12:82" x14ac:dyDescent="0.25"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Z682" s="2"/>
      <c r="BA682" s="2"/>
      <c r="BB682" s="2"/>
      <c r="BG682" s="2"/>
      <c r="BH682" s="2"/>
      <c r="BI682" s="2"/>
      <c r="BX682" s="2"/>
      <c r="BY682" s="2"/>
      <c r="BZ682" s="2"/>
      <c r="CA682" s="2"/>
      <c r="CB682" s="2"/>
      <c r="CC682" s="2"/>
      <c r="CD682" s="2"/>
    </row>
    <row r="683" spans="12:82" x14ac:dyDescent="0.25"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Z683" s="2"/>
      <c r="BA683" s="2"/>
      <c r="BB683" s="2"/>
      <c r="BG683" s="2"/>
      <c r="BH683" s="2"/>
      <c r="BI683" s="2"/>
      <c r="BX683" s="2"/>
      <c r="BY683" s="2"/>
      <c r="BZ683" s="2"/>
      <c r="CA683" s="2"/>
      <c r="CB683" s="2"/>
      <c r="CC683" s="2"/>
      <c r="CD683" s="2"/>
    </row>
    <row r="684" spans="12:82" x14ac:dyDescent="0.25"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Z684" s="2"/>
      <c r="BA684" s="2"/>
      <c r="BB684" s="2"/>
      <c r="BG684" s="2"/>
      <c r="BH684" s="2"/>
      <c r="BI684" s="2"/>
      <c r="BX684" s="2"/>
      <c r="BY684" s="2"/>
      <c r="BZ684" s="2"/>
      <c r="CA684" s="2"/>
      <c r="CB684" s="2"/>
      <c r="CC684" s="2"/>
      <c r="CD684" s="2"/>
    </row>
    <row r="685" spans="12:82" x14ac:dyDescent="0.25"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Z685" s="2"/>
      <c r="BA685" s="2"/>
      <c r="BB685" s="2"/>
      <c r="BG685" s="2"/>
      <c r="BH685" s="2"/>
      <c r="BI685" s="2"/>
      <c r="BX685" s="2"/>
      <c r="BY685" s="2"/>
      <c r="BZ685" s="2"/>
      <c r="CA685" s="2"/>
      <c r="CB685" s="2"/>
      <c r="CC685" s="2"/>
      <c r="CD685" s="2"/>
    </row>
    <row r="686" spans="12:82" x14ac:dyDescent="0.25"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Z686" s="2"/>
      <c r="BA686" s="2"/>
      <c r="BB686" s="2"/>
      <c r="BG686" s="2"/>
      <c r="BH686" s="2"/>
      <c r="BI686" s="2"/>
      <c r="BX686" s="2"/>
      <c r="BY686" s="2"/>
      <c r="BZ686" s="2"/>
      <c r="CA686" s="2"/>
      <c r="CB686" s="2"/>
      <c r="CC686" s="2"/>
      <c r="CD686" s="2"/>
    </row>
    <row r="687" spans="12:82" x14ac:dyDescent="0.25"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Z687" s="2"/>
      <c r="BA687" s="2"/>
      <c r="BB687" s="2"/>
      <c r="BG687" s="2"/>
      <c r="BH687" s="2"/>
      <c r="BI687" s="2"/>
      <c r="BX687" s="2"/>
      <c r="BY687" s="2"/>
      <c r="BZ687" s="2"/>
      <c r="CA687" s="2"/>
      <c r="CB687" s="2"/>
      <c r="CC687" s="2"/>
      <c r="CD687" s="2"/>
    </row>
    <row r="688" spans="12:82" x14ac:dyDescent="0.25"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Z688" s="2"/>
      <c r="BA688" s="2"/>
      <c r="BB688" s="2"/>
      <c r="BG688" s="2"/>
      <c r="BH688" s="2"/>
      <c r="BI688" s="2"/>
      <c r="BX688" s="2"/>
      <c r="BY688" s="2"/>
      <c r="BZ688" s="2"/>
      <c r="CA688" s="2"/>
      <c r="CB688" s="2"/>
      <c r="CC688" s="2"/>
      <c r="CD688" s="2"/>
    </row>
    <row r="689" spans="12:82" x14ac:dyDescent="0.25"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Z689" s="2"/>
      <c r="BA689" s="2"/>
      <c r="BB689" s="2"/>
      <c r="BG689" s="2"/>
      <c r="BH689" s="2"/>
      <c r="BI689" s="2"/>
      <c r="BX689" s="2"/>
      <c r="BY689" s="2"/>
      <c r="BZ689" s="2"/>
      <c r="CA689" s="2"/>
      <c r="CB689" s="2"/>
      <c r="CC689" s="2"/>
      <c r="CD689" s="2"/>
    </row>
    <row r="690" spans="12:82" x14ac:dyDescent="0.25"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Z690" s="2"/>
      <c r="BA690" s="2"/>
      <c r="BB690" s="2"/>
      <c r="BG690" s="2"/>
      <c r="BH690" s="2"/>
      <c r="BI690" s="2"/>
      <c r="BX690" s="2"/>
      <c r="BY690" s="2"/>
      <c r="BZ690" s="2"/>
      <c r="CA690" s="2"/>
      <c r="CB690" s="2"/>
      <c r="CC690" s="2"/>
      <c r="CD690" s="2"/>
    </row>
    <row r="691" spans="12:82" x14ac:dyDescent="0.25"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Z691" s="2"/>
      <c r="BA691" s="2"/>
      <c r="BB691" s="2"/>
      <c r="BG691" s="2"/>
      <c r="BH691" s="2"/>
      <c r="BI691" s="2"/>
      <c r="BX691" s="2"/>
      <c r="BY691" s="2"/>
      <c r="BZ691" s="2"/>
      <c r="CA691" s="2"/>
      <c r="CB691" s="2"/>
      <c r="CC691" s="2"/>
      <c r="CD691" s="2"/>
    </row>
    <row r="692" spans="12:82" x14ac:dyDescent="0.25"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Z692" s="2"/>
      <c r="BA692" s="2"/>
      <c r="BB692" s="2"/>
      <c r="BG692" s="2"/>
      <c r="BH692" s="2"/>
      <c r="BI692" s="2"/>
      <c r="BX692" s="2"/>
      <c r="BY692" s="2"/>
      <c r="BZ692" s="2"/>
      <c r="CA692" s="2"/>
      <c r="CB692" s="2"/>
      <c r="CC692" s="2"/>
      <c r="CD692" s="2"/>
    </row>
    <row r="693" spans="12:82" x14ac:dyDescent="0.25"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Z693" s="2"/>
      <c r="BA693" s="2"/>
      <c r="BB693" s="2"/>
      <c r="BG693" s="2"/>
      <c r="BH693" s="2"/>
      <c r="BI693" s="2"/>
      <c r="BX693" s="2"/>
      <c r="BY693" s="2"/>
      <c r="BZ693" s="2"/>
      <c r="CA693" s="2"/>
      <c r="CB693" s="2"/>
      <c r="CC693" s="2"/>
      <c r="CD693" s="2"/>
    </row>
    <row r="694" spans="12:82" x14ac:dyDescent="0.25"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Z694" s="2"/>
      <c r="BA694" s="2"/>
      <c r="BB694" s="2"/>
      <c r="BG694" s="2"/>
      <c r="BH694" s="2"/>
      <c r="BI694" s="2"/>
      <c r="BX694" s="2"/>
      <c r="BY694" s="2"/>
      <c r="BZ694" s="2"/>
      <c r="CA694" s="2"/>
      <c r="CB694" s="2"/>
      <c r="CC694" s="2"/>
      <c r="CD694" s="2"/>
    </row>
    <row r="695" spans="12:82" x14ac:dyDescent="0.25"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Z695" s="2"/>
      <c r="BA695" s="2"/>
      <c r="BB695" s="2"/>
      <c r="BG695" s="2"/>
      <c r="BH695" s="2"/>
      <c r="BI695" s="2"/>
      <c r="BX695" s="2"/>
      <c r="BY695" s="2"/>
      <c r="BZ695" s="2"/>
      <c r="CA695" s="2"/>
      <c r="CB695" s="2"/>
      <c r="CC695" s="2"/>
      <c r="CD695" s="2"/>
    </row>
    <row r="696" spans="12:82" x14ac:dyDescent="0.25"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Z696" s="2"/>
      <c r="BA696" s="2"/>
      <c r="BB696" s="2"/>
      <c r="BG696" s="2"/>
      <c r="BH696" s="2"/>
      <c r="BI696" s="2"/>
      <c r="BX696" s="2"/>
      <c r="BY696" s="2"/>
      <c r="BZ696" s="2"/>
      <c r="CA696" s="2"/>
      <c r="CB696" s="2"/>
      <c r="CC696" s="2"/>
      <c r="CD696" s="2"/>
    </row>
    <row r="697" spans="12:82" x14ac:dyDescent="0.25"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Z697" s="2"/>
      <c r="BA697" s="2"/>
      <c r="BB697" s="2"/>
      <c r="BG697" s="2"/>
      <c r="BH697" s="2"/>
      <c r="BI697" s="2"/>
      <c r="BX697" s="2"/>
      <c r="BY697" s="2"/>
      <c r="BZ697" s="2"/>
      <c r="CA697" s="2"/>
      <c r="CB697" s="2"/>
      <c r="CC697" s="2"/>
      <c r="CD697" s="2"/>
    </row>
    <row r="698" spans="12:82" x14ac:dyDescent="0.25"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Z698" s="2"/>
      <c r="BA698" s="2"/>
      <c r="BB698" s="2"/>
      <c r="BG698" s="2"/>
      <c r="BH698" s="2"/>
      <c r="BI698" s="2"/>
      <c r="BX698" s="2"/>
      <c r="BY698" s="2"/>
      <c r="BZ698" s="2"/>
      <c r="CA698" s="2"/>
      <c r="CB698" s="2"/>
      <c r="CC698" s="2"/>
      <c r="CD698" s="2"/>
    </row>
    <row r="699" spans="12:82" x14ac:dyDescent="0.25"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Z699" s="2"/>
      <c r="BA699" s="2"/>
      <c r="BB699" s="2"/>
      <c r="BG699" s="2"/>
      <c r="BH699" s="2"/>
      <c r="BI699" s="2"/>
      <c r="BX699" s="2"/>
      <c r="BY699" s="2"/>
      <c r="BZ699" s="2"/>
      <c r="CA699" s="2"/>
      <c r="CB699" s="2"/>
      <c r="CC699" s="2"/>
      <c r="CD699" s="2"/>
    </row>
    <row r="700" spans="12:82" x14ac:dyDescent="0.25"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Z700" s="2"/>
      <c r="BA700" s="2"/>
      <c r="BB700" s="2"/>
      <c r="BG700" s="2"/>
      <c r="BH700" s="2"/>
      <c r="BI700" s="2"/>
      <c r="BX700" s="2"/>
      <c r="BY700" s="2"/>
      <c r="BZ700" s="2"/>
      <c r="CA700" s="2"/>
      <c r="CB700" s="2"/>
      <c r="CC700" s="2"/>
      <c r="CD700" s="2"/>
    </row>
    <row r="701" spans="12:82" x14ac:dyDescent="0.25"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Z701" s="2"/>
      <c r="BA701" s="2"/>
      <c r="BB701" s="2"/>
      <c r="BG701" s="2"/>
      <c r="BH701" s="2"/>
      <c r="BI701" s="2"/>
      <c r="BX701" s="2"/>
      <c r="BY701" s="2"/>
      <c r="BZ701" s="2"/>
      <c r="CA701" s="2"/>
      <c r="CB701" s="2"/>
      <c r="CC701" s="2"/>
      <c r="CD701" s="2"/>
    </row>
    <row r="702" spans="12:82" x14ac:dyDescent="0.25"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Z702" s="2"/>
      <c r="BA702" s="2"/>
      <c r="BB702" s="2"/>
      <c r="BG702" s="2"/>
      <c r="BH702" s="2"/>
      <c r="BI702" s="2"/>
      <c r="BX702" s="2"/>
      <c r="BY702" s="2"/>
      <c r="BZ702" s="2"/>
      <c r="CA702" s="2"/>
      <c r="CB702" s="2"/>
      <c r="CC702" s="2"/>
      <c r="CD702" s="2"/>
    </row>
    <row r="703" spans="12:82" x14ac:dyDescent="0.25"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Z703" s="2"/>
      <c r="BA703" s="2"/>
      <c r="BB703" s="2"/>
      <c r="BG703" s="2"/>
      <c r="BH703" s="2"/>
      <c r="BI703" s="2"/>
      <c r="BX703" s="2"/>
      <c r="BY703" s="2"/>
      <c r="BZ703" s="2"/>
      <c r="CA703" s="2"/>
      <c r="CB703" s="2"/>
      <c r="CC703" s="2"/>
      <c r="CD703" s="2"/>
    </row>
    <row r="704" spans="12:82" x14ac:dyDescent="0.25"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Z704" s="2"/>
      <c r="BA704" s="2"/>
      <c r="BB704" s="2"/>
      <c r="BG704" s="2"/>
      <c r="BH704" s="2"/>
      <c r="BI704" s="2"/>
      <c r="BX704" s="2"/>
      <c r="BY704" s="2"/>
      <c r="BZ704" s="2"/>
      <c r="CA704" s="2"/>
      <c r="CB704" s="2"/>
      <c r="CC704" s="2"/>
      <c r="CD704" s="2"/>
    </row>
    <row r="705" spans="12:82" x14ac:dyDescent="0.25"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Z705" s="2"/>
      <c r="BA705" s="2"/>
      <c r="BB705" s="2"/>
      <c r="BG705" s="2"/>
      <c r="BH705" s="2"/>
      <c r="BI705" s="2"/>
      <c r="BX705" s="2"/>
      <c r="BY705" s="2"/>
      <c r="BZ705" s="2"/>
      <c r="CA705" s="2"/>
      <c r="CB705" s="2"/>
      <c r="CC705" s="2"/>
      <c r="CD705" s="2"/>
    </row>
    <row r="706" spans="12:82" x14ac:dyDescent="0.25"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Z706" s="2"/>
      <c r="BA706" s="2"/>
      <c r="BB706" s="2"/>
      <c r="BG706" s="2"/>
      <c r="BH706" s="2"/>
      <c r="BI706" s="2"/>
      <c r="BX706" s="2"/>
      <c r="BY706" s="2"/>
      <c r="BZ706" s="2"/>
      <c r="CA706" s="2"/>
      <c r="CB706" s="2"/>
      <c r="CC706" s="2"/>
      <c r="CD706" s="2"/>
    </row>
    <row r="707" spans="12:82" x14ac:dyDescent="0.25"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Z707" s="2"/>
      <c r="BA707" s="2"/>
      <c r="BB707" s="2"/>
      <c r="BG707" s="2"/>
      <c r="BH707" s="2"/>
      <c r="BI707" s="2"/>
      <c r="BX707" s="2"/>
      <c r="BY707" s="2"/>
      <c r="BZ707" s="2"/>
      <c r="CA707" s="2"/>
      <c r="CB707" s="2"/>
      <c r="CC707" s="2"/>
      <c r="CD707" s="2"/>
    </row>
    <row r="708" spans="12:82" x14ac:dyDescent="0.25"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Z708" s="2"/>
      <c r="BA708" s="2"/>
      <c r="BB708" s="2"/>
      <c r="BG708" s="2"/>
      <c r="BH708" s="2"/>
      <c r="BI708" s="2"/>
      <c r="BX708" s="2"/>
      <c r="BY708" s="2"/>
      <c r="BZ708" s="2"/>
      <c r="CA708" s="2"/>
      <c r="CB708" s="2"/>
      <c r="CC708" s="2"/>
      <c r="CD708" s="2"/>
    </row>
    <row r="709" spans="12:82" x14ac:dyDescent="0.25"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Z709" s="2"/>
      <c r="BA709" s="2"/>
      <c r="BB709" s="2"/>
      <c r="BG709" s="2"/>
      <c r="BH709" s="2"/>
      <c r="BI709" s="2"/>
      <c r="BX709" s="2"/>
      <c r="BY709" s="2"/>
      <c r="BZ709" s="2"/>
      <c r="CA709" s="2"/>
      <c r="CB709" s="2"/>
      <c r="CC709" s="2"/>
      <c r="CD709" s="2"/>
    </row>
    <row r="710" spans="12:82" x14ac:dyDescent="0.25"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Z710" s="2"/>
      <c r="BA710" s="2"/>
      <c r="BB710" s="2"/>
      <c r="BG710" s="2"/>
      <c r="BH710" s="2"/>
      <c r="BI710" s="2"/>
      <c r="BX710" s="2"/>
      <c r="BY710" s="2"/>
      <c r="BZ710" s="2"/>
      <c r="CA710" s="2"/>
      <c r="CB710" s="2"/>
      <c r="CC710" s="2"/>
      <c r="CD710" s="2"/>
    </row>
    <row r="711" spans="12:82" x14ac:dyDescent="0.25"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Z711" s="2"/>
      <c r="BA711" s="2"/>
      <c r="BB711" s="2"/>
      <c r="BG711" s="2"/>
      <c r="BH711" s="2"/>
      <c r="BI711" s="2"/>
      <c r="BX711" s="2"/>
      <c r="BY711" s="2"/>
      <c r="BZ711" s="2"/>
      <c r="CA711" s="2"/>
      <c r="CB711" s="2"/>
      <c r="CC711" s="2"/>
      <c r="CD711" s="2"/>
    </row>
    <row r="712" spans="12:82" x14ac:dyDescent="0.25"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Z712" s="2"/>
      <c r="BA712" s="2"/>
      <c r="BB712" s="2"/>
      <c r="BG712" s="2"/>
      <c r="BH712" s="2"/>
      <c r="BI712" s="2"/>
      <c r="BX712" s="2"/>
      <c r="BY712" s="2"/>
      <c r="BZ712" s="2"/>
      <c r="CA712" s="2"/>
      <c r="CB712" s="2"/>
      <c r="CC712" s="2"/>
      <c r="CD712" s="2"/>
    </row>
    <row r="713" spans="12:82" x14ac:dyDescent="0.25"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Z713" s="2"/>
      <c r="BA713" s="2"/>
      <c r="BB713" s="2"/>
      <c r="BG713" s="2"/>
      <c r="BH713" s="2"/>
      <c r="BI713" s="2"/>
      <c r="BX713" s="2"/>
      <c r="BY713" s="2"/>
      <c r="BZ713" s="2"/>
      <c r="CA713" s="2"/>
      <c r="CB713" s="2"/>
      <c r="CC713" s="2"/>
      <c r="CD713" s="2"/>
    </row>
    <row r="714" spans="12:82" x14ac:dyDescent="0.25"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Z714" s="2"/>
      <c r="BA714" s="2"/>
      <c r="BB714" s="2"/>
      <c r="BG714" s="2"/>
      <c r="BH714" s="2"/>
      <c r="BI714" s="2"/>
      <c r="BX714" s="2"/>
      <c r="BY714" s="2"/>
      <c r="BZ714" s="2"/>
      <c r="CA714" s="2"/>
      <c r="CB714" s="2"/>
      <c r="CC714" s="2"/>
      <c r="CD714" s="2"/>
    </row>
    <row r="715" spans="12:82" x14ac:dyDescent="0.25"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Z715" s="2"/>
      <c r="BA715" s="2"/>
      <c r="BB715" s="2"/>
      <c r="BG715" s="2"/>
      <c r="BH715" s="2"/>
      <c r="BI715" s="2"/>
      <c r="BX715" s="2"/>
      <c r="BY715" s="2"/>
      <c r="BZ715" s="2"/>
      <c r="CA715" s="2"/>
      <c r="CB715" s="2"/>
      <c r="CC715" s="2"/>
      <c r="CD715" s="2"/>
    </row>
    <row r="716" spans="12:82" x14ac:dyDescent="0.25"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Z716" s="2"/>
      <c r="BA716" s="2"/>
      <c r="BB716" s="2"/>
      <c r="BG716" s="2"/>
      <c r="BH716" s="2"/>
      <c r="BI716" s="2"/>
      <c r="BX716" s="2"/>
      <c r="BY716" s="2"/>
      <c r="BZ716" s="2"/>
      <c r="CA716" s="2"/>
      <c r="CB716" s="2"/>
      <c r="CC716" s="2"/>
      <c r="CD716" s="2"/>
    </row>
    <row r="717" spans="12:82" x14ac:dyDescent="0.25"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Z717" s="2"/>
      <c r="BA717" s="2"/>
      <c r="BB717" s="2"/>
      <c r="BG717" s="2"/>
      <c r="BH717" s="2"/>
      <c r="BI717" s="2"/>
      <c r="BX717" s="2"/>
      <c r="BY717" s="2"/>
      <c r="BZ717" s="2"/>
      <c r="CA717" s="2"/>
      <c r="CB717" s="2"/>
      <c r="CC717" s="2"/>
      <c r="CD717" s="2"/>
    </row>
    <row r="718" spans="12:82" x14ac:dyDescent="0.25"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Z718" s="2"/>
      <c r="BA718" s="2"/>
      <c r="BB718" s="2"/>
      <c r="BG718" s="2"/>
      <c r="BH718" s="2"/>
      <c r="BI718" s="2"/>
      <c r="BX718" s="2"/>
      <c r="BY718" s="2"/>
      <c r="BZ718" s="2"/>
      <c r="CA718" s="2"/>
      <c r="CB718" s="2"/>
      <c r="CC718" s="2"/>
      <c r="CD718" s="2"/>
    </row>
    <row r="719" spans="12:82" x14ac:dyDescent="0.25"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Z719" s="2"/>
      <c r="BA719" s="2"/>
      <c r="BB719" s="2"/>
      <c r="BG719" s="2"/>
      <c r="BH719" s="2"/>
      <c r="BI719" s="2"/>
      <c r="BX719" s="2"/>
      <c r="BY719" s="2"/>
      <c r="BZ719" s="2"/>
      <c r="CA719" s="2"/>
      <c r="CB719" s="2"/>
      <c r="CC719" s="2"/>
      <c r="CD719" s="2"/>
    </row>
    <row r="720" spans="12:82" x14ac:dyDescent="0.25"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Z720" s="2"/>
      <c r="BA720" s="2"/>
      <c r="BB720" s="2"/>
      <c r="BG720" s="2"/>
      <c r="BH720" s="2"/>
      <c r="BI720" s="2"/>
      <c r="BX720" s="2"/>
      <c r="BY720" s="2"/>
      <c r="BZ720" s="2"/>
      <c r="CA720" s="2"/>
      <c r="CB720" s="2"/>
      <c r="CC720" s="2"/>
      <c r="CD720" s="2"/>
    </row>
    <row r="721" spans="12:82" x14ac:dyDescent="0.25"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Z721" s="2"/>
      <c r="BA721" s="2"/>
      <c r="BB721" s="2"/>
      <c r="BG721" s="2"/>
      <c r="BH721" s="2"/>
      <c r="BI721" s="2"/>
      <c r="BX721" s="2"/>
      <c r="BY721" s="2"/>
      <c r="BZ721" s="2"/>
      <c r="CA721" s="2"/>
      <c r="CB721" s="2"/>
      <c r="CC721" s="2"/>
      <c r="CD721" s="2"/>
    </row>
    <row r="722" spans="12:82" x14ac:dyDescent="0.25"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Z722" s="2"/>
      <c r="BA722" s="2"/>
      <c r="BB722" s="2"/>
      <c r="BG722" s="2"/>
      <c r="BH722" s="2"/>
      <c r="BI722" s="2"/>
      <c r="BX722" s="2"/>
      <c r="BY722" s="2"/>
      <c r="BZ722" s="2"/>
      <c r="CA722" s="2"/>
      <c r="CB722" s="2"/>
      <c r="CC722" s="2"/>
      <c r="CD722" s="2"/>
    </row>
    <row r="723" spans="12:82" x14ac:dyDescent="0.25"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Z723" s="2"/>
      <c r="BA723" s="2"/>
      <c r="BB723" s="2"/>
      <c r="BG723" s="2"/>
      <c r="BH723" s="2"/>
      <c r="BI723" s="2"/>
      <c r="BX723" s="2"/>
      <c r="BY723" s="2"/>
      <c r="BZ723" s="2"/>
      <c r="CA723" s="2"/>
      <c r="CB723" s="2"/>
      <c r="CC723" s="2"/>
      <c r="CD723" s="2"/>
    </row>
    <row r="724" spans="12:82" x14ac:dyDescent="0.25"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Z724" s="2"/>
      <c r="BA724" s="2"/>
      <c r="BB724" s="2"/>
      <c r="BG724" s="2"/>
      <c r="BH724" s="2"/>
      <c r="BI724" s="2"/>
      <c r="BX724" s="2"/>
      <c r="BY724" s="2"/>
      <c r="BZ724" s="2"/>
      <c r="CA724" s="2"/>
      <c r="CB724" s="2"/>
      <c r="CC724" s="2"/>
      <c r="CD724" s="2"/>
    </row>
    <row r="725" spans="12:82" x14ac:dyDescent="0.25"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Z725" s="2"/>
      <c r="BA725" s="2"/>
      <c r="BB725" s="2"/>
      <c r="BG725" s="2"/>
      <c r="BH725" s="2"/>
      <c r="BI725" s="2"/>
      <c r="BX725" s="2"/>
      <c r="BY725" s="2"/>
      <c r="BZ725" s="2"/>
      <c r="CA725" s="2"/>
      <c r="CB725" s="2"/>
      <c r="CC725" s="2"/>
      <c r="CD725" s="2"/>
    </row>
    <row r="726" spans="12:82" x14ac:dyDescent="0.25"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Z726" s="2"/>
      <c r="BA726" s="2"/>
      <c r="BB726" s="2"/>
      <c r="BG726" s="2"/>
      <c r="BH726" s="2"/>
      <c r="BI726" s="2"/>
      <c r="BX726" s="2"/>
      <c r="BY726" s="2"/>
      <c r="BZ726" s="2"/>
      <c r="CA726" s="2"/>
      <c r="CB726" s="2"/>
      <c r="CC726" s="2"/>
      <c r="CD726" s="2"/>
    </row>
    <row r="727" spans="12:82" x14ac:dyDescent="0.25"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Z727" s="2"/>
      <c r="BA727" s="2"/>
      <c r="BB727" s="2"/>
      <c r="BG727" s="2"/>
      <c r="BH727" s="2"/>
      <c r="BI727" s="2"/>
      <c r="BX727" s="2"/>
      <c r="BY727" s="2"/>
      <c r="BZ727" s="2"/>
      <c r="CA727" s="2"/>
      <c r="CB727" s="2"/>
      <c r="CC727" s="2"/>
      <c r="CD727" s="2"/>
    </row>
    <row r="728" spans="12:82" x14ac:dyDescent="0.25"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Z728" s="2"/>
      <c r="BA728" s="2"/>
      <c r="BB728" s="2"/>
      <c r="BG728" s="2"/>
      <c r="BH728" s="2"/>
      <c r="BI728" s="2"/>
      <c r="BX728" s="2"/>
      <c r="BY728" s="2"/>
      <c r="BZ728" s="2"/>
      <c r="CA728" s="2"/>
      <c r="CB728" s="2"/>
      <c r="CC728" s="2"/>
      <c r="CD728" s="2"/>
    </row>
    <row r="729" spans="12:82" x14ac:dyDescent="0.25"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Z729" s="2"/>
      <c r="BA729" s="2"/>
      <c r="BB729" s="2"/>
      <c r="BG729" s="2"/>
      <c r="BH729" s="2"/>
      <c r="BI729" s="2"/>
      <c r="BX729" s="2"/>
      <c r="BY729" s="2"/>
      <c r="BZ729" s="2"/>
      <c r="CA729" s="2"/>
      <c r="CB729" s="2"/>
      <c r="CC729" s="2"/>
      <c r="CD729" s="2"/>
    </row>
    <row r="730" spans="12:82" x14ac:dyDescent="0.25"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Z730" s="2"/>
      <c r="BA730" s="2"/>
      <c r="BB730" s="2"/>
      <c r="BG730" s="2"/>
      <c r="BH730" s="2"/>
      <c r="BI730" s="2"/>
      <c r="BX730" s="2"/>
      <c r="BY730" s="2"/>
      <c r="BZ730" s="2"/>
      <c r="CA730" s="2"/>
      <c r="CB730" s="2"/>
      <c r="CC730" s="2"/>
      <c r="CD730" s="2"/>
    </row>
    <row r="731" spans="12:82" x14ac:dyDescent="0.25"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Z731" s="2"/>
      <c r="BA731" s="2"/>
      <c r="BB731" s="2"/>
      <c r="BG731" s="2"/>
      <c r="BH731" s="2"/>
      <c r="BI731" s="2"/>
      <c r="BX731" s="2"/>
      <c r="BY731" s="2"/>
      <c r="BZ731" s="2"/>
      <c r="CA731" s="2"/>
      <c r="CB731" s="2"/>
      <c r="CC731" s="2"/>
      <c r="CD731" s="2"/>
    </row>
    <row r="732" spans="12:82" x14ac:dyDescent="0.25"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Z732" s="2"/>
      <c r="BA732" s="2"/>
      <c r="BB732" s="2"/>
      <c r="BG732" s="2"/>
      <c r="BH732" s="2"/>
      <c r="BI732" s="2"/>
      <c r="BX732" s="2"/>
      <c r="BY732" s="2"/>
      <c r="BZ732" s="2"/>
      <c r="CA732" s="2"/>
      <c r="CB732" s="2"/>
      <c r="CC732" s="2"/>
      <c r="CD732" s="2"/>
    </row>
    <row r="733" spans="12:82" x14ac:dyDescent="0.25"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Z733" s="2"/>
      <c r="BA733" s="2"/>
      <c r="BB733" s="2"/>
      <c r="BG733" s="2"/>
      <c r="BH733" s="2"/>
      <c r="BI733" s="2"/>
      <c r="BX733" s="2"/>
      <c r="BY733" s="2"/>
      <c r="BZ733" s="2"/>
      <c r="CA733" s="2"/>
      <c r="CB733" s="2"/>
      <c r="CC733" s="2"/>
      <c r="CD733" s="2"/>
    </row>
    <row r="734" spans="12:82" x14ac:dyDescent="0.25"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Z734" s="2"/>
      <c r="BA734" s="2"/>
      <c r="BB734" s="2"/>
      <c r="BG734" s="2"/>
      <c r="BH734" s="2"/>
      <c r="BI734" s="2"/>
      <c r="BX734" s="2"/>
      <c r="BY734" s="2"/>
      <c r="BZ734" s="2"/>
      <c r="CA734" s="2"/>
      <c r="CB734" s="2"/>
      <c r="CC734" s="2"/>
      <c r="CD734" s="2"/>
    </row>
    <row r="735" spans="12:82" x14ac:dyDescent="0.25"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Z735" s="2"/>
      <c r="BA735" s="2"/>
      <c r="BB735" s="2"/>
      <c r="BG735" s="2"/>
      <c r="BH735" s="2"/>
      <c r="BI735" s="2"/>
      <c r="BX735" s="2"/>
      <c r="BY735" s="2"/>
      <c r="BZ735" s="2"/>
      <c r="CA735" s="2"/>
      <c r="CB735" s="2"/>
      <c r="CC735" s="2"/>
      <c r="CD735" s="2"/>
    </row>
    <row r="736" spans="12:82" x14ac:dyDescent="0.25"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Z736" s="2"/>
      <c r="BA736" s="2"/>
      <c r="BB736" s="2"/>
      <c r="BG736" s="2"/>
      <c r="BH736" s="2"/>
      <c r="BI736" s="2"/>
      <c r="BX736" s="2"/>
      <c r="BY736" s="2"/>
      <c r="BZ736" s="2"/>
      <c r="CA736" s="2"/>
      <c r="CB736" s="2"/>
      <c r="CC736" s="2"/>
      <c r="CD736" s="2"/>
    </row>
    <row r="737" spans="12:82" x14ac:dyDescent="0.25"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Z737" s="2"/>
      <c r="BA737" s="2"/>
      <c r="BB737" s="2"/>
      <c r="BG737" s="2"/>
      <c r="BH737" s="2"/>
      <c r="BI737" s="2"/>
      <c r="BX737" s="2"/>
      <c r="BY737" s="2"/>
      <c r="BZ737" s="2"/>
      <c r="CA737" s="2"/>
      <c r="CB737" s="2"/>
      <c r="CC737" s="2"/>
      <c r="CD737" s="2"/>
    </row>
    <row r="738" spans="12:82" x14ac:dyDescent="0.25"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Z738" s="2"/>
      <c r="BA738" s="2"/>
      <c r="BB738" s="2"/>
      <c r="BG738" s="2"/>
      <c r="BH738" s="2"/>
      <c r="BI738" s="2"/>
      <c r="BX738" s="2"/>
      <c r="BY738" s="2"/>
      <c r="BZ738" s="2"/>
      <c r="CA738" s="2"/>
      <c r="CB738" s="2"/>
      <c r="CC738" s="2"/>
      <c r="CD738" s="2"/>
    </row>
    <row r="739" spans="12:82" x14ac:dyDescent="0.25"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Z739" s="2"/>
      <c r="BA739" s="2"/>
      <c r="BB739" s="2"/>
      <c r="BG739" s="2"/>
      <c r="BH739" s="2"/>
      <c r="BI739" s="2"/>
      <c r="BX739" s="2"/>
      <c r="BY739" s="2"/>
      <c r="BZ739" s="2"/>
      <c r="CA739" s="2"/>
      <c r="CB739" s="2"/>
      <c r="CC739" s="2"/>
      <c r="CD739" s="2"/>
    </row>
    <row r="740" spans="12:82" x14ac:dyDescent="0.25"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Z740" s="2"/>
      <c r="BA740" s="2"/>
      <c r="BB740" s="2"/>
      <c r="BG740" s="2"/>
      <c r="BH740" s="2"/>
      <c r="BI740" s="2"/>
      <c r="BX740" s="2"/>
      <c r="BY740" s="2"/>
      <c r="BZ740" s="2"/>
      <c r="CA740" s="2"/>
      <c r="CB740" s="2"/>
      <c r="CC740" s="2"/>
      <c r="CD740" s="2"/>
    </row>
    <row r="741" spans="12:82" x14ac:dyDescent="0.25"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Z741" s="2"/>
      <c r="BA741" s="2"/>
      <c r="BB741" s="2"/>
      <c r="BG741" s="2"/>
      <c r="BH741" s="2"/>
      <c r="BI741" s="2"/>
      <c r="BX741" s="2"/>
      <c r="BY741" s="2"/>
      <c r="BZ741" s="2"/>
      <c r="CA741" s="2"/>
      <c r="CB741" s="2"/>
      <c r="CC741" s="2"/>
      <c r="CD741" s="2"/>
    </row>
    <row r="742" spans="12:82" x14ac:dyDescent="0.25"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Z742" s="2"/>
      <c r="BA742" s="2"/>
      <c r="BB742" s="2"/>
      <c r="BG742" s="2"/>
      <c r="BH742" s="2"/>
      <c r="BI742" s="2"/>
      <c r="BX742" s="2"/>
      <c r="BY742" s="2"/>
      <c r="BZ742" s="2"/>
      <c r="CA742" s="2"/>
      <c r="CB742" s="2"/>
      <c r="CC742" s="2"/>
      <c r="CD742" s="2"/>
    </row>
    <row r="743" spans="12:82" x14ac:dyDescent="0.25"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Z743" s="2"/>
      <c r="BA743" s="2"/>
      <c r="BB743" s="2"/>
      <c r="BG743" s="2"/>
      <c r="BH743" s="2"/>
      <c r="BI743" s="2"/>
      <c r="BX743" s="2"/>
      <c r="BY743" s="2"/>
      <c r="BZ743" s="2"/>
      <c r="CA743" s="2"/>
      <c r="CB743" s="2"/>
      <c r="CC743" s="2"/>
      <c r="CD743" s="2"/>
    </row>
    <row r="744" spans="12:82" x14ac:dyDescent="0.25"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Z744" s="2"/>
      <c r="BA744" s="2"/>
      <c r="BB744" s="2"/>
      <c r="BG744" s="2"/>
      <c r="BH744" s="2"/>
      <c r="BI744" s="2"/>
      <c r="BX744" s="2"/>
      <c r="BY744" s="2"/>
      <c r="BZ744" s="2"/>
      <c r="CA744" s="2"/>
      <c r="CB744" s="2"/>
      <c r="CC744" s="2"/>
      <c r="CD744" s="2"/>
    </row>
    <row r="745" spans="12:82" x14ac:dyDescent="0.25"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Z745" s="2"/>
      <c r="BA745" s="2"/>
      <c r="BB745" s="2"/>
      <c r="BG745" s="2"/>
      <c r="BH745" s="2"/>
      <c r="BI745" s="2"/>
      <c r="BX745" s="2"/>
      <c r="BY745" s="2"/>
      <c r="BZ745" s="2"/>
      <c r="CA745" s="2"/>
      <c r="CB745" s="2"/>
      <c r="CC745" s="2"/>
      <c r="CD745" s="2"/>
    </row>
    <row r="746" spans="12:82" x14ac:dyDescent="0.25"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Z746" s="2"/>
      <c r="BA746" s="2"/>
      <c r="BB746" s="2"/>
      <c r="BG746" s="2"/>
      <c r="BH746" s="2"/>
      <c r="BI746" s="2"/>
      <c r="BX746" s="2"/>
      <c r="BY746" s="2"/>
      <c r="BZ746" s="2"/>
      <c r="CA746" s="2"/>
      <c r="CB746" s="2"/>
      <c r="CC746" s="2"/>
      <c r="CD746" s="2"/>
    </row>
    <row r="747" spans="12:82" x14ac:dyDescent="0.25"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Z747" s="2"/>
      <c r="BA747" s="2"/>
      <c r="BB747" s="2"/>
      <c r="BG747" s="2"/>
      <c r="BH747" s="2"/>
      <c r="BI747" s="2"/>
      <c r="BX747" s="2"/>
      <c r="BY747" s="2"/>
      <c r="BZ747" s="2"/>
      <c r="CA747" s="2"/>
      <c r="CB747" s="2"/>
      <c r="CC747" s="2"/>
      <c r="CD747" s="2"/>
    </row>
    <row r="748" spans="12:82" x14ac:dyDescent="0.25"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Z748" s="2"/>
      <c r="BA748" s="2"/>
      <c r="BB748" s="2"/>
      <c r="BG748" s="2"/>
      <c r="BH748" s="2"/>
      <c r="BI748" s="2"/>
      <c r="BX748" s="2"/>
      <c r="BY748" s="2"/>
      <c r="BZ748" s="2"/>
      <c r="CA748" s="2"/>
      <c r="CB748" s="2"/>
      <c r="CC748" s="2"/>
      <c r="CD748" s="2"/>
    </row>
    <row r="749" spans="12:82" x14ac:dyDescent="0.25"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Z749" s="2"/>
      <c r="BA749" s="2"/>
      <c r="BB749" s="2"/>
      <c r="BG749" s="2"/>
      <c r="BH749" s="2"/>
      <c r="BI749" s="2"/>
      <c r="BX749" s="2"/>
      <c r="BY749" s="2"/>
      <c r="BZ749" s="2"/>
      <c r="CA749" s="2"/>
      <c r="CB749" s="2"/>
      <c r="CC749" s="2"/>
      <c r="CD749" s="2"/>
    </row>
    <row r="750" spans="12:82" x14ac:dyDescent="0.25"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Z750" s="2"/>
      <c r="BA750" s="2"/>
      <c r="BB750" s="2"/>
      <c r="BG750" s="2"/>
      <c r="BH750" s="2"/>
      <c r="BI750" s="2"/>
      <c r="BX750" s="2"/>
      <c r="BY750" s="2"/>
      <c r="BZ750" s="2"/>
      <c r="CA750" s="2"/>
      <c r="CB750" s="2"/>
      <c r="CC750" s="2"/>
      <c r="CD750" s="2"/>
    </row>
    <row r="751" spans="12:82" x14ac:dyDescent="0.25"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Z751" s="2"/>
      <c r="BA751" s="2"/>
      <c r="BB751" s="2"/>
      <c r="BG751" s="2"/>
      <c r="BH751" s="2"/>
      <c r="BI751" s="2"/>
      <c r="BX751" s="2"/>
      <c r="BY751" s="2"/>
      <c r="BZ751" s="2"/>
      <c r="CA751" s="2"/>
      <c r="CB751" s="2"/>
      <c r="CC751" s="2"/>
      <c r="CD751" s="2"/>
    </row>
    <row r="752" spans="12:82" x14ac:dyDescent="0.25"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Z752" s="2"/>
      <c r="BA752" s="2"/>
      <c r="BB752" s="2"/>
      <c r="BG752" s="2"/>
      <c r="BH752" s="2"/>
      <c r="BI752" s="2"/>
      <c r="BX752" s="2"/>
      <c r="BY752" s="2"/>
      <c r="BZ752" s="2"/>
      <c r="CA752" s="2"/>
      <c r="CB752" s="2"/>
      <c r="CC752" s="2"/>
      <c r="CD752" s="2"/>
    </row>
    <row r="753" spans="12:82" x14ac:dyDescent="0.25"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Z753" s="2"/>
      <c r="BA753" s="2"/>
      <c r="BB753" s="2"/>
      <c r="BG753" s="2"/>
      <c r="BH753" s="2"/>
      <c r="BI753" s="2"/>
      <c r="BX753" s="2"/>
      <c r="BY753" s="2"/>
      <c r="BZ753" s="2"/>
      <c r="CA753" s="2"/>
      <c r="CB753" s="2"/>
      <c r="CC753" s="2"/>
      <c r="CD753" s="2"/>
    </row>
    <row r="754" spans="12:82" x14ac:dyDescent="0.25"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Z754" s="2"/>
      <c r="BA754" s="2"/>
      <c r="BB754" s="2"/>
      <c r="BG754" s="2"/>
      <c r="BH754" s="2"/>
      <c r="BI754" s="2"/>
      <c r="BX754" s="2"/>
      <c r="BY754" s="2"/>
      <c r="BZ754" s="2"/>
      <c r="CA754" s="2"/>
      <c r="CB754" s="2"/>
      <c r="CC754" s="2"/>
      <c r="CD754" s="2"/>
    </row>
    <row r="755" spans="12:82" x14ac:dyDescent="0.25"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Z755" s="2"/>
      <c r="BA755" s="2"/>
      <c r="BB755" s="2"/>
      <c r="BG755" s="2"/>
      <c r="BH755" s="2"/>
      <c r="BI755" s="2"/>
      <c r="BX755" s="2"/>
      <c r="BY755" s="2"/>
      <c r="BZ755" s="2"/>
      <c r="CA755" s="2"/>
      <c r="CB755" s="2"/>
      <c r="CC755" s="2"/>
      <c r="CD755" s="2"/>
    </row>
    <row r="756" spans="12:82" x14ac:dyDescent="0.25"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Z756" s="2"/>
      <c r="BA756" s="2"/>
      <c r="BB756" s="2"/>
      <c r="BG756" s="2"/>
      <c r="BH756" s="2"/>
      <c r="BI756" s="2"/>
      <c r="BX756" s="2"/>
      <c r="BY756" s="2"/>
      <c r="BZ756" s="2"/>
      <c r="CA756" s="2"/>
      <c r="CB756" s="2"/>
      <c r="CC756" s="2"/>
      <c r="CD756" s="2"/>
    </row>
    <row r="757" spans="12:82" x14ac:dyDescent="0.25"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Z757" s="2"/>
      <c r="BA757" s="2"/>
      <c r="BB757" s="2"/>
      <c r="BG757" s="2"/>
      <c r="BH757" s="2"/>
      <c r="BI757" s="2"/>
      <c r="BX757" s="2"/>
      <c r="BY757" s="2"/>
      <c r="BZ757" s="2"/>
      <c r="CA757" s="2"/>
      <c r="CB757" s="2"/>
      <c r="CC757" s="2"/>
      <c r="CD757" s="2"/>
    </row>
    <row r="758" spans="12:82" x14ac:dyDescent="0.25"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Z758" s="2"/>
      <c r="BA758" s="2"/>
      <c r="BB758" s="2"/>
      <c r="BG758" s="2"/>
      <c r="BH758" s="2"/>
      <c r="BI758" s="2"/>
      <c r="BX758" s="2"/>
      <c r="BY758" s="2"/>
      <c r="BZ758" s="2"/>
      <c r="CA758" s="2"/>
      <c r="CB758" s="2"/>
      <c r="CC758" s="2"/>
      <c r="CD758" s="2"/>
    </row>
    <row r="759" spans="12:82" x14ac:dyDescent="0.25"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Z759" s="2"/>
      <c r="BA759" s="2"/>
      <c r="BB759" s="2"/>
      <c r="BG759" s="2"/>
      <c r="BH759" s="2"/>
      <c r="BI759" s="2"/>
      <c r="BX759" s="2"/>
      <c r="BY759" s="2"/>
      <c r="BZ759" s="2"/>
      <c r="CA759" s="2"/>
      <c r="CB759" s="2"/>
      <c r="CC759" s="2"/>
      <c r="CD759" s="2"/>
    </row>
    <row r="760" spans="12:82" x14ac:dyDescent="0.25"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Z760" s="2"/>
      <c r="BA760" s="2"/>
      <c r="BB760" s="2"/>
      <c r="BG760" s="2"/>
      <c r="BH760" s="2"/>
      <c r="BI760" s="2"/>
      <c r="BX760" s="2"/>
      <c r="BY760" s="2"/>
      <c r="BZ760" s="2"/>
      <c r="CA760" s="2"/>
      <c r="CB760" s="2"/>
      <c r="CC760" s="2"/>
      <c r="CD760" s="2"/>
    </row>
    <row r="761" spans="12:82" x14ac:dyDescent="0.25"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Z761" s="2"/>
      <c r="BA761" s="2"/>
      <c r="BB761" s="2"/>
      <c r="BG761" s="2"/>
      <c r="BH761" s="2"/>
      <c r="BI761" s="2"/>
      <c r="BX761" s="2"/>
      <c r="BY761" s="2"/>
      <c r="BZ761" s="2"/>
      <c r="CA761" s="2"/>
      <c r="CB761" s="2"/>
      <c r="CC761" s="2"/>
      <c r="CD761" s="2"/>
    </row>
    <row r="762" spans="12:82" x14ac:dyDescent="0.25"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Z762" s="2"/>
      <c r="BA762" s="2"/>
      <c r="BB762" s="2"/>
      <c r="BG762" s="2"/>
      <c r="BH762" s="2"/>
      <c r="BI762" s="2"/>
      <c r="BX762" s="2"/>
      <c r="BY762" s="2"/>
      <c r="BZ762" s="2"/>
      <c r="CA762" s="2"/>
      <c r="CB762" s="2"/>
      <c r="CC762" s="2"/>
      <c r="CD762" s="2"/>
    </row>
    <row r="763" spans="12:82" x14ac:dyDescent="0.25"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Z763" s="2"/>
      <c r="BA763" s="2"/>
      <c r="BB763" s="2"/>
      <c r="BG763" s="2"/>
      <c r="BH763" s="2"/>
      <c r="BI763" s="2"/>
      <c r="BX763" s="2"/>
      <c r="BY763" s="2"/>
      <c r="BZ763" s="2"/>
      <c r="CA763" s="2"/>
      <c r="CB763" s="2"/>
      <c r="CC763" s="2"/>
      <c r="CD763" s="2"/>
    </row>
    <row r="764" spans="12:82" x14ac:dyDescent="0.25"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Z764" s="2"/>
      <c r="BA764" s="2"/>
      <c r="BB764" s="2"/>
      <c r="BG764" s="2"/>
      <c r="BH764" s="2"/>
      <c r="BI764" s="2"/>
      <c r="BX764" s="2"/>
      <c r="BY764" s="2"/>
      <c r="BZ764" s="2"/>
      <c r="CA764" s="2"/>
      <c r="CB764" s="2"/>
      <c r="CC764" s="2"/>
      <c r="CD764" s="2"/>
    </row>
    <row r="765" spans="12:82" x14ac:dyDescent="0.25"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Z765" s="2"/>
      <c r="BA765" s="2"/>
      <c r="BB765" s="2"/>
      <c r="BG765" s="2"/>
      <c r="BH765" s="2"/>
      <c r="BI765" s="2"/>
      <c r="BX765" s="2"/>
      <c r="BY765" s="2"/>
      <c r="BZ765" s="2"/>
      <c r="CA765" s="2"/>
      <c r="CB765" s="2"/>
      <c r="CC765" s="2"/>
      <c r="CD765" s="2"/>
    </row>
    <row r="766" spans="12:82" x14ac:dyDescent="0.25"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Z766" s="2"/>
      <c r="BA766" s="2"/>
      <c r="BB766" s="2"/>
      <c r="BG766" s="2"/>
      <c r="BH766" s="2"/>
      <c r="BI766" s="2"/>
      <c r="BX766" s="2"/>
      <c r="BY766" s="2"/>
      <c r="BZ766" s="2"/>
      <c r="CA766" s="2"/>
      <c r="CB766" s="2"/>
      <c r="CC766" s="2"/>
      <c r="CD766" s="2"/>
    </row>
    <row r="767" spans="12:82" x14ac:dyDescent="0.25"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Z767" s="2"/>
      <c r="BA767" s="2"/>
      <c r="BB767" s="2"/>
      <c r="BG767" s="2"/>
      <c r="BH767" s="2"/>
      <c r="BI767" s="2"/>
      <c r="BX767" s="2"/>
      <c r="BY767" s="2"/>
      <c r="BZ767" s="2"/>
      <c r="CA767" s="2"/>
      <c r="CB767" s="2"/>
      <c r="CC767" s="2"/>
      <c r="CD767" s="2"/>
    </row>
    <row r="768" spans="12:82" x14ac:dyDescent="0.25"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Z768" s="2"/>
      <c r="BA768" s="2"/>
      <c r="BB768" s="2"/>
      <c r="BG768" s="2"/>
      <c r="BH768" s="2"/>
      <c r="BI768" s="2"/>
      <c r="BX768" s="2"/>
      <c r="BY768" s="2"/>
      <c r="BZ768" s="2"/>
      <c r="CA768" s="2"/>
      <c r="CB768" s="2"/>
      <c r="CC768" s="2"/>
      <c r="CD768" s="2"/>
    </row>
    <row r="769" spans="12:82" x14ac:dyDescent="0.25"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Z769" s="2"/>
      <c r="BA769" s="2"/>
      <c r="BB769" s="2"/>
      <c r="BG769" s="2"/>
      <c r="BH769" s="2"/>
      <c r="BI769" s="2"/>
      <c r="BX769" s="2"/>
      <c r="BY769" s="2"/>
      <c r="BZ769" s="2"/>
      <c r="CA769" s="2"/>
      <c r="CB769" s="2"/>
      <c r="CC769" s="2"/>
      <c r="CD769" s="2"/>
    </row>
    <row r="770" spans="12:82" x14ac:dyDescent="0.25"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Z770" s="2"/>
      <c r="BA770" s="2"/>
      <c r="BB770" s="2"/>
      <c r="BG770" s="2"/>
      <c r="BH770" s="2"/>
      <c r="BI770" s="2"/>
      <c r="BX770" s="2"/>
      <c r="BY770" s="2"/>
      <c r="BZ770" s="2"/>
      <c r="CA770" s="2"/>
      <c r="CB770" s="2"/>
      <c r="CC770" s="2"/>
      <c r="CD770" s="2"/>
    </row>
    <row r="771" spans="12:82" x14ac:dyDescent="0.25"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Z771" s="2"/>
      <c r="BA771" s="2"/>
      <c r="BB771" s="2"/>
      <c r="BG771" s="2"/>
      <c r="BH771" s="2"/>
      <c r="BI771" s="2"/>
      <c r="BX771" s="2"/>
      <c r="BY771" s="2"/>
      <c r="BZ771" s="2"/>
      <c r="CA771" s="2"/>
      <c r="CB771" s="2"/>
      <c r="CC771" s="2"/>
      <c r="CD771" s="2"/>
    </row>
    <row r="772" spans="12:82" x14ac:dyDescent="0.25"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Z772" s="2"/>
      <c r="BA772" s="2"/>
      <c r="BB772" s="2"/>
      <c r="BG772" s="2"/>
      <c r="BH772" s="2"/>
      <c r="BI772" s="2"/>
      <c r="BX772" s="2"/>
      <c r="BY772" s="2"/>
      <c r="BZ772" s="2"/>
      <c r="CA772" s="2"/>
      <c r="CB772" s="2"/>
      <c r="CC772" s="2"/>
      <c r="CD772" s="2"/>
    </row>
    <row r="773" spans="12:82" x14ac:dyDescent="0.25"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Z773" s="2"/>
      <c r="BA773" s="2"/>
      <c r="BB773" s="2"/>
      <c r="BG773" s="2"/>
      <c r="BH773" s="2"/>
      <c r="BI773" s="2"/>
      <c r="BX773" s="2"/>
      <c r="BY773" s="2"/>
      <c r="BZ773" s="2"/>
      <c r="CA773" s="2"/>
      <c r="CB773" s="2"/>
      <c r="CC773" s="2"/>
      <c r="CD773" s="2"/>
    </row>
    <row r="774" spans="12:82" x14ac:dyDescent="0.25"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Z774" s="2"/>
      <c r="BA774" s="2"/>
      <c r="BB774" s="2"/>
      <c r="BG774" s="2"/>
      <c r="BH774" s="2"/>
      <c r="BI774" s="2"/>
      <c r="BX774" s="2"/>
      <c r="BY774" s="2"/>
      <c r="BZ774" s="2"/>
      <c r="CA774" s="2"/>
      <c r="CB774" s="2"/>
      <c r="CC774" s="2"/>
      <c r="CD774" s="2"/>
    </row>
    <row r="775" spans="12:82" x14ac:dyDescent="0.25"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Z775" s="2"/>
      <c r="BA775" s="2"/>
      <c r="BB775" s="2"/>
      <c r="BG775" s="2"/>
      <c r="BH775" s="2"/>
      <c r="BI775" s="2"/>
      <c r="BX775" s="2"/>
      <c r="BY775" s="2"/>
      <c r="BZ775" s="2"/>
      <c r="CA775" s="2"/>
      <c r="CB775" s="2"/>
      <c r="CC775" s="2"/>
      <c r="CD775" s="2"/>
    </row>
    <row r="776" spans="12:82" x14ac:dyDescent="0.25"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Z776" s="2"/>
      <c r="BA776" s="2"/>
      <c r="BB776" s="2"/>
      <c r="BG776" s="2"/>
      <c r="BH776" s="2"/>
      <c r="BI776" s="2"/>
      <c r="BX776" s="2"/>
      <c r="BY776" s="2"/>
      <c r="BZ776" s="2"/>
      <c r="CA776" s="2"/>
      <c r="CB776" s="2"/>
      <c r="CC776" s="2"/>
      <c r="CD776" s="2"/>
    </row>
    <row r="777" spans="12:82" x14ac:dyDescent="0.25"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Z777" s="2"/>
      <c r="BA777" s="2"/>
      <c r="BB777" s="2"/>
      <c r="BG777" s="2"/>
      <c r="BH777" s="2"/>
      <c r="BI777" s="2"/>
      <c r="BX777" s="2"/>
      <c r="BY777" s="2"/>
      <c r="BZ777" s="2"/>
      <c r="CA777" s="2"/>
      <c r="CB777" s="2"/>
      <c r="CC777" s="2"/>
      <c r="CD777" s="2"/>
    </row>
    <row r="778" spans="12:82" x14ac:dyDescent="0.25"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Z778" s="2"/>
      <c r="BA778" s="2"/>
      <c r="BB778" s="2"/>
      <c r="BG778" s="2"/>
      <c r="BH778" s="2"/>
      <c r="BI778" s="2"/>
      <c r="BX778" s="2"/>
      <c r="BY778" s="2"/>
      <c r="BZ778" s="2"/>
      <c r="CA778" s="2"/>
      <c r="CB778" s="2"/>
      <c r="CC778" s="2"/>
      <c r="CD778" s="2"/>
    </row>
    <row r="779" spans="12:82" x14ac:dyDescent="0.25"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Z779" s="2"/>
      <c r="BA779" s="2"/>
      <c r="BB779" s="2"/>
      <c r="BG779" s="2"/>
      <c r="BH779" s="2"/>
      <c r="BI779" s="2"/>
      <c r="BX779" s="2"/>
      <c r="BY779" s="2"/>
      <c r="BZ779" s="2"/>
      <c r="CA779" s="2"/>
      <c r="CB779" s="2"/>
      <c r="CC779" s="2"/>
      <c r="CD779" s="2"/>
    </row>
    <row r="780" spans="12:82" x14ac:dyDescent="0.25"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Z780" s="2"/>
      <c r="BA780" s="2"/>
      <c r="BB780" s="2"/>
      <c r="BG780" s="2"/>
      <c r="BH780" s="2"/>
      <c r="BI780" s="2"/>
      <c r="BX780" s="2"/>
      <c r="BY780" s="2"/>
      <c r="BZ780" s="2"/>
      <c r="CA780" s="2"/>
      <c r="CB780" s="2"/>
      <c r="CC780" s="2"/>
      <c r="CD780" s="2"/>
    </row>
    <row r="781" spans="12:82" x14ac:dyDescent="0.25"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Z781" s="2"/>
      <c r="BA781" s="2"/>
      <c r="BB781" s="2"/>
      <c r="BG781" s="2"/>
      <c r="BH781" s="2"/>
      <c r="BI781" s="2"/>
      <c r="BX781" s="2"/>
      <c r="BY781" s="2"/>
      <c r="BZ781" s="2"/>
      <c r="CA781" s="2"/>
      <c r="CB781" s="2"/>
      <c r="CC781" s="2"/>
      <c r="CD781" s="2"/>
    </row>
    <row r="782" spans="12:82" x14ac:dyDescent="0.25"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Z782" s="2"/>
      <c r="BA782" s="2"/>
      <c r="BB782" s="2"/>
      <c r="BG782" s="2"/>
      <c r="BH782" s="2"/>
      <c r="BI782" s="2"/>
      <c r="BX782" s="2"/>
      <c r="BY782" s="2"/>
      <c r="BZ782" s="2"/>
      <c r="CA782" s="2"/>
      <c r="CB782" s="2"/>
      <c r="CC782" s="2"/>
      <c r="CD782" s="2"/>
    </row>
    <row r="783" spans="12:82" x14ac:dyDescent="0.25"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Z783" s="2"/>
      <c r="BA783" s="2"/>
      <c r="BB783" s="2"/>
      <c r="BG783" s="2"/>
      <c r="BH783" s="2"/>
      <c r="BI783" s="2"/>
      <c r="BX783" s="2"/>
      <c r="BY783" s="2"/>
      <c r="BZ783" s="2"/>
      <c r="CA783" s="2"/>
      <c r="CB783" s="2"/>
      <c r="CC783" s="2"/>
      <c r="CD783" s="2"/>
    </row>
    <row r="784" spans="12:82" x14ac:dyDescent="0.25"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Z784" s="2"/>
      <c r="BA784" s="2"/>
      <c r="BB784" s="2"/>
      <c r="BG784" s="2"/>
      <c r="BH784" s="2"/>
      <c r="BI784" s="2"/>
      <c r="BX784" s="2"/>
      <c r="BY784" s="2"/>
      <c r="BZ784" s="2"/>
      <c r="CA784" s="2"/>
      <c r="CB784" s="2"/>
      <c r="CC784" s="2"/>
      <c r="CD784" s="2"/>
    </row>
    <row r="785" spans="12:82" x14ac:dyDescent="0.25"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Z785" s="2"/>
      <c r="BA785" s="2"/>
      <c r="BB785" s="2"/>
      <c r="BG785" s="2"/>
      <c r="BH785" s="2"/>
      <c r="BI785" s="2"/>
      <c r="BX785" s="2"/>
      <c r="BY785" s="2"/>
      <c r="BZ785" s="2"/>
      <c r="CA785" s="2"/>
      <c r="CB785" s="2"/>
      <c r="CC785" s="2"/>
      <c r="CD785" s="2"/>
    </row>
    <row r="786" spans="12:82" x14ac:dyDescent="0.25"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Z786" s="2"/>
      <c r="BA786" s="2"/>
      <c r="BB786" s="2"/>
      <c r="BG786" s="2"/>
      <c r="BH786" s="2"/>
      <c r="BI786" s="2"/>
      <c r="BX786" s="2"/>
      <c r="BY786" s="2"/>
      <c r="BZ786" s="2"/>
      <c r="CA786" s="2"/>
      <c r="CB786" s="2"/>
      <c r="CC786" s="2"/>
      <c r="CD786" s="2"/>
    </row>
    <row r="787" spans="12:82" x14ac:dyDescent="0.25"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Z787" s="2"/>
      <c r="BA787" s="2"/>
      <c r="BB787" s="2"/>
      <c r="BG787" s="2"/>
      <c r="BH787" s="2"/>
      <c r="BI787" s="2"/>
      <c r="BX787" s="2"/>
      <c r="BY787" s="2"/>
      <c r="BZ787" s="2"/>
      <c r="CA787" s="2"/>
      <c r="CB787" s="2"/>
      <c r="CC787" s="2"/>
      <c r="CD787" s="2"/>
    </row>
    <row r="788" spans="12:82" x14ac:dyDescent="0.25"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Z788" s="2"/>
      <c r="BA788" s="2"/>
      <c r="BB788" s="2"/>
      <c r="BG788" s="2"/>
      <c r="BH788" s="2"/>
      <c r="BI788" s="2"/>
      <c r="BX788" s="2"/>
      <c r="BY788" s="2"/>
      <c r="BZ788" s="2"/>
      <c r="CA788" s="2"/>
      <c r="CB788" s="2"/>
      <c r="CC788" s="2"/>
      <c r="CD788" s="2"/>
    </row>
    <row r="789" spans="12:82" x14ac:dyDescent="0.25"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Z789" s="2"/>
      <c r="BA789" s="2"/>
      <c r="BB789" s="2"/>
      <c r="BG789" s="2"/>
      <c r="BH789" s="2"/>
      <c r="BI789" s="2"/>
      <c r="BX789" s="2"/>
      <c r="BY789" s="2"/>
      <c r="BZ789" s="2"/>
      <c r="CA789" s="2"/>
      <c r="CB789" s="2"/>
      <c r="CC789" s="2"/>
      <c r="CD789" s="2"/>
    </row>
    <row r="790" spans="12:82" x14ac:dyDescent="0.25"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Z790" s="2"/>
      <c r="BA790" s="2"/>
      <c r="BB790" s="2"/>
      <c r="BG790" s="2"/>
      <c r="BH790" s="2"/>
      <c r="BI790" s="2"/>
      <c r="BX790" s="2"/>
      <c r="BY790" s="2"/>
      <c r="BZ790" s="2"/>
      <c r="CA790" s="2"/>
      <c r="CB790" s="2"/>
      <c r="CC790" s="2"/>
      <c r="CD790" s="2"/>
    </row>
    <row r="791" spans="12:82" x14ac:dyDescent="0.25"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Z791" s="2"/>
      <c r="BA791" s="2"/>
      <c r="BB791" s="2"/>
      <c r="BG791" s="2"/>
      <c r="BH791" s="2"/>
      <c r="BI791" s="2"/>
      <c r="BX791" s="2"/>
      <c r="BY791" s="2"/>
      <c r="BZ791" s="2"/>
      <c r="CA791" s="2"/>
      <c r="CB791" s="2"/>
      <c r="CC791" s="2"/>
      <c r="CD791" s="2"/>
    </row>
    <row r="792" spans="12:82" x14ac:dyDescent="0.25"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Z792" s="2"/>
      <c r="BA792" s="2"/>
      <c r="BB792" s="2"/>
      <c r="BG792" s="2"/>
      <c r="BH792" s="2"/>
      <c r="BI792" s="2"/>
      <c r="BX792" s="2"/>
      <c r="BY792" s="2"/>
      <c r="BZ792" s="2"/>
      <c r="CA792" s="2"/>
      <c r="CB792" s="2"/>
      <c r="CC792" s="2"/>
      <c r="CD792" s="2"/>
    </row>
    <row r="793" spans="12:82" x14ac:dyDescent="0.25"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Z793" s="2"/>
      <c r="BA793" s="2"/>
      <c r="BB793" s="2"/>
      <c r="BG793" s="2"/>
      <c r="BH793" s="2"/>
      <c r="BI793" s="2"/>
      <c r="BX793" s="2"/>
      <c r="BY793" s="2"/>
      <c r="BZ793" s="2"/>
      <c r="CA793" s="2"/>
      <c r="CB793" s="2"/>
      <c r="CC793" s="2"/>
      <c r="CD793" s="2"/>
    </row>
    <row r="794" spans="12:82" x14ac:dyDescent="0.25"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Z794" s="2"/>
      <c r="BA794" s="2"/>
      <c r="BB794" s="2"/>
      <c r="BG794" s="2"/>
      <c r="BH794" s="2"/>
      <c r="BI794" s="2"/>
      <c r="BX794" s="2"/>
      <c r="BY794" s="2"/>
      <c r="BZ794" s="2"/>
      <c r="CA794" s="2"/>
      <c r="CB794" s="2"/>
      <c r="CC794" s="2"/>
      <c r="CD794" s="2"/>
    </row>
    <row r="795" spans="12:82" x14ac:dyDescent="0.25"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Z795" s="2"/>
      <c r="BA795" s="2"/>
      <c r="BB795" s="2"/>
      <c r="BG795" s="2"/>
      <c r="BH795" s="2"/>
      <c r="BI795" s="2"/>
      <c r="BX795" s="2"/>
      <c r="BY795" s="2"/>
      <c r="BZ795" s="2"/>
      <c r="CA795" s="2"/>
      <c r="CB795" s="2"/>
      <c r="CC795" s="2"/>
      <c r="CD795" s="2"/>
    </row>
    <row r="796" spans="12:82" x14ac:dyDescent="0.25"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Z796" s="2"/>
      <c r="BA796" s="2"/>
      <c r="BB796" s="2"/>
      <c r="BG796" s="2"/>
      <c r="BH796" s="2"/>
      <c r="BI796" s="2"/>
      <c r="BX796" s="2"/>
      <c r="BY796" s="2"/>
      <c r="BZ796" s="2"/>
      <c r="CA796" s="2"/>
      <c r="CB796" s="2"/>
      <c r="CC796" s="2"/>
      <c r="CD796" s="2"/>
    </row>
    <row r="797" spans="12:82" x14ac:dyDescent="0.25"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Z797" s="2"/>
      <c r="BA797" s="2"/>
      <c r="BB797" s="2"/>
      <c r="BG797" s="2"/>
      <c r="BH797" s="2"/>
      <c r="BI797" s="2"/>
      <c r="BX797" s="2"/>
      <c r="BY797" s="2"/>
      <c r="BZ797" s="2"/>
      <c r="CA797" s="2"/>
      <c r="CB797" s="2"/>
      <c r="CC797" s="2"/>
      <c r="CD797" s="2"/>
    </row>
    <row r="798" spans="12:82" x14ac:dyDescent="0.25"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Z798" s="2"/>
      <c r="BA798" s="2"/>
      <c r="BB798" s="2"/>
      <c r="BG798" s="2"/>
      <c r="BH798" s="2"/>
      <c r="BI798" s="2"/>
      <c r="BX798" s="2"/>
      <c r="BY798" s="2"/>
      <c r="BZ798" s="2"/>
      <c r="CA798" s="2"/>
      <c r="CB798" s="2"/>
      <c r="CC798" s="2"/>
      <c r="CD798" s="2"/>
    </row>
    <row r="799" spans="12:82" x14ac:dyDescent="0.25"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Z799" s="2"/>
      <c r="BA799" s="2"/>
      <c r="BB799" s="2"/>
      <c r="BG799" s="2"/>
      <c r="BH799" s="2"/>
      <c r="BI799" s="2"/>
      <c r="BX799" s="2"/>
      <c r="BY799" s="2"/>
      <c r="BZ799" s="2"/>
      <c r="CA799" s="2"/>
      <c r="CB799" s="2"/>
      <c r="CC799" s="2"/>
      <c r="CD799" s="2"/>
    </row>
    <row r="800" spans="12:82" x14ac:dyDescent="0.25"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Z800" s="2"/>
      <c r="BA800" s="2"/>
      <c r="BB800" s="2"/>
      <c r="BG800" s="2"/>
      <c r="BH800" s="2"/>
      <c r="BI800" s="2"/>
      <c r="BX800" s="2"/>
      <c r="BY800" s="2"/>
      <c r="BZ800" s="2"/>
      <c r="CA800" s="2"/>
      <c r="CB800" s="2"/>
      <c r="CC800" s="2"/>
      <c r="CD800" s="2"/>
    </row>
    <row r="801" spans="12:82" x14ac:dyDescent="0.25"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Z801" s="2"/>
      <c r="BA801" s="2"/>
      <c r="BB801" s="2"/>
      <c r="BG801" s="2"/>
      <c r="BH801" s="2"/>
      <c r="BI801" s="2"/>
      <c r="BX801" s="2"/>
      <c r="BY801" s="2"/>
      <c r="BZ801" s="2"/>
      <c r="CA801" s="2"/>
      <c r="CB801" s="2"/>
      <c r="CC801" s="2"/>
      <c r="CD801" s="2"/>
    </row>
    <row r="802" spans="12:82" x14ac:dyDescent="0.25"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Z802" s="2"/>
      <c r="BA802" s="2"/>
      <c r="BB802" s="2"/>
      <c r="BG802" s="2"/>
      <c r="BH802" s="2"/>
      <c r="BI802" s="2"/>
      <c r="BX802" s="2"/>
      <c r="BY802" s="2"/>
      <c r="BZ802" s="2"/>
      <c r="CA802" s="2"/>
      <c r="CB802" s="2"/>
      <c r="CC802" s="2"/>
      <c r="CD802" s="2"/>
    </row>
    <row r="803" spans="12:82" x14ac:dyDescent="0.25"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Z803" s="2"/>
      <c r="BA803" s="2"/>
      <c r="BB803" s="2"/>
      <c r="BG803" s="2"/>
      <c r="BH803" s="2"/>
      <c r="BI803" s="2"/>
      <c r="BX803" s="2"/>
      <c r="BY803" s="2"/>
      <c r="BZ803" s="2"/>
      <c r="CA803" s="2"/>
      <c r="CB803" s="2"/>
      <c r="CC803" s="2"/>
      <c r="CD803" s="2"/>
    </row>
    <row r="804" spans="12:82" x14ac:dyDescent="0.25"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Z804" s="2"/>
      <c r="BA804" s="2"/>
      <c r="BB804" s="2"/>
      <c r="BG804" s="2"/>
      <c r="BH804" s="2"/>
      <c r="BI804" s="2"/>
      <c r="BX804" s="2"/>
      <c r="BY804" s="2"/>
      <c r="BZ804" s="2"/>
      <c r="CA804" s="2"/>
      <c r="CB804" s="2"/>
      <c r="CC804" s="2"/>
      <c r="CD804" s="2"/>
    </row>
    <row r="805" spans="12:82" x14ac:dyDescent="0.25"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Z805" s="2"/>
      <c r="BA805" s="2"/>
      <c r="BB805" s="2"/>
      <c r="BG805" s="2"/>
      <c r="BH805" s="2"/>
      <c r="BI805" s="2"/>
      <c r="BX805" s="2"/>
      <c r="BY805" s="2"/>
      <c r="BZ805" s="2"/>
      <c r="CA805" s="2"/>
      <c r="CB805" s="2"/>
      <c r="CC805" s="2"/>
      <c r="CD805" s="2"/>
    </row>
    <row r="806" spans="12:82" x14ac:dyDescent="0.25"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Z806" s="2"/>
      <c r="BA806" s="2"/>
      <c r="BB806" s="2"/>
      <c r="BG806" s="2"/>
      <c r="BH806" s="2"/>
      <c r="BI806" s="2"/>
      <c r="BX806" s="2"/>
      <c r="BY806" s="2"/>
      <c r="BZ806" s="2"/>
      <c r="CA806" s="2"/>
      <c r="CB806" s="2"/>
      <c r="CC806" s="2"/>
      <c r="CD806" s="2"/>
    </row>
    <row r="807" spans="12:82" x14ac:dyDescent="0.25"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Z807" s="2"/>
      <c r="BA807" s="2"/>
      <c r="BB807" s="2"/>
      <c r="BG807" s="2"/>
      <c r="BH807" s="2"/>
      <c r="BI807" s="2"/>
      <c r="BX807" s="2"/>
      <c r="BY807" s="2"/>
      <c r="BZ807" s="2"/>
      <c r="CA807" s="2"/>
      <c r="CB807" s="2"/>
      <c r="CC807" s="2"/>
      <c r="CD807" s="2"/>
    </row>
    <row r="808" spans="12:82" x14ac:dyDescent="0.25"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Z808" s="2"/>
      <c r="BA808" s="2"/>
      <c r="BB808" s="2"/>
      <c r="BG808" s="2"/>
      <c r="BH808" s="2"/>
      <c r="BI808" s="2"/>
      <c r="BX808" s="2"/>
      <c r="BY808" s="2"/>
      <c r="BZ808" s="2"/>
      <c r="CA808" s="2"/>
      <c r="CB808" s="2"/>
      <c r="CC808" s="2"/>
      <c r="CD808" s="2"/>
    </row>
    <row r="809" spans="12:82" x14ac:dyDescent="0.25"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Z809" s="2"/>
      <c r="BA809" s="2"/>
      <c r="BB809" s="2"/>
      <c r="BG809" s="2"/>
      <c r="BH809" s="2"/>
      <c r="BI809" s="2"/>
      <c r="BX809" s="2"/>
      <c r="BY809" s="2"/>
      <c r="BZ809" s="2"/>
      <c r="CA809" s="2"/>
      <c r="CB809" s="2"/>
      <c r="CC809" s="2"/>
      <c r="CD809" s="2"/>
    </row>
    <row r="810" spans="12:82" x14ac:dyDescent="0.25"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Z810" s="2"/>
      <c r="BA810" s="2"/>
      <c r="BB810" s="2"/>
      <c r="BG810" s="2"/>
      <c r="BH810" s="2"/>
      <c r="BI810" s="2"/>
      <c r="BX810" s="2"/>
      <c r="BY810" s="2"/>
      <c r="BZ810" s="2"/>
      <c r="CA810" s="2"/>
      <c r="CB810" s="2"/>
      <c r="CC810" s="2"/>
      <c r="CD810" s="2"/>
    </row>
    <row r="811" spans="12:82" x14ac:dyDescent="0.25"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Z811" s="2"/>
      <c r="BA811" s="2"/>
      <c r="BB811" s="2"/>
      <c r="BG811" s="2"/>
      <c r="BH811" s="2"/>
      <c r="BI811" s="2"/>
      <c r="BX811" s="2"/>
      <c r="BY811" s="2"/>
      <c r="BZ811" s="2"/>
      <c r="CA811" s="2"/>
      <c r="CB811" s="2"/>
      <c r="CC811" s="2"/>
      <c r="CD811" s="2"/>
    </row>
    <row r="812" spans="12:82" x14ac:dyDescent="0.25"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Z812" s="2"/>
      <c r="BA812" s="2"/>
      <c r="BB812" s="2"/>
      <c r="BG812" s="2"/>
      <c r="BH812" s="2"/>
      <c r="BI812" s="2"/>
      <c r="BX812" s="2"/>
      <c r="BY812" s="2"/>
      <c r="BZ812" s="2"/>
      <c r="CA812" s="2"/>
      <c r="CB812" s="2"/>
      <c r="CC812" s="2"/>
      <c r="CD812" s="2"/>
    </row>
    <row r="813" spans="12:82" x14ac:dyDescent="0.25"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Z813" s="2"/>
      <c r="BA813" s="2"/>
      <c r="BB813" s="2"/>
      <c r="BG813" s="2"/>
      <c r="BH813" s="2"/>
      <c r="BI813" s="2"/>
      <c r="BX813" s="2"/>
      <c r="BY813" s="2"/>
      <c r="BZ813" s="2"/>
      <c r="CA813" s="2"/>
      <c r="CB813" s="2"/>
      <c r="CC813" s="2"/>
      <c r="CD813" s="2"/>
    </row>
    <row r="814" spans="12:82" x14ac:dyDescent="0.25"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Z814" s="2"/>
      <c r="BA814" s="2"/>
      <c r="BB814" s="2"/>
      <c r="BG814" s="2"/>
      <c r="BH814" s="2"/>
      <c r="BI814" s="2"/>
      <c r="BX814" s="2"/>
      <c r="BY814" s="2"/>
      <c r="BZ814" s="2"/>
      <c r="CA814" s="2"/>
      <c r="CB814" s="2"/>
      <c r="CC814" s="2"/>
      <c r="CD814" s="2"/>
    </row>
    <row r="815" spans="12:82" x14ac:dyDescent="0.25"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Z815" s="2"/>
      <c r="BA815" s="2"/>
      <c r="BB815" s="2"/>
      <c r="BG815" s="2"/>
      <c r="BH815" s="2"/>
      <c r="BI815" s="2"/>
      <c r="BX815" s="2"/>
      <c r="BY815" s="2"/>
      <c r="BZ815" s="2"/>
      <c r="CA815" s="2"/>
      <c r="CB815" s="2"/>
      <c r="CC815" s="2"/>
      <c r="CD815" s="2"/>
    </row>
    <row r="816" spans="12:82" x14ac:dyDescent="0.25"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Z816" s="2"/>
      <c r="BA816" s="2"/>
      <c r="BB816" s="2"/>
      <c r="BG816" s="2"/>
      <c r="BH816" s="2"/>
      <c r="BI816" s="2"/>
      <c r="BX816" s="2"/>
      <c r="BY816" s="2"/>
      <c r="BZ816" s="2"/>
      <c r="CA816" s="2"/>
      <c r="CB816" s="2"/>
      <c r="CC816" s="2"/>
      <c r="CD816" s="2"/>
    </row>
    <row r="817" spans="12:82" x14ac:dyDescent="0.25"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Z817" s="2"/>
      <c r="BA817" s="2"/>
      <c r="BB817" s="2"/>
      <c r="BG817" s="2"/>
      <c r="BH817" s="2"/>
      <c r="BI817" s="2"/>
      <c r="BX817" s="2"/>
      <c r="BY817" s="2"/>
      <c r="BZ817" s="2"/>
      <c r="CA817" s="2"/>
      <c r="CB817" s="2"/>
      <c r="CC817" s="2"/>
      <c r="CD817" s="2"/>
    </row>
    <row r="818" spans="12:82" x14ac:dyDescent="0.25"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Z818" s="2"/>
      <c r="BA818" s="2"/>
      <c r="BB818" s="2"/>
      <c r="BG818" s="2"/>
      <c r="BH818" s="2"/>
      <c r="BI818" s="2"/>
      <c r="BX818" s="2"/>
      <c r="BY818" s="2"/>
      <c r="BZ818" s="2"/>
      <c r="CA818" s="2"/>
      <c r="CB818" s="2"/>
      <c r="CC818" s="2"/>
      <c r="CD818" s="2"/>
    </row>
    <row r="819" spans="12:82" x14ac:dyDescent="0.25"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Z819" s="2"/>
      <c r="BA819" s="2"/>
      <c r="BB819" s="2"/>
      <c r="BG819" s="2"/>
      <c r="BH819" s="2"/>
      <c r="BI819" s="2"/>
      <c r="BX819" s="2"/>
      <c r="BY819" s="2"/>
      <c r="BZ819" s="2"/>
      <c r="CA819" s="2"/>
      <c r="CB819" s="2"/>
      <c r="CC819" s="2"/>
      <c r="CD819" s="2"/>
    </row>
    <row r="820" spans="12:82" x14ac:dyDescent="0.25"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Z820" s="2"/>
      <c r="BA820" s="2"/>
      <c r="BB820" s="2"/>
      <c r="BG820" s="2"/>
      <c r="BH820" s="2"/>
      <c r="BI820" s="2"/>
      <c r="BX820" s="2"/>
      <c r="BY820" s="2"/>
      <c r="BZ820" s="2"/>
      <c r="CA820" s="2"/>
      <c r="CB820" s="2"/>
      <c r="CC820" s="2"/>
      <c r="CD820" s="2"/>
    </row>
    <row r="821" spans="12:82" x14ac:dyDescent="0.25"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Z821" s="2"/>
      <c r="BA821" s="2"/>
      <c r="BB821" s="2"/>
      <c r="BG821" s="2"/>
      <c r="BH821" s="2"/>
      <c r="BI821" s="2"/>
      <c r="BX821" s="2"/>
      <c r="BY821" s="2"/>
      <c r="BZ821" s="2"/>
      <c r="CA821" s="2"/>
      <c r="CB821" s="2"/>
      <c r="CC821" s="2"/>
      <c r="CD821" s="2"/>
    </row>
    <row r="822" spans="12:82" x14ac:dyDescent="0.25"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Z822" s="2"/>
      <c r="BA822" s="2"/>
      <c r="BB822" s="2"/>
      <c r="BG822" s="2"/>
      <c r="BH822" s="2"/>
      <c r="BI822" s="2"/>
      <c r="BX822" s="2"/>
      <c r="BY822" s="2"/>
      <c r="BZ822" s="2"/>
      <c r="CA822" s="2"/>
      <c r="CB822" s="2"/>
      <c r="CC822" s="2"/>
      <c r="CD822" s="2"/>
    </row>
    <row r="823" spans="12:82" x14ac:dyDescent="0.25"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Z823" s="2"/>
      <c r="BA823" s="2"/>
      <c r="BB823" s="2"/>
      <c r="BG823" s="2"/>
      <c r="BH823" s="2"/>
      <c r="BI823" s="2"/>
      <c r="BX823" s="2"/>
      <c r="BY823" s="2"/>
      <c r="BZ823" s="2"/>
      <c r="CA823" s="2"/>
      <c r="CB823" s="2"/>
      <c r="CC823" s="2"/>
      <c r="CD823" s="2"/>
    </row>
    <row r="824" spans="12:82" x14ac:dyDescent="0.25"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Z824" s="2"/>
      <c r="BA824" s="2"/>
      <c r="BB824" s="2"/>
      <c r="BG824" s="2"/>
      <c r="BH824" s="2"/>
      <c r="BI824" s="2"/>
      <c r="BX824" s="2"/>
      <c r="BY824" s="2"/>
      <c r="BZ824" s="2"/>
      <c r="CA824" s="2"/>
      <c r="CB824" s="2"/>
      <c r="CC824" s="2"/>
      <c r="CD824" s="2"/>
    </row>
    <row r="825" spans="12:82" x14ac:dyDescent="0.25"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Z825" s="2"/>
      <c r="BA825" s="2"/>
      <c r="BB825" s="2"/>
      <c r="BG825" s="2"/>
      <c r="BH825" s="2"/>
      <c r="BI825" s="2"/>
      <c r="BX825" s="2"/>
      <c r="BY825" s="2"/>
      <c r="BZ825" s="2"/>
      <c r="CA825" s="2"/>
      <c r="CB825" s="2"/>
      <c r="CC825" s="2"/>
      <c r="CD825" s="2"/>
    </row>
    <row r="826" spans="12:82" x14ac:dyDescent="0.25"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Z826" s="2"/>
      <c r="BA826" s="2"/>
      <c r="BB826" s="2"/>
      <c r="BG826" s="2"/>
      <c r="BH826" s="2"/>
      <c r="BI826" s="2"/>
      <c r="BX826" s="2"/>
      <c r="BY826" s="2"/>
      <c r="BZ826" s="2"/>
      <c r="CA826" s="2"/>
      <c r="CB826" s="2"/>
      <c r="CC826" s="2"/>
      <c r="CD826" s="2"/>
    </row>
    <row r="827" spans="12:82" x14ac:dyDescent="0.25"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Z827" s="2"/>
      <c r="BA827" s="2"/>
      <c r="BB827" s="2"/>
      <c r="BG827" s="2"/>
      <c r="BH827" s="2"/>
      <c r="BI827" s="2"/>
      <c r="BX827" s="2"/>
      <c r="BY827" s="2"/>
      <c r="BZ827" s="2"/>
      <c r="CA827" s="2"/>
      <c r="CB827" s="2"/>
      <c r="CC827" s="2"/>
      <c r="CD827" s="2"/>
    </row>
    <row r="828" spans="12:82" x14ac:dyDescent="0.25"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Z828" s="2"/>
      <c r="BA828" s="2"/>
      <c r="BB828" s="2"/>
      <c r="BG828" s="2"/>
      <c r="BH828" s="2"/>
      <c r="BI828" s="2"/>
      <c r="BX828" s="2"/>
      <c r="BY828" s="2"/>
      <c r="BZ828" s="2"/>
      <c r="CA828" s="2"/>
      <c r="CB828" s="2"/>
      <c r="CC828" s="2"/>
      <c r="CD828" s="2"/>
    </row>
    <row r="829" spans="12:82" x14ac:dyDescent="0.25"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Z829" s="2"/>
      <c r="BA829" s="2"/>
      <c r="BB829" s="2"/>
      <c r="BG829" s="2"/>
      <c r="BH829" s="2"/>
      <c r="BI829" s="2"/>
      <c r="BX829" s="2"/>
      <c r="BY829" s="2"/>
      <c r="BZ829" s="2"/>
      <c r="CA829" s="2"/>
      <c r="CB829" s="2"/>
      <c r="CC829" s="2"/>
      <c r="CD829" s="2"/>
    </row>
    <row r="830" spans="12:82" x14ac:dyDescent="0.25"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Z830" s="2"/>
      <c r="BA830" s="2"/>
      <c r="BB830" s="2"/>
      <c r="BG830" s="2"/>
      <c r="BH830" s="2"/>
      <c r="BI830" s="2"/>
      <c r="BX830" s="2"/>
      <c r="BY830" s="2"/>
      <c r="BZ830" s="2"/>
      <c r="CA830" s="2"/>
      <c r="CB830" s="2"/>
      <c r="CC830" s="2"/>
      <c r="CD830" s="2"/>
    </row>
    <row r="831" spans="12:82" x14ac:dyDescent="0.25"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Z831" s="2"/>
      <c r="BA831" s="2"/>
      <c r="BB831" s="2"/>
      <c r="BG831" s="2"/>
      <c r="BH831" s="2"/>
      <c r="BI831" s="2"/>
      <c r="BX831" s="2"/>
      <c r="BY831" s="2"/>
      <c r="BZ831" s="2"/>
      <c r="CA831" s="2"/>
      <c r="CB831" s="2"/>
      <c r="CC831" s="2"/>
      <c r="CD831" s="2"/>
    </row>
    <row r="832" spans="12:82" x14ac:dyDescent="0.25"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Z832" s="2"/>
      <c r="BA832" s="2"/>
      <c r="BB832" s="2"/>
      <c r="BG832" s="2"/>
      <c r="BH832" s="2"/>
      <c r="BI832" s="2"/>
      <c r="BX832" s="2"/>
      <c r="BY832" s="2"/>
      <c r="BZ832" s="2"/>
      <c r="CA832" s="2"/>
      <c r="CB832" s="2"/>
      <c r="CC832" s="2"/>
      <c r="CD832" s="2"/>
    </row>
    <row r="833" spans="12:82" x14ac:dyDescent="0.25"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Z833" s="2"/>
      <c r="BA833" s="2"/>
      <c r="BB833" s="2"/>
      <c r="BG833" s="2"/>
      <c r="BH833" s="2"/>
      <c r="BI833" s="2"/>
      <c r="BX833" s="2"/>
      <c r="BY833" s="2"/>
      <c r="BZ833" s="2"/>
      <c r="CA833" s="2"/>
      <c r="CB833" s="2"/>
      <c r="CC833" s="2"/>
      <c r="CD833" s="2"/>
    </row>
    <row r="834" spans="12:82" x14ac:dyDescent="0.25"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Z834" s="2"/>
      <c r="BA834" s="2"/>
      <c r="BB834" s="2"/>
      <c r="BG834" s="2"/>
      <c r="BH834" s="2"/>
      <c r="BI834" s="2"/>
      <c r="BX834" s="2"/>
      <c r="BY834" s="2"/>
      <c r="BZ834" s="2"/>
      <c r="CA834" s="2"/>
      <c r="CB834" s="2"/>
      <c r="CC834" s="2"/>
      <c r="CD834" s="2"/>
    </row>
    <row r="835" spans="12:82" x14ac:dyDescent="0.25"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Z835" s="2"/>
      <c r="BA835" s="2"/>
      <c r="BB835" s="2"/>
      <c r="BG835" s="2"/>
      <c r="BH835" s="2"/>
      <c r="BI835" s="2"/>
      <c r="BX835" s="2"/>
      <c r="BY835" s="2"/>
      <c r="BZ835" s="2"/>
      <c r="CA835" s="2"/>
      <c r="CB835" s="2"/>
      <c r="CC835" s="2"/>
      <c r="CD835" s="2"/>
    </row>
    <row r="836" spans="12:82" x14ac:dyDescent="0.25"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Z836" s="2"/>
      <c r="BA836" s="2"/>
      <c r="BB836" s="2"/>
      <c r="BG836" s="2"/>
      <c r="BH836" s="2"/>
      <c r="BI836" s="2"/>
      <c r="BX836" s="2"/>
      <c r="BY836" s="2"/>
      <c r="BZ836" s="2"/>
      <c r="CA836" s="2"/>
      <c r="CB836" s="2"/>
      <c r="CC836" s="2"/>
      <c r="CD836" s="2"/>
    </row>
    <row r="837" spans="12:82" x14ac:dyDescent="0.25"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Z837" s="2"/>
      <c r="BA837" s="2"/>
      <c r="BB837" s="2"/>
      <c r="BG837" s="2"/>
      <c r="BH837" s="2"/>
      <c r="BI837" s="2"/>
      <c r="BX837" s="2"/>
      <c r="BY837" s="2"/>
      <c r="BZ837" s="2"/>
      <c r="CA837" s="2"/>
      <c r="CB837" s="2"/>
      <c r="CC837" s="2"/>
      <c r="CD837" s="2"/>
    </row>
    <row r="838" spans="12:82" x14ac:dyDescent="0.25"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Z838" s="2"/>
      <c r="BA838" s="2"/>
      <c r="BB838" s="2"/>
      <c r="BG838" s="2"/>
      <c r="BH838" s="2"/>
      <c r="BI838" s="2"/>
      <c r="BX838" s="2"/>
      <c r="BY838" s="2"/>
      <c r="BZ838" s="2"/>
      <c r="CA838" s="2"/>
      <c r="CB838" s="2"/>
      <c r="CC838" s="2"/>
      <c r="CD838" s="2"/>
    </row>
    <row r="839" spans="12:82" x14ac:dyDescent="0.25"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Z839" s="2"/>
      <c r="BA839" s="2"/>
      <c r="BB839" s="2"/>
      <c r="BG839" s="2"/>
      <c r="BH839" s="2"/>
      <c r="BI839" s="2"/>
      <c r="BX839" s="2"/>
      <c r="BY839" s="2"/>
      <c r="BZ839" s="2"/>
      <c r="CA839" s="2"/>
      <c r="CB839" s="2"/>
      <c r="CC839" s="2"/>
      <c r="CD839" s="2"/>
    </row>
    <row r="840" spans="12:82" x14ac:dyDescent="0.25"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Z840" s="2"/>
      <c r="BA840" s="2"/>
      <c r="BB840" s="2"/>
      <c r="BG840" s="2"/>
      <c r="BH840" s="2"/>
      <c r="BI840" s="2"/>
      <c r="BX840" s="2"/>
      <c r="BY840" s="2"/>
      <c r="BZ840" s="2"/>
      <c r="CA840" s="2"/>
      <c r="CB840" s="2"/>
      <c r="CC840" s="2"/>
      <c r="CD840" s="2"/>
    </row>
    <row r="841" spans="12:82" x14ac:dyDescent="0.25"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Z841" s="2"/>
      <c r="BA841" s="2"/>
      <c r="BB841" s="2"/>
      <c r="BG841" s="2"/>
      <c r="BH841" s="2"/>
      <c r="BI841" s="2"/>
      <c r="BX841" s="2"/>
      <c r="BY841" s="2"/>
      <c r="BZ841" s="2"/>
      <c r="CA841" s="2"/>
      <c r="CB841" s="2"/>
      <c r="CC841" s="2"/>
      <c r="CD841" s="2"/>
    </row>
    <row r="842" spans="12:82" x14ac:dyDescent="0.25"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Z842" s="2"/>
      <c r="BA842" s="2"/>
      <c r="BB842" s="2"/>
      <c r="BG842" s="2"/>
      <c r="BH842" s="2"/>
      <c r="BI842" s="2"/>
      <c r="BX842" s="2"/>
      <c r="BY842" s="2"/>
      <c r="BZ842" s="2"/>
      <c r="CA842" s="2"/>
      <c r="CB842" s="2"/>
      <c r="CC842" s="2"/>
      <c r="CD842" s="2"/>
    </row>
    <row r="843" spans="12:82" x14ac:dyDescent="0.25"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Z843" s="2"/>
      <c r="BA843" s="2"/>
      <c r="BB843" s="2"/>
      <c r="BG843" s="2"/>
      <c r="BH843" s="2"/>
      <c r="BI843" s="2"/>
      <c r="BX843" s="2"/>
      <c r="BY843" s="2"/>
      <c r="BZ843" s="2"/>
      <c r="CA843" s="2"/>
      <c r="CB843" s="2"/>
      <c r="CC843" s="2"/>
      <c r="CD843" s="2"/>
    </row>
    <row r="844" spans="12:82" x14ac:dyDescent="0.25"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Z844" s="2"/>
      <c r="BA844" s="2"/>
      <c r="BB844" s="2"/>
      <c r="BG844" s="2"/>
      <c r="BH844" s="2"/>
      <c r="BI844" s="2"/>
      <c r="BX844" s="2"/>
      <c r="BY844" s="2"/>
      <c r="BZ844" s="2"/>
      <c r="CA844" s="2"/>
      <c r="CB844" s="2"/>
      <c r="CC844" s="2"/>
      <c r="CD844" s="2"/>
    </row>
    <row r="845" spans="12:82" x14ac:dyDescent="0.25"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Z845" s="2"/>
      <c r="BA845" s="2"/>
      <c r="BB845" s="2"/>
      <c r="BG845" s="2"/>
      <c r="BH845" s="2"/>
      <c r="BI845" s="2"/>
      <c r="BX845" s="2"/>
      <c r="BY845" s="2"/>
      <c r="BZ845" s="2"/>
      <c r="CA845" s="2"/>
      <c r="CB845" s="2"/>
      <c r="CC845" s="2"/>
      <c r="CD845" s="2"/>
    </row>
    <row r="846" spans="12:82" x14ac:dyDescent="0.25"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Z846" s="2"/>
      <c r="BA846" s="2"/>
      <c r="BB846" s="2"/>
      <c r="BG846" s="2"/>
      <c r="BH846" s="2"/>
      <c r="BI846" s="2"/>
      <c r="BX846" s="2"/>
      <c r="BY846" s="2"/>
      <c r="BZ846" s="2"/>
      <c r="CA846" s="2"/>
      <c r="CB846" s="2"/>
      <c r="CC846" s="2"/>
      <c r="CD846" s="2"/>
    </row>
    <row r="847" spans="12:82" x14ac:dyDescent="0.25"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Z847" s="2"/>
      <c r="BA847" s="2"/>
      <c r="BB847" s="2"/>
      <c r="BG847" s="2"/>
      <c r="BH847" s="2"/>
      <c r="BI847" s="2"/>
      <c r="BX847" s="2"/>
      <c r="BY847" s="2"/>
      <c r="BZ847" s="2"/>
      <c r="CA847" s="2"/>
      <c r="CB847" s="2"/>
      <c r="CC847" s="2"/>
      <c r="CD847" s="2"/>
    </row>
    <row r="848" spans="12:82" x14ac:dyDescent="0.25"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Z848" s="2"/>
      <c r="BA848" s="2"/>
      <c r="BB848" s="2"/>
      <c r="BG848" s="2"/>
      <c r="BH848" s="2"/>
      <c r="BI848" s="2"/>
      <c r="BX848" s="2"/>
      <c r="BY848" s="2"/>
      <c r="BZ848" s="2"/>
      <c r="CA848" s="2"/>
      <c r="CB848" s="2"/>
      <c r="CC848" s="2"/>
      <c r="CD848" s="2"/>
    </row>
    <row r="849" spans="12:82" x14ac:dyDescent="0.25"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Z849" s="2"/>
      <c r="BA849" s="2"/>
      <c r="BB849" s="2"/>
      <c r="BG849" s="2"/>
      <c r="BH849" s="2"/>
      <c r="BI849" s="2"/>
      <c r="BX849" s="2"/>
      <c r="BY849" s="2"/>
      <c r="BZ849" s="2"/>
      <c r="CA849" s="2"/>
      <c r="CB849" s="2"/>
      <c r="CC849" s="2"/>
      <c r="CD849" s="2"/>
    </row>
    <row r="850" spans="12:82" x14ac:dyDescent="0.25"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Z850" s="2"/>
      <c r="BA850" s="2"/>
      <c r="BB850" s="2"/>
      <c r="BG850" s="2"/>
      <c r="BH850" s="2"/>
      <c r="BI850" s="2"/>
      <c r="BX850" s="2"/>
      <c r="BY850" s="2"/>
      <c r="BZ850" s="2"/>
      <c r="CA850" s="2"/>
      <c r="CB850" s="2"/>
      <c r="CC850" s="2"/>
      <c r="CD850" s="2"/>
    </row>
    <row r="851" spans="12:82" x14ac:dyDescent="0.25"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Z851" s="2"/>
      <c r="BA851" s="2"/>
      <c r="BB851" s="2"/>
      <c r="BG851" s="2"/>
      <c r="BH851" s="2"/>
      <c r="BI851" s="2"/>
      <c r="BX851" s="2"/>
      <c r="BY851" s="2"/>
      <c r="BZ851" s="2"/>
      <c r="CA851" s="2"/>
      <c r="CB851" s="2"/>
      <c r="CC851" s="2"/>
      <c r="CD851" s="2"/>
    </row>
    <row r="852" spans="12:82" x14ac:dyDescent="0.25"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Z852" s="2"/>
      <c r="BA852" s="2"/>
      <c r="BB852" s="2"/>
      <c r="BG852" s="2"/>
      <c r="BH852" s="2"/>
      <c r="BI852" s="2"/>
      <c r="BX852" s="2"/>
      <c r="BY852" s="2"/>
      <c r="BZ852" s="2"/>
      <c r="CA852" s="2"/>
      <c r="CB852" s="2"/>
      <c r="CC852" s="2"/>
      <c r="CD852" s="2"/>
    </row>
    <row r="853" spans="12:82" x14ac:dyDescent="0.25"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Z853" s="2"/>
      <c r="BA853" s="2"/>
      <c r="BB853" s="2"/>
      <c r="BG853" s="2"/>
      <c r="BH853" s="2"/>
      <c r="BI853" s="2"/>
      <c r="BX853" s="2"/>
      <c r="BY853" s="2"/>
      <c r="BZ853" s="2"/>
      <c r="CA853" s="2"/>
      <c r="CB853" s="2"/>
      <c r="CC853" s="2"/>
      <c r="CD853" s="2"/>
    </row>
    <row r="854" spans="12:82" x14ac:dyDescent="0.25"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Z854" s="2"/>
      <c r="BA854" s="2"/>
      <c r="BB854" s="2"/>
      <c r="BG854" s="2"/>
      <c r="BH854" s="2"/>
      <c r="BI854" s="2"/>
      <c r="BX854" s="2"/>
      <c r="BY854" s="2"/>
      <c r="BZ854" s="2"/>
      <c r="CA854" s="2"/>
      <c r="CB854" s="2"/>
      <c r="CC854" s="2"/>
      <c r="CD854" s="2"/>
    </row>
    <row r="855" spans="12:82" x14ac:dyDescent="0.25"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Z855" s="2"/>
      <c r="BA855" s="2"/>
      <c r="BB855" s="2"/>
      <c r="BG855" s="2"/>
      <c r="BH855" s="2"/>
      <c r="BI855" s="2"/>
      <c r="BX855" s="2"/>
      <c r="BY855" s="2"/>
      <c r="BZ855" s="2"/>
      <c r="CA855" s="2"/>
      <c r="CB855" s="2"/>
      <c r="CC855" s="2"/>
      <c r="CD855" s="2"/>
    </row>
    <row r="856" spans="12:82" x14ac:dyDescent="0.25"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Z856" s="2"/>
      <c r="BA856" s="2"/>
      <c r="BB856" s="2"/>
      <c r="BG856" s="2"/>
      <c r="BH856" s="2"/>
      <c r="BI856" s="2"/>
      <c r="BX856" s="2"/>
      <c r="BY856" s="2"/>
      <c r="BZ856" s="2"/>
      <c r="CA856" s="2"/>
      <c r="CB856" s="2"/>
      <c r="CC856" s="2"/>
      <c r="CD856" s="2"/>
    </row>
    <row r="857" spans="12:82" x14ac:dyDescent="0.25"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Z857" s="2"/>
      <c r="BA857" s="2"/>
      <c r="BB857" s="2"/>
      <c r="BG857" s="2"/>
      <c r="BH857" s="2"/>
      <c r="BI857" s="2"/>
      <c r="BX857" s="2"/>
      <c r="BY857" s="2"/>
      <c r="BZ857" s="2"/>
      <c r="CA857" s="2"/>
      <c r="CB857" s="2"/>
      <c r="CC857" s="2"/>
      <c r="CD857" s="2"/>
    </row>
    <row r="858" spans="12:82" x14ac:dyDescent="0.25"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Z858" s="2"/>
      <c r="BA858" s="2"/>
      <c r="BB858" s="2"/>
      <c r="BG858" s="2"/>
      <c r="BH858" s="2"/>
      <c r="BI858" s="2"/>
      <c r="BX858" s="2"/>
      <c r="BY858" s="2"/>
      <c r="BZ858" s="2"/>
      <c r="CA858" s="2"/>
      <c r="CB858" s="2"/>
      <c r="CC858" s="2"/>
      <c r="CD858" s="2"/>
    </row>
    <row r="859" spans="12:82" x14ac:dyDescent="0.25"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Z859" s="2"/>
      <c r="BA859" s="2"/>
      <c r="BB859" s="2"/>
      <c r="BG859" s="2"/>
      <c r="BH859" s="2"/>
      <c r="BI859" s="2"/>
      <c r="BX859" s="2"/>
      <c r="BY859" s="2"/>
      <c r="BZ859" s="2"/>
      <c r="CA859" s="2"/>
      <c r="CB859" s="2"/>
      <c r="CC859" s="2"/>
      <c r="CD859" s="2"/>
    </row>
    <row r="860" spans="12:82" x14ac:dyDescent="0.25"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Z860" s="2"/>
      <c r="BA860" s="2"/>
      <c r="BB860" s="2"/>
      <c r="BG860" s="2"/>
      <c r="BH860" s="2"/>
      <c r="BI860" s="2"/>
      <c r="BX860" s="2"/>
      <c r="BY860" s="2"/>
      <c r="BZ860" s="2"/>
      <c r="CA860" s="2"/>
      <c r="CB860" s="2"/>
      <c r="CC860" s="2"/>
      <c r="CD860" s="2"/>
    </row>
    <row r="861" spans="12:82" x14ac:dyDescent="0.25"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Z861" s="2"/>
      <c r="BA861" s="2"/>
      <c r="BB861" s="2"/>
      <c r="BG861" s="2"/>
      <c r="BH861" s="2"/>
      <c r="BI861" s="2"/>
      <c r="BX861" s="2"/>
      <c r="BY861" s="2"/>
      <c r="BZ861" s="2"/>
      <c r="CA861" s="2"/>
      <c r="CB861" s="2"/>
      <c r="CC861" s="2"/>
      <c r="CD861" s="2"/>
    </row>
    <row r="862" spans="12:82" x14ac:dyDescent="0.25"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Z862" s="2"/>
      <c r="BA862" s="2"/>
      <c r="BB862" s="2"/>
      <c r="BG862" s="2"/>
      <c r="BH862" s="2"/>
      <c r="BI862" s="2"/>
      <c r="BX862" s="2"/>
      <c r="BY862" s="2"/>
      <c r="BZ862" s="2"/>
      <c r="CA862" s="2"/>
      <c r="CB862" s="2"/>
      <c r="CC862" s="2"/>
      <c r="CD862" s="2"/>
    </row>
    <row r="863" spans="12:82" x14ac:dyDescent="0.25"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Z863" s="2"/>
      <c r="BA863" s="2"/>
      <c r="BB863" s="2"/>
      <c r="BG863" s="2"/>
      <c r="BH863" s="2"/>
      <c r="BI863" s="2"/>
      <c r="BX863" s="2"/>
      <c r="BY863" s="2"/>
      <c r="BZ863" s="2"/>
      <c r="CA863" s="2"/>
      <c r="CB863" s="2"/>
      <c r="CC863" s="2"/>
      <c r="CD863" s="2"/>
    </row>
    <row r="864" spans="12:82" x14ac:dyDescent="0.25"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Z864" s="2"/>
      <c r="BA864" s="2"/>
      <c r="BB864" s="2"/>
      <c r="BG864" s="2"/>
      <c r="BH864" s="2"/>
      <c r="BI864" s="2"/>
      <c r="BX864" s="2"/>
      <c r="BY864" s="2"/>
      <c r="BZ864" s="2"/>
      <c r="CA864" s="2"/>
      <c r="CB864" s="2"/>
      <c r="CC864" s="2"/>
      <c r="CD864" s="2"/>
    </row>
    <row r="865" spans="12:82" x14ac:dyDescent="0.25"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Z865" s="2"/>
      <c r="BA865" s="2"/>
      <c r="BB865" s="2"/>
      <c r="BG865" s="2"/>
      <c r="BH865" s="2"/>
      <c r="BI865" s="2"/>
      <c r="BX865" s="2"/>
      <c r="BY865" s="2"/>
      <c r="BZ865" s="2"/>
      <c r="CA865" s="2"/>
      <c r="CB865" s="2"/>
      <c r="CC865" s="2"/>
      <c r="CD865" s="2"/>
    </row>
    <row r="866" spans="12:82" x14ac:dyDescent="0.25"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Z866" s="2"/>
      <c r="BA866" s="2"/>
      <c r="BB866" s="2"/>
      <c r="BG866" s="2"/>
      <c r="BH866" s="2"/>
      <c r="BI866" s="2"/>
      <c r="BX866" s="2"/>
      <c r="BY866" s="2"/>
      <c r="BZ866" s="2"/>
      <c r="CA866" s="2"/>
      <c r="CB866" s="2"/>
      <c r="CC866" s="2"/>
      <c r="CD866" s="2"/>
    </row>
    <row r="867" spans="12:82" x14ac:dyDescent="0.25"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Z867" s="2"/>
      <c r="BA867" s="2"/>
      <c r="BB867" s="2"/>
      <c r="BG867" s="2"/>
      <c r="BH867" s="2"/>
      <c r="BI867" s="2"/>
      <c r="BX867" s="2"/>
      <c r="BY867" s="2"/>
      <c r="BZ867" s="2"/>
      <c r="CA867" s="2"/>
      <c r="CB867" s="2"/>
      <c r="CC867" s="2"/>
      <c r="CD867" s="2"/>
    </row>
    <row r="868" spans="12:82" x14ac:dyDescent="0.25"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Z868" s="2"/>
      <c r="BA868" s="2"/>
      <c r="BB868" s="2"/>
      <c r="BG868" s="2"/>
      <c r="BH868" s="2"/>
      <c r="BI868" s="2"/>
      <c r="BX868" s="2"/>
      <c r="BY868" s="2"/>
      <c r="BZ868" s="2"/>
      <c r="CA868" s="2"/>
      <c r="CB868" s="2"/>
      <c r="CC868" s="2"/>
      <c r="CD868" s="2"/>
    </row>
    <row r="869" spans="12:82" x14ac:dyDescent="0.25"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Z869" s="2"/>
      <c r="BA869" s="2"/>
      <c r="BB869" s="2"/>
      <c r="BG869" s="2"/>
      <c r="BH869" s="2"/>
      <c r="BI869" s="2"/>
      <c r="BX869" s="2"/>
      <c r="BY869" s="2"/>
      <c r="BZ869" s="2"/>
      <c r="CA869" s="2"/>
      <c r="CB869" s="2"/>
      <c r="CC869" s="2"/>
      <c r="CD869" s="2"/>
    </row>
    <row r="870" spans="12:82" x14ac:dyDescent="0.25"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Z870" s="2"/>
      <c r="BA870" s="2"/>
      <c r="BB870" s="2"/>
      <c r="BG870" s="2"/>
      <c r="BH870" s="2"/>
      <c r="BI870" s="2"/>
      <c r="BX870" s="2"/>
      <c r="BY870" s="2"/>
      <c r="BZ870" s="2"/>
      <c r="CA870" s="2"/>
      <c r="CB870" s="2"/>
      <c r="CC870" s="2"/>
      <c r="CD870" s="2"/>
    </row>
    <row r="871" spans="12:82" x14ac:dyDescent="0.25"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Z871" s="2"/>
      <c r="BA871" s="2"/>
      <c r="BB871" s="2"/>
      <c r="BG871" s="2"/>
      <c r="BH871" s="2"/>
      <c r="BI871" s="2"/>
      <c r="BX871" s="2"/>
      <c r="BY871" s="2"/>
      <c r="BZ871" s="2"/>
      <c r="CA871" s="2"/>
      <c r="CB871" s="2"/>
      <c r="CC871" s="2"/>
      <c r="CD871" s="2"/>
    </row>
    <row r="872" spans="12:82" x14ac:dyDescent="0.25"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Z872" s="2"/>
      <c r="BA872" s="2"/>
      <c r="BB872" s="2"/>
      <c r="BG872" s="2"/>
      <c r="BH872" s="2"/>
      <c r="BI872" s="2"/>
      <c r="BX872" s="2"/>
      <c r="BY872" s="2"/>
      <c r="BZ872" s="2"/>
      <c r="CA872" s="2"/>
      <c r="CB872" s="2"/>
      <c r="CC872" s="2"/>
      <c r="CD872" s="2"/>
    </row>
    <row r="873" spans="12:82" x14ac:dyDescent="0.25"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Z873" s="2"/>
      <c r="BA873" s="2"/>
      <c r="BB873" s="2"/>
      <c r="BG873" s="2"/>
      <c r="BH873" s="2"/>
      <c r="BI873" s="2"/>
      <c r="BX873" s="2"/>
      <c r="BY873" s="2"/>
      <c r="BZ873" s="2"/>
      <c r="CA873" s="2"/>
      <c r="CB873" s="2"/>
      <c r="CC873" s="2"/>
      <c r="CD873" s="2"/>
    </row>
    <row r="874" spans="12:82" x14ac:dyDescent="0.25"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Z874" s="2"/>
      <c r="BA874" s="2"/>
      <c r="BB874" s="2"/>
      <c r="BG874" s="2"/>
      <c r="BH874" s="2"/>
      <c r="BI874" s="2"/>
      <c r="BX874" s="2"/>
      <c r="BY874" s="2"/>
      <c r="BZ874" s="2"/>
      <c r="CA874" s="2"/>
      <c r="CB874" s="2"/>
      <c r="CC874" s="2"/>
      <c r="CD874" s="2"/>
    </row>
    <row r="875" spans="12:82" x14ac:dyDescent="0.25"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Z875" s="2"/>
      <c r="BA875" s="2"/>
      <c r="BB875" s="2"/>
      <c r="BG875" s="2"/>
      <c r="BH875" s="2"/>
      <c r="BI875" s="2"/>
      <c r="BX875" s="2"/>
      <c r="BY875" s="2"/>
      <c r="BZ875" s="2"/>
      <c r="CA875" s="2"/>
      <c r="CB875" s="2"/>
      <c r="CC875" s="2"/>
      <c r="CD875" s="2"/>
    </row>
    <row r="876" spans="12:82" x14ac:dyDescent="0.25"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Z876" s="2"/>
      <c r="BA876" s="2"/>
      <c r="BB876" s="2"/>
      <c r="BG876" s="2"/>
      <c r="BH876" s="2"/>
      <c r="BI876" s="2"/>
      <c r="BX876" s="2"/>
      <c r="BY876" s="2"/>
      <c r="BZ876" s="2"/>
      <c r="CA876" s="2"/>
      <c r="CB876" s="2"/>
      <c r="CC876" s="2"/>
      <c r="CD876" s="2"/>
    </row>
    <row r="877" spans="12:82" x14ac:dyDescent="0.25"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Z877" s="2"/>
      <c r="BA877" s="2"/>
      <c r="BB877" s="2"/>
      <c r="BG877" s="2"/>
      <c r="BH877" s="2"/>
      <c r="BI877" s="2"/>
      <c r="BX877" s="2"/>
      <c r="BY877" s="2"/>
      <c r="BZ877" s="2"/>
      <c r="CA877" s="2"/>
      <c r="CB877" s="2"/>
      <c r="CC877" s="2"/>
      <c r="CD877" s="2"/>
    </row>
    <row r="878" spans="12:82" x14ac:dyDescent="0.25"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Z878" s="2"/>
      <c r="BA878" s="2"/>
      <c r="BB878" s="2"/>
      <c r="BG878" s="2"/>
      <c r="BH878" s="2"/>
      <c r="BI878" s="2"/>
      <c r="BX878" s="2"/>
      <c r="BY878" s="2"/>
      <c r="BZ878" s="2"/>
      <c r="CA878" s="2"/>
      <c r="CB878" s="2"/>
      <c r="CC878" s="2"/>
      <c r="CD878" s="2"/>
    </row>
    <row r="879" spans="12:82" x14ac:dyDescent="0.25"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Z879" s="2"/>
      <c r="BA879" s="2"/>
      <c r="BB879" s="2"/>
      <c r="BG879" s="2"/>
      <c r="BH879" s="2"/>
      <c r="BI879" s="2"/>
      <c r="BX879" s="2"/>
      <c r="BY879" s="2"/>
      <c r="BZ879" s="2"/>
      <c r="CA879" s="2"/>
      <c r="CB879" s="2"/>
      <c r="CC879" s="2"/>
      <c r="CD879" s="2"/>
    </row>
    <row r="880" spans="12:82" x14ac:dyDescent="0.25"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Z880" s="2"/>
      <c r="BA880" s="2"/>
      <c r="BB880" s="2"/>
      <c r="BG880" s="2"/>
      <c r="BH880" s="2"/>
      <c r="BI880" s="2"/>
      <c r="BX880" s="2"/>
      <c r="BY880" s="2"/>
      <c r="BZ880" s="2"/>
      <c r="CA880" s="2"/>
      <c r="CB880" s="2"/>
      <c r="CC880" s="2"/>
      <c r="CD880" s="2"/>
    </row>
    <row r="881" spans="12:82" x14ac:dyDescent="0.25"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Z881" s="2"/>
      <c r="BA881" s="2"/>
      <c r="BB881" s="2"/>
      <c r="BG881" s="2"/>
      <c r="BH881" s="2"/>
      <c r="BI881" s="2"/>
      <c r="BX881" s="2"/>
      <c r="BY881" s="2"/>
      <c r="BZ881" s="2"/>
      <c r="CA881" s="2"/>
      <c r="CB881" s="2"/>
      <c r="CC881" s="2"/>
      <c r="CD881" s="2"/>
    </row>
    <row r="882" spans="12:82" x14ac:dyDescent="0.25"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2:82" x14ac:dyDescent="0.25"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2:82" x14ac:dyDescent="0.25"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2:82" x14ac:dyDescent="0.25"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2:82" x14ac:dyDescent="0.25"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2:82" x14ac:dyDescent="0.25"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2:82" x14ac:dyDescent="0.25"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2:82" x14ac:dyDescent="0.25"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2:82" x14ac:dyDescent="0.25"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2:82" x14ac:dyDescent="0.25"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2:82" x14ac:dyDescent="0.25"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2:82" x14ac:dyDescent="0.25"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2:82" x14ac:dyDescent="0.25"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2:82" x14ac:dyDescent="0.25"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2:82" x14ac:dyDescent="0.25"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2:29" x14ac:dyDescent="0.25"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2:29" x14ac:dyDescent="0.25"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2:29" x14ac:dyDescent="0.25"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2:29" x14ac:dyDescent="0.25"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2:29" x14ac:dyDescent="0.25"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2:29" x14ac:dyDescent="0.25"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2:29" x14ac:dyDescent="0.25"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2:29" x14ac:dyDescent="0.25"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2:29" x14ac:dyDescent="0.25"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2:29" x14ac:dyDescent="0.25"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2:29" x14ac:dyDescent="0.25"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2:29" x14ac:dyDescent="0.25"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2:29" x14ac:dyDescent="0.25"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2:29" x14ac:dyDescent="0.25"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2:29" x14ac:dyDescent="0.25"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2:29" x14ac:dyDescent="0.25"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2:29" x14ac:dyDescent="0.25"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2:29" x14ac:dyDescent="0.25"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2:29" x14ac:dyDescent="0.25"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2:29" x14ac:dyDescent="0.25"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2:29" x14ac:dyDescent="0.25"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2:29" x14ac:dyDescent="0.25"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2:29" x14ac:dyDescent="0.25"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2:29" x14ac:dyDescent="0.25"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2:29" x14ac:dyDescent="0.25"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2:29" x14ac:dyDescent="0.25"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2:29" x14ac:dyDescent="0.25"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2:29" x14ac:dyDescent="0.25"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2:29" x14ac:dyDescent="0.25"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2:29" x14ac:dyDescent="0.25"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2:29" x14ac:dyDescent="0.25"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2:29" x14ac:dyDescent="0.25"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2:29" x14ac:dyDescent="0.25"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2:29" x14ac:dyDescent="0.25"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2:29" x14ac:dyDescent="0.25"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2:29" x14ac:dyDescent="0.25"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2:29" x14ac:dyDescent="0.25"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2:29" x14ac:dyDescent="0.25"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2:29" x14ac:dyDescent="0.25"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2:29" x14ac:dyDescent="0.25"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2:29" x14ac:dyDescent="0.25"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2:29" x14ac:dyDescent="0.25"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2:29" x14ac:dyDescent="0.25"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2:29" x14ac:dyDescent="0.25"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2:29" x14ac:dyDescent="0.25"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2:29" x14ac:dyDescent="0.25"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2:29" x14ac:dyDescent="0.25"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2:29" x14ac:dyDescent="0.25"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2:29" x14ac:dyDescent="0.25"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2:29" x14ac:dyDescent="0.25"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2:29" x14ac:dyDescent="0.25"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2:29" x14ac:dyDescent="0.25"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2:29" x14ac:dyDescent="0.25"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2:29" x14ac:dyDescent="0.25"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2:29" x14ac:dyDescent="0.25"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2:29" x14ac:dyDescent="0.25"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2:29" x14ac:dyDescent="0.25"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2:29" x14ac:dyDescent="0.25"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2:29" x14ac:dyDescent="0.25"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2:29" x14ac:dyDescent="0.25"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2:29" x14ac:dyDescent="0.25"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2:29" x14ac:dyDescent="0.25"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2:29" x14ac:dyDescent="0.25"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2:29" x14ac:dyDescent="0.25"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2:29" x14ac:dyDescent="0.25"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2:29" x14ac:dyDescent="0.25"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2:29" x14ac:dyDescent="0.25"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2:29" x14ac:dyDescent="0.25"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2:29" x14ac:dyDescent="0.25"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2:29" x14ac:dyDescent="0.25"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2:29" x14ac:dyDescent="0.25"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2:29" x14ac:dyDescent="0.25"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2:29" x14ac:dyDescent="0.25"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2:29" x14ac:dyDescent="0.25"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2:29" x14ac:dyDescent="0.25"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2:29" x14ac:dyDescent="0.25"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2:29" x14ac:dyDescent="0.25"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2:29" x14ac:dyDescent="0.25"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2:29" x14ac:dyDescent="0.25"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2:29" x14ac:dyDescent="0.25"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2:29" x14ac:dyDescent="0.25"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2:29" x14ac:dyDescent="0.25"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2:29" x14ac:dyDescent="0.25"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2:29" x14ac:dyDescent="0.25"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2:29" x14ac:dyDescent="0.25"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2:29" x14ac:dyDescent="0.25"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2:29" x14ac:dyDescent="0.25"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2:29" x14ac:dyDescent="0.25"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2:29" x14ac:dyDescent="0.25"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2:29" x14ac:dyDescent="0.25"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2:29" x14ac:dyDescent="0.25"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2:29" x14ac:dyDescent="0.25"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2:29" x14ac:dyDescent="0.25"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2:29" x14ac:dyDescent="0.25"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2:29" x14ac:dyDescent="0.25"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2:29" x14ac:dyDescent="0.25"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2:29" x14ac:dyDescent="0.25"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2:29" x14ac:dyDescent="0.25"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2:29" x14ac:dyDescent="0.25"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2:29" x14ac:dyDescent="0.25"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2:29" x14ac:dyDescent="0.25"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2:29" x14ac:dyDescent="0.25"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2:29" x14ac:dyDescent="0.25"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2:29" x14ac:dyDescent="0.25"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2:29" x14ac:dyDescent="0.25"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2:29" x14ac:dyDescent="0.25"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2:29" x14ac:dyDescent="0.25"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2:29" x14ac:dyDescent="0.25"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2:29" x14ac:dyDescent="0.25"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2:29" x14ac:dyDescent="0.25"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2:29" x14ac:dyDescent="0.25"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2:29" x14ac:dyDescent="0.25"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2:29" x14ac:dyDescent="0.25"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2:29" x14ac:dyDescent="0.25"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2:29" x14ac:dyDescent="0.25"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2:29" x14ac:dyDescent="0.25"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2:29" x14ac:dyDescent="0.25"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2:29" x14ac:dyDescent="0.25"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2:29" x14ac:dyDescent="0.25"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2:29" x14ac:dyDescent="0.25"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2:29" x14ac:dyDescent="0.25"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2:29" x14ac:dyDescent="0.25"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2:29" x14ac:dyDescent="0.25"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2:29" x14ac:dyDescent="0.25"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2:29" x14ac:dyDescent="0.25"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2:29" x14ac:dyDescent="0.25"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2:29" x14ac:dyDescent="0.25"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2:29" x14ac:dyDescent="0.25"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2:29" x14ac:dyDescent="0.25"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2:29" x14ac:dyDescent="0.25"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2:29" x14ac:dyDescent="0.25"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2:29" x14ac:dyDescent="0.25"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2:29" x14ac:dyDescent="0.25"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2:29" x14ac:dyDescent="0.25"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2:29" x14ac:dyDescent="0.25"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2:29" x14ac:dyDescent="0.25"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2:29" x14ac:dyDescent="0.25"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2:29" x14ac:dyDescent="0.25"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2:29" x14ac:dyDescent="0.25"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2:29" x14ac:dyDescent="0.25"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2:29" x14ac:dyDescent="0.25"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2:29" x14ac:dyDescent="0.25"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2:29" x14ac:dyDescent="0.25"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2:29" x14ac:dyDescent="0.25"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2:29" x14ac:dyDescent="0.25"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2:29" x14ac:dyDescent="0.25"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2:29" x14ac:dyDescent="0.25"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2:29" x14ac:dyDescent="0.25"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2:29" x14ac:dyDescent="0.25"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2:29" x14ac:dyDescent="0.25"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2:29" x14ac:dyDescent="0.25"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2:29" x14ac:dyDescent="0.25"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2:29" x14ac:dyDescent="0.25"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2:29" x14ac:dyDescent="0.25"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2:29" x14ac:dyDescent="0.25"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2:29" x14ac:dyDescent="0.25"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2:29" x14ac:dyDescent="0.25"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2:29" x14ac:dyDescent="0.25"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2:29" x14ac:dyDescent="0.25"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2:29" x14ac:dyDescent="0.25"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2:29" x14ac:dyDescent="0.25"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2:29" x14ac:dyDescent="0.25"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2:29" x14ac:dyDescent="0.25"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2:29" x14ac:dyDescent="0.25"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2:29" x14ac:dyDescent="0.25"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2:29" x14ac:dyDescent="0.25"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2:29" x14ac:dyDescent="0.25"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2:29" x14ac:dyDescent="0.25"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2:29" x14ac:dyDescent="0.25"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2:29" x14ac:dyDescent="0.25"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2:29" x14ac:dyDescent="0.25"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2:29" x14ac:dyDescent="0.25"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2:29" x14ac:dyDescent="0.25"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2:29" x14ac:dyDescent="0.25"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2:29" x14ac:dyDescent="0.25"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2:29" x14ac:dyDescent="0.25"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2:29" x14ac:dyDescent="0.25"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2:29" x14ac:dyDescent="0.25"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2:29" x14ac:dyDescent="0.25"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2:29" x14ac:dyDescent="0.25"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2:29" x14ac:dyDescent="0.25"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2:29" x14ac:dyDescent="0.25"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2:29" x14ac:dyDescent="0.25"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2:29" x14ac:dyDescent="0.25"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2:29" x14ac:dyDescent="0.25"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2:29" x14ac:dyDescent="0.25"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2:29" x14ac:dyDescent="0.25"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2:29" x14ac:dyDescent="0.25"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2:29" x14ac:dyDescent="0.25"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2:29" x14ac:dyDescent="0.25"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2:29" x14ac:dyDescent="0.25"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2:29" x14ac:dyDescent="0.25"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</sheetData>
  <sortState xmlns:xlrd2="http://schemas.microsoft.com/office/spreadsheetml/2017/richdata2" ref="AQ2:AQ21">
    <sortCondition ref="AQ2:AQ21"/>
  </sortState>
  <phoneticPr fontId="5" type="noConversion"/>
  <conditionalFormatting sqref="BH2:BH21 BH23:BH25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23:BO25 BO27 BO2:BO21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:BP21 BP27:BW27 BP23:BP2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7:BB28 AY23:BB25 AY2:BB21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7:AW28 AR23:AW25 AR2:AW2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7:BB28 AZ23:BB25 AZ2:BB21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27:BA28 BA23:BA25 BA2:BA21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27:BW27 BO23:BP25 BO2:BP21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23:BI25 BI27 BH2:BI21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J23:CJ25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23:CK25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3:BD25 BD2:BD21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:BE25 BE2:BE21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3:BK25 BK2:BK21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23:BL25 BL2:BL21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3:AZ25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3:AR25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3:CP25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23:CQ25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2:BR21 BR23:BR25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2:BS21 BS23:BS25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:BT21 BT23:BT25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U2:BU21 BU23:BU25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V2:BV21 BV23:BV25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2:BW21 BW23:BW25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:AR21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3:AY25 AY2:AY21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2:AZ21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3:BY25 BY2:BY21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Z23:BZ25 BZ2:BZ21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F23:CF25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3:CG25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3:CH25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3:CI25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:CF21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:CG21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:CH21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:CI21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2:CJ21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2:CK21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3:CL25 CL2:CL21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23:CM25 CM2:CM21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3:CN25 CN2:CN21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3:CO25 CO2:CO21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P2:CP21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2:CQ21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23:CS25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3:CT25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2:CS21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2:CT21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23:DJ25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3:DM25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23:CV25 CV2:CV21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DA21 CW23:DI25 DC2:DH21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2:DJ21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:DK21 DK23:DL2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:DM21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23:BI25 BI27 BI2:BI21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O23:DO25 DO2:DO21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23:DP25 DP2:DP21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76:BD78 BF76:BF78 BH76:BH78 BJ76:BJ78 BL76:BL78 BN76:BN7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83:BG98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83:BF98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83:BH98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3:BF25 BF2:BF21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23:BG25 BG2:BG21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23:BM25 BM2:BM21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23:BN25 BN2:BN21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8:BW28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28:BW28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36:BD38 BF36:BF38 BH36:BH38 BJ36:BJ38 BL36:BL38 BN36:BN3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3:BG58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43:BF5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43:BH58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50:BK53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50:BL53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50:BM53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55:BK6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0:BN53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50:BO53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50:BW5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5:BN62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P55:BW62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14:BJ119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7:CD28 CC2:CD21 CC23:CD25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A2:CA21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B2:CB21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V2:DA21 CX23:CX25 DC2:DH21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2:DK2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23:DP25 DN2:DP21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2:CV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W2:CW2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2:CX2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Y2:CY2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Z2:CZ2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A2:DA21 DC2:DH2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3:DC2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3:DD2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E3:DE2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F3:DF2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G3:DG2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3:DH2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H2:DH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G2:DG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F2:DF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E2:DE2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D2:DD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C2:DC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2:AU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2:AW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disablePrompts="1" count="1">
    <dataValidation type="list" allowBlank="1" showInputMessage="1" showErrorMessage="1" sqref="BD81" xr:uid="{8E70BEA3-9956-46B1-B8F7-F8F5372A22A9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X22:BB22 BK22:BP22 AR2:AS22 AT22:AW22 BK2:BP7 DM2:DP21 AY2:BB21 BD2:BG7 BR2:BW21 BY2:CD21 CF2:CQ21 CS2:CT21 CV2:DA21 DC2:DH21 DJ2:DK21 BD9:BG13 BD8:BE8 BG8 BD15:BG21 BD14:BF14 BK9:BP13 BK8:BL8 BN8:BP8 BK15:BP19 BK14:BM14 BO14 BK21:BP21 BK20:BN20 BP20 BD22:BG22 BR22:BW22 BY22:CD22 CF22:CQ22 CS22:CT22 CV22:DA22 DC22:DH22 DJ22:DK22 DM22:DP22" calculatedColumn="1"/>
  </ignoredErrors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5A72-3826-46B2-8CFC-71BD95F922CE}">
  <sheetPr codeName="Planilha8"/>
  <dimension ref="A1:I118"/>
  <sheetViews>
    <sheetView topLeftCell="A75" workbookViewId="0">
      <selection activeCell="A2" sqref="A2:I118"/>
    </sheetView>
  </sheetViews>
  <sheetFormatPr defaultRowHeight="15" x14ac:dyDescent="0.25"/>
  <cols>
    <col min="1" max="1" width="10.7109375" bestFit="1" customWidth="1"/>
    <col min="2" max="3" width="15.85546875" bestFit="1" customWidth="1"/>
    <col min="4" max="5" width="6" bestFit="1" customWidth="1"/>
    <col min="6" max="6" width="6.42578125" bestFit="1" customWidth="1"/>
    <col min="7" max="9" width="9.85546875" bestFit="1" customWidth="1"/>
    <col min="10" max="12" width="7.85546875" bestFit="1" customWidth="1"/>
    <col min="13" max="13" width="6.42578125" bestFit="1" customWidth="1"/>
    <col min="14" max="16" width="7.85546875" bestFit="1" customWidth="1"/>
    <col min="17" max="19" width="9.5703125" bestFit="1" customWidth="1"/>
    <col min="20" max="22" width="9" bestFit="1" customWidth="1"/>
    <col min="23" max="25" width="8.85546875" bestFit="1" customWidth="1"/>
  </cols>
  <sheetData>
    <row r="1" spans="1:9" x14ac:dyDescent="0.25">
      <c r="A1" t="s">
        <v>34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384</v>
      </c>
      <c r="H1" t="s">
        <v>385</v>
      </c>
      <c r="I1" t="s">
        <v>386</v>
      </c>
    </row>
    <row r="2" spans="1:9" x14ac:dyDescent="0.25">
      <c r="A2" s="4">
        <v>46050</v>
      </c>
      <c r="B2" t="s">
        <v>359</v>
      </c>
      <c r="C2" t="s">
        <v>353</v>
      </c>
      <c r="D2">
        <v>2</v>
      </c>
      <c r="E2">
        <v>2</v>
      </c>
      <c r="F2" t="s">
        <v>348</v>
      </c>
      <c r="G2">
        <v>3</v>
      </c>
      <c r="H2">
        <v>3.1</v>
      </c>
      <c r="I2">
        <v>2.5</v>
      </c>
    </row>
    <row r="3" spans="1:9" x14ac:dyDescent="0.25">
      <c r="A3" s="4">
        <v>46050</v>
      </c>
      <c r="B3" t="s">
        <v>387</v>
      </c>
      <c r="C3" t="s">
        <v>355</v>
      </c>
      <c r="D3">
        <v>0</v>
      </c>
      <c r="E3">
        <v>1</v>
      </c>
      <c r="F3" t="s">
        <v>346</v>
      </c>
      <c r="G3">
        <v>2.7</v>
      </c>
      <c r="H3">
        <v>2.82</v>
      </c>
      <c r="I3">
        <v>2.82</v>
      </c>
    </row>
    <row r="4" spans="1:9" x14ac:dyDescent="0.25">
      <c r="A4" s="4">
        <v>46050</v>
      </c>
      <c r="B4" t="s">
        <v>354</v>
      </c>
      <c r="C4" t="s">
        <v>388</v>
      </c>
      <c r="D4">
        <v>0</v>
      </c>
      <c r="E4">
        <v>1</v>
      </c>
      <c r="F4" t="s">
        <v>346</v>
      </c>
      <c r="G4">
        <v>1.96</v>
      </c>
      <c r="H4">
        <v>3.25</v>
      </c>
      <c r="I4">
        <v>3.9</v>
      </c>
    </row>
    <row r="5" spans="1:9" x14ac:dyDescent="0.25">
      <c r="A5" s="4">
        <v>46050</v>
      </c>
      <c r="B5" t="s">
        <v>381</v>
      </c>
      <c r="C5" t="s">
        <v>389</v>
      </c>
      <c r="D5">
        <v>2</v>
      </c>
      <c r="E5">
        <v>0</v>
      </c>
      <c r="F5" t="s">
        <v>347</v>
      </c>
      <c r="G5">
        <v>1.79</v>
      </c>
      <c r="H5">
        <v>3.4</v>
      </c>
      <c r="I5">
        <v>4.75</v>
      </c>
    </row>
    <row r="6" spans="1:9" x14ac:dyDescent="0.25">
      <c r="A6" s="4">
        <v>46050</v>
      </c>
      <c r="B6" t="s">
        <v>352</v>
      </c>
      <c r="C6" t="s">
        <v>361</v>
      </c>
      <c r="D6">
        <v>2</v>
      </c>
      <c r="E6">
        <v>1</v>
      </c>
      <c r="F6" t="s">
        <v>347</v>
      </c>
      <c r="G6">
        <v>1.53</v>
      </c>
      <c r="H6">
        <v>4.0999999999999996</v>
      </c>
      <c r="I6">
        <v>6</v>
      </c>
    </row>
    <row r="7" spans="1:9" x14ac:dyDescent="0.25">
      <c r="A7" s="4">
        <v>46050</v>
      </c>
      <c r="B7" t="s">
        <v>390</v>
      </c>
      <c r="C7" t="s">
        <v>362</v>
      </c>
      <c r="D7">
        <v>4</v>
      </c>
      <c r="E7">
        <v>2</v>
      </c>
      <c r="F7" t="s">
        <v>347</v>
      </c>
      <c r="G7">
        <v>3</v>
      </c>
      <c r="H7">
        <v>3.1</v>
      </c>
      <c r="I7">
        <v>2.5</v>
      </c>
    </row>
    <row r="8" spans="1:9" x14ac:dyDescent="0.25">
      <c r="A8" s="4">
        <v>46050</v>
      </c>
      <c r="B8" t="s">
        <v>357</v>
      </c>
      <c r="C8" t="s">
        <v>356</v>
      </c>
      <c r="D8">
        <v>1</v>
      </c>
      <c r="E8">
        <v>2</v>
      </c>
      <c r="F8" t="s">
        <v>346</v>
      </c>
      <c r="G8">
        <v>2.2000000000000002</v>
      </c>
      <c r="H8">
        <v>3.5</v>
      </c>
      <c r="I8">
        <v>3.2</v>
      </c>
    </row>
    <row r="9" spans="1:9" x14ac:dyDescent="0.25">
      <c r="A9" s="4">
        <v>46051</v>
      </c>
      <c r="B9" t="s">
        <v>351</v>
      </c>
      <c r="C9" t="s">
        <v>363</v>
      </c>
      <c r="D9">
        <v>2</v>
      </c>
      <c r="E9">
        <v>1</v>
      </c>
      <c r="F9" t="s">
        <v>347</v>
      </c>
      <c r="G9">
        <v>3.7</v>
      </c>
      <c r="H9">
        <v>3</v>
      </c>
      <c r="I9">
        <v>2.2000000000000002</v>
      </c>
    </row>
    <row r="10" spans="1:9" x14ac:dyDescent="0.25">
      <c r="A10" s="4">
        <v>46051</v>
      </c>
      <c r="B10" t="s">
        <v>382</v>
      </c>
      <c r="C10" t="s">
        <v>360</v>
      </c>
      <c r="D10">
        <v>2</v>
      </c>
      <c r="E10">
        <v>1</v>
      </c>
      <c r="F10" t="s">
        <v>347</v>
      </c>
      <c r="G10">
        <v>1.79</v>
      </c>
      <c r="H10">
        <v>3.3</v>
      </c>
      <c r="I10">
        <v>4.5</v>
      </c>
    </row>
    <row r="11" spans="1:9" x14ac:dyDescent="0.25">
      <c r="A11" s="4">
        <v>46052</v>
      </c>
      <c r="B11" t="s">
        <v>350</v>
      </c>
      <c r="C11" t="s">
        <v>358</v>
      </c>
      <c r="D11">
        <v>4</v>
      </c>
      <c r="E11">
        <v>0</v>
      </c>
      <c r="F11" t="s">
        <v>347</v>
      </c>
      <c r="G11">
        <v>2.2999999999999998</v>
      </c>
      <c r="H11">
        <v>3</v>
      </c>
      <c r="I11">
        <v>3.4</v>
      </c>
    </row>
    <row r="12" spans="1:9" x14ac:dyDescent="0.25">
      <c r="A12" s="4">
        <v>46057</v>
      </c>
      <c r="B12" t="s">
        <v>355</v>
      </c>
      <c r="C12" t="s">
        <v>359</v>
      </c>
      <c r="D12">
        <v>1</v>
      </c>
      <c r="E12">
        <v>0</v>
      </c>
      <c r="F12" t="s">
        <v>347</v>
      </c>
      <c r="G12">
        <v>2.0099999999999998</v>
      </c>
      <c r="H12">
        <v>3.2</v>
      </c>
      <c r="I12">
        <v>4</v>
      </c>
    </row>
    <row r="13" spans="1:9" x14ac:dyDescent="0.25">
      <c r="A13" s="4">
        <v>46057</v>
      </c>
      <c r="B13" t="s">
        <v>363</v>
      </c>
      <c r="C13" t="s">
        <v>354</v>
      </c>
      <c r="D13">
        <v>1</v>
      </c>
      <c r="E13">
        <v>1</v>
      </c>
      <c r="F13" t="s">
        <v>348</v>
      </c>
      <c r="G13">
        <v>1.41</v>
      </c>
      <c r="H13">
        <v>4.5</v>
      </c>
      <c r="I13">
        <v>7.5</v>
      </c>
    </row>
    <row r="14" spans="1:9" x14ac:dyDescent="0.25">
      <c r="A14" s="4">
        <v>46057</v>
      </c>
      <c r="B14" t="s">
        <v>389</v>
      </c>
      <c r="C14" t="s">
        <v>382</v>
      </c>
      <c r="D14">
        <v>2</v>
      </c>
      <c r="E14">
        <v>2</v>
      </c>
      <c r="F14" t="s">
        <v>348</v>
      </c>
      <c r="G14">
        <v>3.1</v>
      </c>
      <c r="H14">
        <v>3.1</v>
      </c>
      <c r="I14">
        <v>2.4</v>
      </c>
    </row>
    <row r="15" spans="1:9" x14ac:dyDescent="0.25">
      <c r="A15" s="4">
        <v>46057</v>
      </c>
      <c r="B15" t="s">
        <v>362</v>
      </c>
      <c r="C15" t="s">
        <v>351</v>
      </c>
      <c r="D15">
        <v>1</v>
      </c>
      <c r="E15">
        <v>1</v>
      </c>
      <c r="F15" t="s">
        <v>348</v>
      </c>
      <c r="G15">
        <v>2.2000000000000002</v>
      </c>
      <c r="H15">
        <v>3.1</v>
      </c>
      <c r="I15">
        <v>3.3</v>
      </c>
    </row>
    <row r="16" spans="1:9" x14ac:dyDescent="0.25">
      <c r="A16" s="4">
        <v>46058</v>
      </c>
      <c r="B16" t="s">
        <v>361</v>
      </c>
      <c r="C16" t="s">
        <v>350</v>
      </c>
      <c r="D16">
        <v>5</v>
      </c>
      <c r="E16">
        <v>3</v>
      </c>
      <c r="F16" t="s">
        <v>347</v>
      </c>
      <c r="G16">
        <v>2.2999999999999998</v>
      </c>
      <c r="H16">
        <v>3</v>
      </c>
      <c r="I16">
        <v>3.4</v>
      </c>
    </row>
    <row r="17" spans="1:9" x14ac:dyDescent="0.25">
      <c r="A17" s="4">
        <v>46058</v>
      </c>
      <c r="B17" t="s">
        <v>353</v>
      </c>
      <c r="C17" t="s">
        <v>381</v>
      </c>
      <c r="D17">
        <v>5</v>
      </c>
      <c r="E17">
        <v>1</v>
      </c>
      <c r="F17" t="s">
        <v>347</v>
      </c>
      <c r="G17">
        <v>1.3</v>
      </c>
      <c r="H17">
        <v>4.75</v>
      </c>
      <c r="I17">
        <v>10</v>
      </c>
    </row>
    <row r="18" spans="1:9" x14ac:dyDescent="0.25">
      <c r="A18" s="4">
        <v>46058</v>
      </c>
      <c r="B18" t="s">
        <v>356</v>
      </c>
      <c r="C18" t="s">
        <v>352</v>
      </c>
      <c r="D18">
        <v>1</v>
      </c>
      <c r="E18">
        <v>1</v>
      </c>
      <c r="F18" t="s">
        <v>348</v>
      </c>
      <c r="G18">
        <v>2.0099999999999998</v>
      </c>
      <c r="H18">
        <v>3.3</v>
      </c>
      <c r="I18">
        <v>3.6</v>
      </c>
    </row>
    <row r="19" spans="1:9" x14ac:dyDescent="0.25">
      <c r="A19" s="4">
        <v>46058</v>
      </c>
      <c r="B19" t="s">
        <v>360</v>
      </c>
      <c r="C19" t="s">
        <v>390</v>
      </c>
      <c r="D19">
        <v>1</v>
      </c>
      <c r="E19">
        <v>1</v>
      </c>
      <c r="F19" t="s">
        <v>348</v>
      </c>
      <c r="G19">
        <v>1.53</v>
      </c>
      <c r="H19">
        <v>3.9</v>
      </c>
      <c r="I19">
        <v>6</v>
      </c>
    </row>
    <row r="20" spans="1:9" x14ac:dyDescent="0.25">
      <c r="A20" s="4">
        <v>46059</v>
      </c>
      <c r="B20" t="s">
        <v>358</v>
      </c>
      <c r="C20" t="s">
        <v>387</v>
      </c>
      <c r="D20">
        <v>1</v>
      </c>
      <c r="E20">
        <v>2</v>
      </c>
      <c r="F20" t="s">
        <v>346</v>
      </c>
      <c r="G20">
        <v>1.35</v>
      </c>
      <c r="H20">
        <v>4.33</v>
      </c>
      <c r="I20">
        <v>9.5</v>
      </c>
    </row>
    <row r="21" spans="1:9" x14ac:dyDescent="0.25">
      <c r="A21" s="4">
        <v>46064</v>
      </c>
      <c r="B21" t="s">
        <v>381</v>
      </c>
      <c r="C21" t="s">
        <v>363</v>
      </c>
      <c r="D21">
        <v>1</v>
      </c>
      <c r="E21">
        <v>2</v>
      </c>
      <c r="F21" t="s">
        <v>346</v>
      </c>
      <c r="G21">
        <v>5.75</v>
      </c>
      <c r="H21">
        <v>3.8</v>
      </c>
      <c r="I21">
        <v>1.57</v>
      </c>
    </row>
    <row r="22" spans="1:9" x14ac:dyDescent="0.25">
      <c r="A22" s="4">
        <v>46064</v>
      </c>
      <c r="B22" t="s">
        <v>390</v>
      </c>
      <c r="C22" t="s">
        <v>387</v>
      </c>
      <c r="D22">
        <v>3</v>
      </c>
      <c r="E22">
        <v>3</v>
      </c>
      <c r="F22" t="s">
        <v>348</v>
      </c>
      <c r="G22">
        <v>2.7</v>
      </c>
      <c r="H22">
        <v>3.2</v>
      </c>
      <c r="I22">
        <v>2.65</v>
      </c>
    </row>
    <row r="23" spans="1:9" x14ac:dyDescent="0.25">
      <c r="A23" s="4">
        <v>46064</v>
      </c>
      <c r="B23" t="s">
        <v>382</v>
      </c>
      <c r="C23" t="s">
        <v>358</v>
      </c>
      <c r="D23">
        <v>2</v>
      </c>
      <c r="E23">
        <v>2</v>
      </c>
      <c r="F23" t="s">
        <v>348</v>
      </c>
      <c r="G23">
        <v>2.4</v>
      </c>
      <c r="H23">
        <v>3</v>
      </c>
      <c r="I23">
        <v>3.2</v>
      </c>
    </row>
    <row r="24" spans="1:9" x14ac:dyDescent="0.25">
      <c r="A24" s="4">
        <v>46064</v>
      </c>
      <c r="B24" t="s">
        <v>359</v>
      </c>
      <c r="C24" t="s">
        <v>389</v>
      </c>
      <c r="D24">
        <v>3</v>
      </c>
      <c r="E24">
        <v>3</v>
      </c>
      <c r="F24" t="s">
        <v>348</v>
      </c>
      <c r="G24">
        <v>1.41</v>
      </c>
      <c r="H24">
        <v>4.5</v>
      </c>
      <c r="I24">
        <v>7.5</v>
      </c>
    </row>
    <row r="25" spans="1:9" x14ac:dyDescent="0.25">
      <c r="A25" s="4">
        <v>46065</v>
      </c>
      <c r="B25" t="s">
        <v>351</v>
      </c>
      <c r="C25" t="s">
        <v>361</v>
      </c>
      <c r="D25">
        <v>2</v>
      </c>
      <c r="E25">
        <v>0</v>
      </c>
      <c r="F25" t="s">
        <v>347</v>
      </c>
      <c r="G25">
        <v>1.91</v>
      </c>
      <c r="H25">
        <v>3.2</v>
      </c>
      <c r="I25">
        <v>4.2</v>
      </c>
    </row>
    <row r="26" spans="1:9" x14ac:dyDescent="0.25">
      <c r="A26" s="4">
        <v>46065</v>
      </c>
      <c r="B26" t="s">
        <v>360</v>
      </c>
      <c r="C26" t="s">
        <v>356</v>
      </c>
      <c r="D26">
        <v>0</v>
      </c>
      <c r="E26">
        <v>1</v>
      </c>
      <c r="F26" t="s">
        <v>346</v>
      </c>
      <c r="G26">
        <v>2.2000000000000002</v>
      </c>
      <c r="H26">
        <v>3.3</v>
      </c>
      <c r="I26">
        <v>3.1</v>
      </c>
    </row>
    <row r="27" spans="1:9" x14ac:dyDescent="0.25">
      <c r="A27" s="4">
        <v>46065</v>
      </c>
      <c r="B27" t="s">
        <v>388</v>
      </c>
      <c r="C27" t="s">
        <v>362</v>
      </c>
      <c r="D27">
        <v>2</v>
      </c>
      <c r="E27">
        <v>1</v>
      </c>
      <c r="F27" t="s">
        <v>347</v>
      </c>
      <c r="G27">
        <v>1.96</v>
      </c>
      <c r="H27">
        <v>3.25</v>
      </c>
      <c r="I27">
        <v>4</v>
      </c>
    </row>
    <row r="28" spans="1:9" x14ac:dyDescent="0.25">
      <c r="A28" s="4">
        <v>46065</v>
      </c>
      <c r="B28" t="s">
        <v>352</v>
      </c>
      <c r="C28" t="s">
        <v>350</v>
      </c>
      <c r="D28">
        <v>1</v>
      </c>
      <c r="E28">
        <v>0</v>
      </c>
      <c r="F28" t="s">
        <v>347</v>
      </c>
      <c r="G28">
        <v>1.76</v>
      </c>
      <c r="H28">
        <v>3.3</v>
      </c>
      <c r="I28">
        <v>5.5</v>
      </c>
    </row>
    <row r="29" spans="1:9" x14ac:dyDescent="0.25">
      <c r="A29" s="4">
        <v>46065</v>
      </c>
      <c r="B29" t="s">
        <v>357</v>
      </c>
      <c r="C29" t="s">
        <v>355</v>
      </c>
      <c r="D29">
        <v>2</v>
      </c>
      <c r="E29">
        <v>0</v>
      </c>
      <c r="F29" t="s">
        <v>347</v>
      </c>
      <c r="G29">
        <v>1.86</v>
      </c>
      <c r="H29">
        <v>3.2</v>
      </c>
      <c r="I29">
        <v>4.75</v>
      </c>
    </row>
    <row r="30" spans="1:9" x14ac:dyDescent="0.25">
      <c r="A30" s="4">
        <v>46066</v>
      </c>
      <c r="B30" t="s">
        <v>354</v>
      </c>
      <c r="C30" t="s">
        <v>353</v>
      </c>
      <c r="D30">
        <v>1</v>
      </c>
      <c r="E30">
        <v>3</v>
      </c>
      <c r="F30" t="s">
        <v>346</v>
      </c>
      <c r="G30">
        <v>3.1</v>
      </c>
      <c r="H30">
        <v>3.4</v>
      </c>
      <c r="I30">
        <v>2.25</v>
      </c>
    </row>
    <row r="31" spans="1:9" x14ac:dyDescent="0.25">
      <c r="A31" s="4">
        <v>46072</v>
      </c>
      <c r="B31" t="s">
        <v>388</v>
      </c>
      <c r="C31" t="s">
        <v>357</v>
      </c>
      <c r="D31">
        <v>0</v>
      </c>
      <c r="E31">
        <v>1</v>
      </c>
      <c r="F31" t="s">
        <v>346</v>
      </c>
      <c r="G31">
        <v>2.57</v>
      </c>
      <c r="H31">
        <v>3</v>
      </c>
      <c r="I31">
        <v>2.85</v>
      </c>
    </row>
    <row r="32" spans="1:9" x14ac:dyDescent="0.25">
      <c r="A32" s="4">
        <v>46078</v>
      </c>
      <c r="B32" t="s">
        <v>355</v>
      </c>
      <c r="C32" t="s">
        <v>388</v>
      </c>
      <c r="D32">
        <v>1</v>
      </c>
      <c r="E32">
        <v>1</v>
      </c>
      <c r="F32" t="s">
        <v>348</v>
      </c>
      <c r="G32">
        <v>2.0099999999999998</v>
      </c>
      <c r="H32">
        <v>3.3</v>
      </c>
      <c r="I32">
        <v>3.9</v>
      </c>
    </row>
    <row r="33" spans="1:9" x14ac:dyDescent="0.25">
      <c r="A33" s="4">
        <v>46078</v>
      </c>
      <c r="B33" t="s">
        <v>389</v>
      </c>
      <c r="C33" t="s">
        <v>354</v>
      </c>
      <c r="D33">
        <v>1</v>
      </c>
      <c r="E33">
        <v>1</v>
      </c>
      <c r="F33" t="s">
        <v>348</v>
      </c>
      <c r="G33">
        <v>3.25</v>
      </c>
      <c r="H33">
        <v>3.4</v>
      </c>
      <c r="I33">
        <v>2.15</v>
      </c>
    </row>
    <row r="34" spans="1:9" x14ac:dyDescent="0.25">
      <c r="A34" s="4">
        <v>46078</v>
      </c>
      <c r="B34" t="s">
        <v>387</v>
      </c>
      <c r="C34" t="s">
        <v>351</v>
      </c>
      <c r="D34">
        <v>0</v>
      </c>
      <c r="E34">
        <v>1</v>
      </c>
      <c r="F34" t="s">
        <v>346</v>
      </c>
      <c r="G34">
        <v>2.5</v>
      </c>
      <c r="H34">
        <v>3.1</v>
      </c>
      <c r="I34">
        <v>3</v>
      </c>
    </row>
    <row r="35" spans="1:9" x14ac:dyDescent="0.25">
      <c r="A35" s="4">
        <v>46078</v>
      </c>
      <c r="B35" t="s">
        <v>358</v>
      </c>
      <c r="C35" t="s">
        <v>357</v>
      </c>
      <c r="D35">
        <v>1</v>
      </c>
      <c r="E35">
        <v>1</v>
      </c>
      <c r="F35" t="s">
        <v>348</v>
      </c>
      <c r="G35">
        <v>1.66</v>
      </c>
      <c r="H35">
        <v>3.5</v>
      </c>
      <c r="I35">
        <v>5.5</v>
      </c>
    </row>
    <row r="36" spans="1:9" x14ac:dyDescent="0.25">
      <c r="A36" s="4">
        <v>46079</v>
      </c>
      <c r="B36" t="s">
        <v>361</v>
      </c>
      <c r="C36" t="s">
        <v>359</v>
      </c>
      <c r="D36">
        <v>2</v>
      </c>
      <c r="E36">
        <v>1</v>
      </c>
      <c r="F36" t="s">
        <v>347</v>
      </c>
      <c r="G36">
        <v>2.1</v>
      </c>
      <c r="H36">
        <v>3.3</v>
      </c>
      <c r="I36">
        <v>3.4</v>
      </c>
    </row>
    <row r="37" spans="1:9" x14ac:dyDescent="0.25">
      <c r="A37" s="4">
        <v>46079</v>
      </c>
      <c r="B37" t="s">
        <v>353</v>
      </c>
      <c r="C37" t="s">
        <v>352</v>
      </c>
      <c r="D37">
        <v>2</v>
      </c>
      <c r="E37">
        <v>1</v>
      </c>
      <c r="F37" t="s">
        <v>347</v>
      </c>
      <c r="G37">
        <v>1.62</v>
      </c>
      <c r="H37">
        <v>3.9</v>
      </c>
      <c r="I37">
        <v>5</v>
      </c>
    </row>
    <row r="38" spans="1:9" x14ac:dyDescent="0.25">
      <c r="A38" s="4">
        <v>46079</v>
      </c>
      <c r="B38" t="s">
        <v>362</v>
      </c>
      <c r="C38" t="s">
        <v>360</v>
      </c>
      <c r="D38">
        <v>2</v>
      </c>
      <c r="E38">
        <v>1</v>
      </c>
      <c r="F38" t="s">
        <v>347</v>
      </c>
      <c r="G38">
        <v>2.0099999999999998</v>
      </c>
      <c r="H38">
        <v>3.4</v>
      </c>
      <c r="I38">
        <v>3.75</v>
      </c>
    </row>
    <row r="39" spans="1:9" x14ac:dyDescent="0.25">
      <c r="A39" s="4">
        <v>46092</v>
      </c>
      <c r="B39" t="s">
        <v>382</v>
      </c>
      <c r="C39" t="s">
        <v>362</v>
      </c>
      <c r="D39">
        <v>2</v>
      </c>
      <c r="E39">
        <v>2</v>
      </c>
      <c r="F39" t="s">
        <v>348</v>
      </c>
      <c r="G39">
        <v>1.66</v>
      </c>
      <c r="H39">
        <v>3.7</v>
      </c>
      <c r="I39">
        <v>4.75</v>
      </c>
    </row>
    <row r="40" spans="1:9" x14ac:dyDescent="0.25">
      <c r="A40" s="4">
        <v>46092</v>
      </c>
      <c r="B40" t="s">
        <v>359</v>
      </c>
      <c r="C40" t="s">
        <v>354</v>
      </c>
      <c r="D40">
        <v>1</v>
      </c>
      <c r="E40">
        <v>0</v>
      </c>
      <c r="F40" t="s">
        <v>347</v>
      </c>
      <c r="G40">
        <v>2.0099999999999998</v>
      </c>
      <c r="H40">
        <v>3.4</v>
      </c>
      <c r="I40">
        <v>3.7</v>
      </c>
    </row>
    <row r="41" spans="1:9" x14ac:dyDescent="0.25">
      <c r="A41" s="4">
        <v>46092</v>
      </c>
      <c r="B41" t="s">
        <v>356</v>
      </c>
      <c r="C41" t="s">
        <v>381</v>
      </c>
      <c r="D41">
        <v>1</v>
      </c>
      <c r="E41">
        <v>1</v>
      </c>
      <c r="F41" t="s">
        <v>348</v>
      </c>
      <c r="G41">
        <v>1.66</v>
      </c>
      <c r="H41">
        <v>3.6</v>
      </c>
      <c r="I41">
        <v>5.25</v>
      </c>
    </row>
    <row r="42" spans="1:9" x14ac:dyDescent="0.25">
      <c r="A42" s="4">
        <v>46093</v>
      </c>
      <c r="B42" t="s">
        <v>357</v>
      </c>
      <c r="C42" t="s">
        <v>387</v>
      </c>
      <c r="D42">
        <v>0</v>
      </c>
      <c r="E42">
        <v>2</v>
      </c>
      <c r="F42" t="s">
        <v>346</v>
      </c>
      <c r="G42">
        <v>1.62</v>
      </c>
      <c r="H42">
        <v>3.75</v>
      </c>
      <c r="I42">
        <v>5</v>
      </c>
    </row>
    <row r="43" spans="1:9" x14ac:dyDescent="0.25">
      <c r="A43" s="4">
        <v>46093</v>
      </c>
      <c r="B43" t="s">
        <v>363</v>
      </c>
      <c r="C43" t="s">
        <v>358</v>
      </c>
      <c r="D43">
        <v>2</v>
      </c>
      <c r="E43">
        <v>0</v>
      </c>
      <c r="F43" t="s">
        <v>347</v>
      </c>
      <c r="G43">
        <v>1.45</v>
      </c>
      <c r="H43">
        <v>4.2</v>
      </c>
      <c r="I43">
        <v>6.5</v>
      </c>
    </row>
    <row r="44" spans="1:9" x14ac:dyDescent="0.25">
      <c r="A44" s="4">
        <v>46093</v>
      </c>
      <c r="B44" t="s">
        <v>389</v>
      </c>
      <c r="C44" t="s">
        <v>352</v>
      </c>
      <c r="D44">
        <v>0</v>
      </c>
      <c r="E44">
        <v>2</v>
      </c>
      <c r="F44" t="s">
        <v>346</v>
      </c>
      <c r="G44">
        <v>4</v>
      </c>
      <c r="H44">
        <v>3.5</v>
      </c>
      <c r="I44">
        <v>1.86</v>
      </c>
    </row>
    <row r="45" spans="1:9" x14ac:dyDescent="0.25">
      <c r="A45" s="4">
        <v>46093</v>
      </c>
      <c r="B45" t="s">
        <v>360</v>
      </c>
      <c r="C45" t="s">
        <v>353</v>
      </c>
      <c r="D45">
        <v>2</v>
      </c>
      <c r="E45">
        <v>1</v>
      </c>
      <c r="F45" t="s">
        <v>347</v>
      </c>
      <c r="G45">
        <v>3.1</v>
      </c>
      <c r="H45">
        <v>3.25</v>
      </c>
      <c r="I45">
        <v>2.4</v>
      </c>
    </row>
    <row r="46" spans="1:9" x14ac:dyDescent="0.25">
      <c r="A46" s="4">
        <v>46093</v>
      </c>
      <c r="B46" t="s">
        <v>351</v>
      </c>
      <c r="C46" t="s">
        <v>390</v>
      </c>
      <c r="D46">
        <v>2</v>
      </c>
      <c r="E46">
        <v>0</v>
      </c>
      <c r="F46" t="s">
        <v>347</v>
      </c>
      <c r="G46">
        <v>1.39</v>
      </c>
      <c r="H46">
        <v>4.5</v>
      </c>
      <c r="I46">
        <v>7.5</v>
      </c>
    </row>
    <row r="47" spans="1:9" x14ac:dyDescent="0.25">
      <c r="A47" s="4">
        <v>46094</v>
      </c>
      <c r="B47" t="s">
        <v>361</v>
      </c>
      <c r="C47" t="s">
        <v>355</v>
      </c>
      <c r="D47">
        <v>1</v>
      </c>
      <c r="E47">
        <v>1</v>
      </c>
      <c r="F47" t="s">
        <v>348</v>
      </c>
      <c r="G47">
        <v>2.15</v>
      </c>
      <c r="H47">
        <v>3.4</v>
      </c>
      <c r="I47">
        <v>3.2</v>
      </c>
    </row>
    <row r="48" spans="1:9" x14ac:dyDescent="0.25">
      <c r="A48" s="4">
        <v>46095</v>
      </c>
      <c r="B48" t="s">
        <v>381</v>
      </c>
      <c r="C48" t="s">
        <v>359</v>
      </c>
      <c r="D48">
        <v>2</v>
      </c>
      <c r="E48">
        <v>0</v>
      </c>
      <c r="F48" t="s">
        <v>347</v>
      </c>
      <c r="G48">
        <v>2.3199999999999998</v>
      </c>
      <c r="H48">
        <v>3.1</v>
      </c>
      <c r="I48">
        <v>3.25</v>
      </c>
    </row>
    <row r="49" spans="1:9" x14ac:dyDescent="0.25">
      <c r="A49" s="4">
        <v>46095</v>
      </c>
      <c r="B49" t="s">
        <v>350</v>
      </c>
      <c r="C49" t="s">
        <v>363</v>
      </c>
      <c r="D49">
        <v>0</v>
      </c>
      <c r="E49">
        <v>3</v>
      </c>
      <c r="F49" t="s">
        <v>346</v>
      </c>
      <c r="G49">
        <v>4.0999999999999996</v>
      </c>
      <c r="H49">
        <v>3.3</v>
      </c>
      <c r="I49">
        <v>1.91</v>
      </c>
    </row>
    <row r="50" spans="1:9" x14ac:dyDescent="0.25">
      <c r="A50" s="4">
        <v>46096</v>
      </c>
      <c r="B50" t="s">
        <v>352</v>
      </c>
      <c r="C50" t="s">
        <v>388</v>
      </c>
      <c r="D50">
        <v>3</v>
      </c>
      <c r="E50">
        <v>2</v>
      </c>
      <c r="F50" t="s">
        <v>347</v>
      </c>
      <c r="G50">
        <v>1.79</v>
      </c>
      <c r="H50">
        <v>3.4</v>
      </c>
      <c r="I50">
        <v>4.75</v>
      </c>
    </row>
    <row r="51" spans="1:9" x14ac:dyDescent="0.25">
      <c r="A51" s="4">
        <v>46096</v>
      </c>
      <c r="B51" t="s">
        <v>354</v>
      </c>
      <c r="C51" t="s">
        <v>356</v>
      </c>
      <c r="D51">
        <v>0</v>
      </c>
      <c r="E51">
        <v>1</v>
      </c>
      <c r="F51" t="s">
        <v>346</v>
      </c>
      <c r="G51">
        <v>1.76</v>
      </c>
      <c r="H51">
        <v>3.75</v>
      </c>
      <c r="I51">
        <v>4.33</v>
      </c>
    </row>
    <row r="52" spans="1:9" x14ac:dyDescent="0.25">
      <c r="A52" s="4">
        <v>46096</v>
      </c>
      <c r="B52" t="s">
        <v>362</v>
      </c>
      <c r="C52" t="s">
        <v>357</v>
      </c>
      <c r="D52">
        <v>1</v>
      </c>
      <c r="E52">
        <v>1</v>
      </c>
      <c r="F52" t="s">
        <v>348</v>
      </c>
      <c r="G52">
        <v>2.57</v>
      </c>
      <c r="H52">
        <v>3</v>
      </c>
      <c r="I52">
        <v>3</v>
      </c>
    </row>
    <row r="53" spans="1:9" x14ac:dyDescent="0.25">
      <c r="A53" s="4">
        <v>46096</v>
      </c>
      <c r="B53" t="s">
        <v>387</v>
      </c>
      <c r="C53" t="s">
        <v>389</v>
      </c>
      <c r="D53">
        <v>1</v>
      </c>
      <c r="E53">
        <v>0</v>
      </c>
      <c r="F53" t="s">
        <v>347</v>
      </c>
      <c r="G53">
        <v>1.66</v>
      </c>
      <c r="H53">
        <v>3.5</v>
      </c>
      <c r="I53">
        <v>5</v>
      </c>
    </row>
    <row r="54" spans="1:9" x14ac:dyDescent="0.25">
      <c r="A54" s="4">
        <v>46096</v>
      </c>
      <c r="B54" t="s">
        <v>353</v>
      </c>
      <c r="C54" t="s">
        <v>382</v>
      </c>
      <c r="D54">
        <v>1</v>
      </c>
      <c r="E54">
        <v>0</v>
      </c>
      <c r="F54" t="s">
        <v>347</v>
      </c>
      <c r="G54">
        <v>1.61</v>
      </c>
      <c r="H54">
        <v>3.75</v>
      </c>
      <c r="I54">
        <v>5.5</v>
      </c>
    </row>
    <row r="55" spans="1:9" x14ac:dyDescent="0.25">
      <c r="A55" s="4">
        <v>46096</v>
      </c>
      <c r="B55" t="s">
        <v>355</v>
      </c>
      <c r="C55" t="s">
        <v>351</v>
      </c>
      <c r="D55">
        <v>1</v>
      </c>
      <c r="E55">
        <v>2</v>
      </c>
      <c r="F55" t="s">
        <v>346</v>
      </c>
      <c r="G55">
        <v>2.35</v>
      </c>
      <c r="H55">
        <v>3.1</v>
      </c>
      <c r="I55">
        <v>3.2</v>
      </c>
    </row>
    <row r="56" spans="1:9" x14ac:dyDescent="0.25">
      <c r="A56" s="4">
        <v>46096</v>
      </c>
      <c r="B56" t="s">
        <v>358</v>
      </c>
      <c r="C56" t="s">
        <v>360</v>
      </c>
      <c r="D56">
        <v>3</v>
      </c>
      <c r="E56">
        <v>3</v>
      </c>
      <c r="F56" t="s">
        <v>348</v>
      </c>
      <c r="G56">
        <v>1.91</v>
      </c>
      <c r="H56">
        <v>3.4</v>
      </c>
      <c r="I56">
        <v>4.2</v>
      </c>
    </row>
    <row r="57" spans="1:9" x14ac:dyDescent="0.25">
      <c r="A57" s="4">
        <v>46097</v>
      </c>
      <c r="B57" t="s">
        <v>390</v>
      </c>
      <c r="C57" t="s">
        <v>361</v>
      </c>
      <c r="D57">
        <v>1</v>
      </c>
      <c r="E57">
        <v>1</v>
      </c>
      <c r="F57" t="s">
        <v>348</v>
      </c>
      <c r="G57">
        <v>2.85</v>
      </c>
      <c r="H57">
        <v>3.4</v>
      </c>
      <c r="I57">
        <v>2.2999999999999998</v>
      </c>
    </row>
    <row r="58" spans="1:9" x14ac:dyDescent="0.25">
      <c r="A58" s="4">
        <v>46099</v>
      </c>
      <c r="B58" t="s">
        <v>356</v>
      </c>
      <c r="C58" t="s">
        <v>355</v>
      </c>
      <c r="D58">
        <v>2</v>
      </c>
      <c r="E58">
        <v>0</v>
      </c>
      <c r="F58" t="s">
        <v>347</v>
      </c>
      <c r="G58">
        <v>1.66</v>
      </c>
      <c r="H58">
        <v>3.7</v>
      </c>
      <c r="I58">
        <v>5.25</v>
      </c>
    </row>
    <row r="59" spans="1:9" x14ac:dyDescent="0.25">
      <c r="A59" s="4">
        <v>46099</v>
      </c>
      <c r="B59" t="s">
        <v>353</v>
      </c>
      <c r="C59" t="s">
        <v>350</v>
      </c>
      <c r="D59">
        <v>2</v>
      </c>
      <c r="E59">
        <v>1</v>
      </c>
      <c r="F59" t="s">
        <v>347</v>
      </c>
      <c r="G59">
        <v>1.51</v>
      </c>
      <c r="H59">
        <v>4</v>
      </c>
      <c r="I59">
        <v>6.25</v>
      </c>
    </row>
    <row r="60" spans="1:9" x14ac:dyDescent="0.25">
      <c r="A60" s="4">
        <v>46099</v>
      </c>
      <c r="B60" t="s">
        <v>388</v>
      </c>
      <c r="C60" t="s">
        <v>358</v>
      </c>
      <c r="D60">
        <v>2</v>
      </c>
      <c r="E60">
        <v>1</v>
      </c>
      <c r="F60" t="s">
        <v>347</v>
      </c>
      <c r="G60">
        <v>2.1</v>
      </c>
      <c r="H60">
        <v>3.2</v>
      </c>
      <c r="I60">
        <v>3.6</v>
      </c>
    </row>
    <row r="61" spans="1:9" x14ac:dyDescent="0.25">
      <c r="A61" s="4">
        <v>46099</v>
      </c>
      <c r="B61" t="s">
        <v>359</v>
      </c>
      <c r="C61" t="s">
        <v>351</v>
      </c>
      <c r="D61">
        <v>1</v>
      </c>
      <c r="E61">
        <v>0</v>
      </c>
      <c r="F61" t="s">
        <v>347</v>
      </c>
      <c r="G61">
        <v>2.2999999999999998</v>
      </c>
      <c r="H61">
        <v>3</v>
      </c>
      <c r="I61">
        <v>3.4</v>
      </c>
    </row>
    <row r="62" spans="1:9" x14ac:dyDescent="0.25">
      <c r="A62" s="4">
        <v>46099</v>
      </c>
      <c r="B62" t="s">
        <v>382</v>
      </c>
      <c r="C62" t="s">
        <v>387</v>
      </c>
      <c r="D62">
        <v>0</v>
      </c>
      <c r="E62">
        <v>1</v>
      </c>
      <c r="F62" t="s">
        <v>346</v>
      </c>
      <c r="G62">
        <v>1.57</v>
      </c>
      <c r="H62">
        <v>3.6</v>
      </c>
      <c r="I62">
        <v>6.25</v>
      </c>
    </row>
    <row r="63" spans="1:9" x14ac:dyDescent="0.25">
      <c r="A63" s="4">
        <v>46100</v>
      </c>
      <c r="B63" t="s">
        <v>362</v>
      </c>
      <c r="C63" t="s">
        <v>354</v>
      </c>
      <c r="D63">
        <v>1</v>
      </c>
      <c r="E63">
        <v>2</v>
      </c>
      <c r="F63" t="s">
        <v>346</v>
      </c>
      <c r="G63">
        <v>2.0499999999999998</v>
      </c>
      <c r="H63">
        <v>3.3</v>
      </c>
      <c r="I63">
        <v>3.7</v>
      </c>
    </row>
    <row r="64" spans="1:9" x14ac:dyDescent="0.25">
      <c r="A64" s="4">
        <v>46100</v>
      </c>
      <c r="B64" t="s">
        <v>360</v>
      </c>
      <c r="C64" t="s">
        <v>352</v>
      </c>
      <c r="D64">
        <v>3</v>
      </c>
      <c r="E64">
        <v>2</v>
      </c>
      <c r="F64" t="s">
        <v>347</v>
      </c>
      <c r="G64">
        <v>3.7</v>
      </c>
      <c r="H64">
        <v>3.1</v>
      </c>
      <c r="I64">
        <v>2.1</v>
      </c>
    </row>
    <row r="65" spans="1:9" x14ac:dyDescent="0.25">
      <c r="A65" s="4">
        <v>46100</v>
      </c>
      <c r="B65" t="s">
        <v>361</v>
      </c>
      <c r="C65" t="s">
        <v>381</v>
      </c>
      <c r="D65">
        <v>2</v>
      </c>
      <c r="E65">
        <v>0</v>
      </c>
      <c r="F65" t="s">
        <v>347</v>
      </c>
      <c r="G65">
        <v>1.76</v>
      </c>
      <c r="H65">
        <v>3.4</v>
      </c>
      <c r="I65">
        <v>4.75</v>
      </c>
    </row>
    <row r="66" spans="1:9" x14ac:dyDescent="0.25">
      <c r="A66" s="4">
        <v>46100</v>
      </c>
      <c r="B66" t="s">
        <v>363</v>
      </c>
      <c r="C66" t="s">
        <v>389</v>
      </c>
      <c r="D66">
        <v>3</v>
      </c>
      <c r="E66">
        <v>0</v>
      </c>
      <c r="F66" t="s">
        <v>347</v>
      </c>
      <c r="G66">
        <v>1.1299999999999999</v>
      </c>
      <c r="H66">
        <v>7.5</v>
      </c>
      <c r="I66">
        <v>17</v>
      </c>
    </row>
    <row r="67" spans="1:9" x14ac:dyDescent="0.25">
      <c r="A67" s="4">
        <v>46101</v>
      </c>
      <c r="B67" t="s">
        <v>390</v>
      </c>
      <c r="C67" t="s">
        <v>357</v>
      </c>
      <c r="D67">
        <v>0</v>
      </c>
      <c r="E67">
        <v>0</v>
      </c>
      <c r="F67" t="s">
        <v>348</v>
      </c>
      <c r="G67">
        <v>3.4</v>
      </c>
      <c r="H67">
        <v>3.1</v>
      </c>
      <c r="I67">
        <v>2.25</v>
      </c>
    </row>
    <row r="68" spans="1:9" x14ac:dyDescent="0.25">
      <c r="A68" s="4">
        <v>46102</v>
      </c>
      <c r="B68" t="s">
        <v>355</v>
      </c>
      <c r="C68" t="s">
        <v>350</v>
      </c>
      <c r="D68">
        <v>1</v>
      </c>
      <c r="E68">
        <v>2</v>
      </c>
      <c r="F68" t="s">
        <v>346</v>
      </c>
      <c r="G68">
        <v>1.86</v>
      </c>
      <c r="H68">
        <v>3.4</v>
      </c>
      <c r="I68">
        <v>4.2</v>
      </c>
    </row>
    <row r="69" spans="1:9" x14ac:dyDescent="0.25">
      <c r="A69" s="4">
        <v>46102</v>
      </c>
      <c r="B69" t="s">
        <v>352</v>
      </c>
      <c r="C69" t="s">
        <v>359</v>
      </c>
      <c r="D69">
        <v>1</v>
      </c>
      <c r="E69">
        <v>0</v>
      </c>
      <c r="F69" t="s">
        <v>347</v>
      </c>
      <c r="G69">
        <v>1.61</v>
      </c>
      <c r="H69">
        <v>3.6</v>
      </c>
      <c r="I69">
        <v>6</v>
      </c>
    </row>
    <row r="70" spans="1:9" x14ac:dyDescent="0.25">
      <c r="A70" s="4">
        <v>46103</v>
      </c>
      <c r="B70" t="s">
        <v>351</v>
      </c>
      <c r="C70" t="s">
        <v>353</v>
      </c>
      <c r="D70">
        <v>0</v>
      </c>
      <c r="E70">
        <v>1</v>
      </c>
      <c r="F70" t="s">
        <v>346</v>
      </c>
      <c r="G70">
        <v>2.57</v>
      </c>
      <c r="H70">
        <v>3</v>
      </c>
      <c r="I70">
        <v>2.85</v>
      </c>
    </row>
    <row r="71" spans="1:9" x14ac:dyDescent="0.25">
      <c r="A71" s="4">
        <v>46103</v>
      </c>
      <c r="B71" t="s">
        <v>388</v>
      </c>
      <c r="C71" t="s">
        <v>387</v>
      </c>
      <c r="D71">
        <v>2</v>
      </c>
      <c r="E71">
        <v>0</v>
      </c>
      <c r="F71" t="s">
        <v>347</v>
      </c>
      <c r="G71">
        <v>1.91</v>
      </c>
      <c r="H71">
        <v>3.1</v>
      </c>
      <c r="I71">
        <v>4.75</v>
      </c>
    </row>
    <row r="72" spans="1:9" x14ac:dyDescent="0.25">
      <c r="A72" s="4">
        <v>46103</v>
      </c>
      <c r="B72" t="s">
        <v>358</v>
      </c>
      <c r="C72" t="s">
        <v>362</v>
      </c>
      <c r="D72">
        <v>0</v>
      </c>
      <c r="E72">
        <v>0</v>
      </c>
      <c r="F72" t="s">
        <v>348</v>
      </c>
      <c r="G72">
        <v>1.66</v>
      </c>
      <c r="H72">
        <v>3.6</v>
      </c>
      <c r="I72">
        <v>5.25</v>
      </c>
    </row>
    <row r="73" spans="1:9" x14ac:dyDescent="0.25">
      <c r="A73" s="4">
        <v>46103</v>
      </c>
      <c r="B73" t="s">
        <v>389</v>
      </c>
      <c r="C73" t="s">
        <v>356</v>
      </c>
      <c r="D73">
        <v>4</v>
      </c>
      <c r="E73">
        <v>1</v>
      </c>
      <c r="F73" t="s">
        <v>347</v>
      </c>
      <c r="G73">
        <v>3</v>
      </c>
      <c r="H73">
        <v>3.2</v>
      </c>
      <c r="I73">
        <v>2.35</v>
      </c>
    </row>
    <row r="74" spans="1:9" x14ac:dyDescent="0.25">
      <c r="A74" s="4">
        <v>46103</v>
      </c>
      <c r="B74" t="s">
        <v>360</v>
      </c>
      <c r="C74" t="s">
        <v>361</v>
      </c>
      <c r="D74">
        <v>2</v>
      </c>
      <c r="E74">
        <v>1</v>
      </c>
      <c r="F74" t="s">
        <v>347</v>
      </c>
      <c r="G74">
        <v>1.81</v>
      </c>
      <c r="H74">
        <v>3.5</v>
      </c>
      <c r="I74">
        <v>4.33</v>
      </c>
    </row>
    <row r="75" spans="1:9" x14ac:dyDescent="0.25">
      <c r="A75" s="4">
        <v>46103</v>
      </c>
      <c r="B75" t="s">
        <v>354</v>
      </c>
      <c r="C75" t="s">
        <v>390</v>
      </c>
      <c r="D75">
        <v>2</v>
      </c>
      <c r="E75">
        <v>0</v>
      </c>
      <c r="F75" t="s">
        <v>347</v>
      </c>
      <c r="G75">
        <v>1.37</v>
      </c>
      <c r="H75">
        <v>5</v>
      </c>
      <c r="I75">
        <v>7.5</v>
      </c>
    </row>
    <row r="76" spans="1:9" x14ac:dyDescent="0.25">
      <c r="A76" s="4">
        <v>46103</v>
      </c>
      <c r="B76" t="s">
        <v>381</v>
      </c>
      <c r="C76" t="s">
        <v>382</v>
      </c>
      <c r="D76">
        <v>1</v>
      </c>
      <c r="E76">
        <v>0</v>
      </c>
      <c r="F76" t="s">
        <v>347</v>
      </c>
      <c r="G76">
        <v>2.57</v>
      </c>
      <c r="H76">
        <v>3</v>
      </c>
      <c r="I76">
        <v>2.85</v>
      </c>
    </row>
    <row r="77" spans="1:9" x14ac:dyDescent="0.25">
      <c r="A77" s="4">
        <v>46103</v>
      </c>
      <c r="B77" t="s">
        <v>357</v>
      </c>
      <c r="C77" t="s">
        <v>363</v>
      </c>
      <c r="D77">
        <v>1</v>
      </c>
      <c r="E77">
        <v>1</v>
      </c>
      <c r="F77" t="s">
        <v>348</v>
      </c>
      <c r="G77">
        <v>3.4</v>
      </c>
      <c r="H77">
        <v>3.1</v>
      </c>
      <c r="I77">
        <v>2.25</v>
      </c>
    </row>
    <row r="78" spans="1:9" x14ac:dyDescent="0.25">
      <c r="A78" s="4">
        <v>46110</v>
      </c>
      <c r="B78" t="s">
        <v>388</v>
      </c>
      <c r="C78" t="s">
        <v>350</v>
      </c>
      <c r="D78">
        <v>4</v>
      </c>
      <c r="E78">
        <v>1</v>
      </c>
      <c r="F78" t="s">
        <v>347</v>
      </c>
      <c r="G78">
        <v>1.91</v>
      </c>
      <c r="H78">
        <v>3.3</v>
      </c>
      <c r="I78">
        <v>3.9</v>
      </c>
    </row>
    <row r="79" spans="1:9" x14ac:dyDescent="0.25">
      <c r="A79" s="4">
        <v>46113</v>
      </c>
      <c r="B79" t="s">
        <v>350</v>
      </c>
      <c r="C79" t="s">
        <v>382</v>
      </c>
      <c r="D79">
        <v>3</v>
      </c>
      <c r="E79">
        <v>2</v>
      </c>
      <c r="F79" t="s">
        <v>347</v>
      </c>
      <c r="G79">
        <v>2.3199999999999998</v>
      </c>
      <c r="H79">
        <v>3.3</v>
      </c>
      <c r="I79">
        <v>3</v>
      </c>
    </row>
    <row r="80" spans="1:9" x14ac:dyDescent="0.25">
      <c r="A80" s="4">
        <v>46113</v>
      </c>
      <c r="B80" t="s">
        <v>354</v>
      </c>
      <c r="C80" t="s">
        <v>351</v>
      </c>
      <c r="D80">
        <v>1</v>
      </c>
      <c r="E80">
        <v>1</v>
      </c>
      <c r="F80" t="s">
        <v>348</v>
      </c>
      <c r="G80">
        <v>2.15</v>
      </c>
      <c r="H80">
        <v>3</v>
      </c>
      <c r="I80">
        <v>3.6</v>
      </c>
    </row>
    <row r="81" spans="1:9" x14ac:dyDescent="0.25">
      <c r="A81" s="4">
        <v>46114</v>
      </c>
      <c r="B81" t="s">
        <v>356</v>
      </c>
      <c r="C81" t="s">
        <v>388</v>
      </c>
      <c r="D81">
        <v>3</v>
      </c>
      <c r="E81">
        <v>0</v>
      </c>
      <c r="F81" t="s">
        <v>347</v>
      </c>
      <c r="G81">
        <v>1.71</v>
      </c>
      <c r="H81">
        <v>3.6</v>
      </c>
      <c r="I81">
        <v>4.75</v>
      </c>
    </row>
    <row r="82" spans="1:9" x14ac:dyDescent="0.25">
      <c r="A82" s="4">
        <v>46114</v>
      </c>
      <c r="B82" t="s">
        <v>358</v>
      </c>
      <c r="C82" t="s">
        <v>381</v>
      </c>
      <c r="D82">
        <v>3</v>
      </c>
      <c r="E82">
        <v>0</v>
      </c>
      <c r="F82" t="s">
        <v>347</v>
      </c>
      <c r="G82">
        <v>1.49</v>
      </c>
      <c r="H82">
        <v>4.0999999999999996</v>
      </c>
      <c r="I82">
        <v>6</v>
      </c>
    </row>
    <row r="83" spans="1:9" x14ac:dyDescent="0.25">
      <c r="A83" s="4">
        <v>46114</v>
      </c>
      <c r="B83" t="s">
        <v>387</v>
      </c>
      <c r="C83" t="s">
        <v>360</v>
      </c>
      <c r="D83">
        <v>1</v>
      </c>
      <c r="E83">
        <v>1</v>
      </c>
      <c r="F83" t="s">
        <v>348</v>
      </c>
      <c r="G83">
        <v>2.75</v>
      </c>
      <c r="H83">
        <v>3</v>
      </c>
      <c r="I83">
        <v>2.75</v>
      </c>
    </row>
    <row r="84" spans="1:9" x14ac:dyDescent="0.25">
      <c r="A84" s="4">
        <v>46114</v>
      </c>
      <c r="B84" t="s">
        <v>352</v>
      </c>
      <c r="C84" t="s">
        <v>357</v>
      </c>
      <c r="D84">
        <v>3</v>
      </c>
      <c r="E84">
        <v>1</v>
      </c>
      <c r="F84" t="s">
        <v>347</v>
      </c>
      <c r="G84">
        <v>1.81</v>
      </c>
      <c r="H84">
        <v>3.3</v>
      </c>
      <c r="I84">
        <v>4.75</v>
      </c>
    </row>
    <row r="85" spans="1:9" x14ac:dyDescent="0.25">
      <c r="A85" s="4">
        <v>46114</v>
      </c>
      <c r="B85" t="s">
        <v>390</v>
      </c>
      <c r="C85" t="s">
        <v>359</v>
      </c>
      <c r="D85">
        <v>0</v>
      </c>
      <c r="E85">
        <v>4</v>
      </c>
      <c r="F85" t="s">
        <v>346</v>
      </c>
      <c r="G85">
        <v>3.4</v>
      </c>
      <c r="H85">
        <v>3.2</v>
      </c>
      <c r="I85">
        <v>2.2000000000000002</v>
      </c>
    </row>
    <row r="86" spans="1:9" x14ac:dyDescent="0.25">
      <c r="A86" s="4">
        <v>46114</v>
      </c>
      <c r="B86" t="s">
        <v>362</v>
      </c>
      <c r="C86" t="s">
        <v>389</v>
      </c>
      <c r="D86">
        <v>2</v>
      </c>
      <c r="E86">
        <v>0</v>
      </c>
      <c r="F86" t="s">
        <v>347</v>
      </c>
      <c r="G86">
        <v>1.61</v>
      </c>
      <c r="H86">
        <v>3.7</v>
      </c>
      <c r="I86">
        <v>5.75</v>
      </c>
    </row>
    <row r="87" spans="1:9" x14ac:dyDescent="0.25">
      <c r="A87" s="4">
        <v>46115</v>
      </c>
      <c r="B87" t="s">
        <v>355</v>
      </c>
      <c r="C87" t="s">
        <v>363</v>
      </c>
      <c r="D87">
        <v>3</v>
      </c>
      <c r="E87">
        <v>0</v>
      </c>
      <c r="F87" t="s">
        <v>347</v>
      </c>
      <c r="G87">
        <v>3.8</v>
      </c>
      <c r="H87">
        <v>3.2</v>
      </c>
      <c r="I87">
        <v>2.0499999999999998</v>
      </c>
    </row>
    <row r="88" spans="1:9" x14ac:dyDescent="0.25">
      <c r="A88" s="4">
        <v>46115</v>
      </c>
      <c r="B88" t="s">
        <v>353</v>
      </c>
      <c r="C88" t="s">
        <v>361</v>
      </c>
      <c r="D88">
        <v>2</v>
      </c>
      <c r="E88">
        <v>1</v>
      </c>
      <c r="F88" t="s">
        <v>347</v>
      </c>
      <c r="G88">
        <v>1.51</v>
      </c>
      <c r="H88">
        <v>4.33</v>
      </c>
      <c r="I88">
        <v>6</v>
      </c>
    </row>
    <row r="89" spans="1:9" x14ac:dyDescent="0.25">
      <c r="A89" s="4">
        <v>46116</v>
      </c>
      <c r="B89" t="s">
        <v>351</v>
      </c>
      <c r="C89" t="s">
        <v>358</v>
      </c>
      <c r="D89">
        <v>4</v>
      </c>
      <c r="E89">
        <v>1</v>
      </c>
      <c r="F89" t="s">
        <v>347</v>
      </c>
      <c r="G89">
        <v>2.15</v>
      </c>
      <c r="H89">
        <v>3.2</v>
      </c>
      <c r="I89">
        <v>3.5</v>
      </c>
    </row>
    <row r="90" spans="1:9" x14ac:dyDescent="0.25">
      <c r="A90" s="4">
        <v>46117</v>
      </c>
      <c r="B90" t="s">
        <v>387</v>
      </c>
      <c r="C90" t="s">
        <v>352</v>
      </c>
      <c r="D90">
        <v>1</v>
      </c>
      <c r="E90">
        <v>1</v>
      </c>
      <c r="F90" t="s">
        <v>348</v>
      </c>
      <c r="G90">
        <v>3.1</v>
      </c>
      <c r="H90">
        <v>3</v>
      </c>
      <c r="I90">
        <v>2.5</v>
      </c>
    </row>
    <row r="91" spans="1:9" x14ac:dyDescent="0.25">
      <c r="A91" s="4">
        <v>46117</v>
      </c>
      <c r="B91" t="s">
        <v>360</v>
      </c>
      <c r="C91" t="s">
        <v>350</v>
      </c>
      <c r="D91">
        <v>1</v>
      </c>
      <c r="E91">
        <v>2</v>
      </c>
      <c r="F91" t="s">
        <v>346</v>
      </c>
      <c r="G91">
        <v>1.91</v>
      </c>
      <c r="H91">
        <v>3.4</v>
      </c>
      <c r="I91">
        <v>4</v>
      </c>
    </row>
    <row r="92" spans="1:9" x14ac:dyDescent="0.25">
      <c r="A92" s="4">
        <v>46117</v>
      </c>
      <c r="B92" t="s">
        <v>390</v>
      </c>
      <c r="C92" t="s">
        <v>381</v>
      </c>
      <c r="D92">
        <v>1</v>
      </c>
      <c r="E92">
        <v>1</v>
      </c>
      <c r="F92" t="s">
        <v>348</v>
      </c>
      <c r="G92">
        <v>2.5</v>
      </c>
      <c r="H92">
        <v>3.2</v>
      </c>
      <c r="I92">
        <v>2.75</v>
      </c>
    </row>
    <row r="93" spans="1:9" x14ac:dyDescent="0.25">
      <c r="A93" s="4">
        <v>46117</v>
      </c>
      <c r="B93" t="s">
        <v>359</v>
      </c>
      <c r="C93" t="s">
        <v>388</v>
      </c>
      <c r="D93">
        <v>2</v>
      </c>
      <c r="E93">
        <v>1</v>
      </c>
      <c r="F93" t="s">
        <v>347</v>
      </c>
      <c r="G93">
        <v>2.1</v>
      </c>
      <c r="H93">
        <v>3.2</v>
      </c>
      <c r="I93">
        <v>3.3</v>
      </c>
    </row>
    <row r="94" spans="1:9" x14ac:dyDescent="0.25">
      <c r="A94" s="4">
        <v>46117</v>
      </c>
      <c r="B94" t="s">
        <v>363</v>
      </c>
      <c r="C94" t="s">
        <v>362</v>
      </c>
      <c r="D94">
        <v>3</v>
      </c>
      <c r="E94">
        <v>1</v>
      </c>
      <c r="F94" t="s">
        <v>347</v>
      </c>
      <c r="G94">
        <v>1.3</v>
      </c>
      <c r="H94">
        <v>4.75</v>
      </c>
      <c r="I94">
        <v>11</v>
      </c>
    </row>
    <row r="95" spans="1:9" x14ac:dyDescent="0.25">
      <c r="A95" s="4">
        <v>46117</v>
      </c>
      <c r="B95" t="s">
        <v>356</v>
      </c>
      <c r="C95" t="s">
        <v>353</v>
      </c>
      <c r="D95">
        <v>1</v>
      </c>
      <c r="E95">
        <v>2</v>
      </c>
      <c r="F95" t="s">
        <v>346</v>
      </c>
      <c r="G95">
        <v>2.5</v>
      </c>
      <c r="H95">
        <v>3.1</v>
      </c>
      <c r="I95">
        <v>2.85</v>
      </c>
    </row>
    <row r="96" spans="1:9" x14ac:dyDescent="0.25">
      <c r="A96" s="4">
        <v>46117</v>
      </c>
      <c r="B96" t="s">
        <v>357</v>
      </c>
      <c r="C96" t="s">
        <v>354</v>
      </c>
      <c r="D96">
        <v>0</v>
      </c>
      <c r="E96">
        <v>1</v>
      </c>
      <c r="F96" t="s">
        <v>346</v>
      </c>
      <c r="G96">
        <v>2.1</v>
      </c>
      <c r="H96">
        <v>3</v>
      </c>
      <c r="I96">
        <v>3.7</v>
      </c>
    </row>
    <row r="97" spans="1:9" x14ac:dyDescent="0.25">
      <c r="A97" s="4">
        <v>46118</v>
      </c>
      <c r="B97" t="s">
        <v>382</v>
      </c>
      <c r="C97" t="s">
        <v>355</v>
      </c>
      <c r="D97">
        <v>0</v>
      </c>
      <c r="E97">
        <v>1</v>
      </c>
      <c r="F97" t="s">
        <v>346</v>
      </c>
      <c r="G97">
        <v>2.1</v>
      </c>
      <c r="H97">
        <v>3.3</v>
      </c>
      <c r="I97">
        <v>3.6</v>
      </c>
    </row>
    <row r="98" spans="1:9" x14ac:dyDescent="0.25">
      <c r="A98" s="4">
        <v>46118</v>
      </c>
      <c r="B98" t="s">
        <v>361</v>
      </c>
      <c r="C98" t="s">
        <v>389</v>
      </c>
      <c r="D98">
        <v>0</v>
      </c>
      <c r="E98">
        <v>0</v>
      </c>
      <c r="F98" t="s">
        <v>348</v>
      </c>
      <c r="G98">
        <v>1.68</v>
      </c>
      <c r="H98">
        <v>3.7</v>
      </c>
      <c r="I98">
        <v>4.75</v>
      </c>
    </row>
    <row r="99" spans="1:9" x14ac:dyDescent="0.25">
      <c r="A99" s="4">
        <v>46123</v>
      </c>
      <c r="B99" t="s">
        <v>389</v>
      </c>
      <c r="C99" t="s">
        <v>360</v>
      </c>
      <c r="D99">
        <v>1</v>
      </c>
      <c r="E99">
        <v>1</v>
      </c>
      <c r="F99" t="s">
        <v>348</v>
      </c>
      <c r="G99">
        <v>2.85</v>
      </c>
      <c r="H99">
        <v>3.2</v>
      </c>
      <c r="I99">
        <v>2.5</v>
      </c>
    </row>
    <row r="100" spans="1:9" x14ac:dyDescent="0.25">
      <c r="A100" s="4">
        <v>46123</v>
      </c>
      <c r="B100" t="s">
        <v>381</v>
      </c>
      <c r="C100" t="s">
        <v>351</v>
      </c>
      <c r="D100">
        <v>2</v>
      </c>
      <c r="E100">
        <v>0</v>
      </c>
      <c r="F100" t="s">
        <v>347</v>
      </c>
      <c r="G100">
        <v>3</v>
      </c>
      <c r="H100">
        <v>3</v>
      </c>
      <c r="I100">
        <v>2.5</v>
      </c>
    </row>
    <row r="101" spans="1:9" x14ac:dyDescent="0.25">
      <c r="A101" s="4">
        <v>46123</v>
      </c>
      <c r="B101" t="s">
        <v>382</v>
      </c>
      <c r="C101" t="s">
        <v>356</v>
      </c>
      <c r="D101">
        <v>1</v>
      </c>
      <c r="E101">
        <v>2</v>
      </c>
      <c r="F101" t="s">
        <v>346</v>
      </c>
      <c r="G101">
        <v>2.15</v>
      </c>
      <c r="H101">
        <v>3.3</v>
      </c>
      <c r="I101">
        <v>3.4</v>
      </c>
    </row>
    <row r="102" spans="1:9" x14ac:dyDescent="0.25">
      <c r="A102" s="4">
        <v>46124</v>
      </c>
      <c r="B102" t="s">
        <v>362</v>
      </c>
      <c r="C102" t="s">
        <v>359</v>
      </c>
      <c r="D102">
        <v>1</v>
      </c>
      <c r="E102">
        <v>0</v>
      </c>
      <c r="F102" t="s">
        <v>347</v>
      </c>
      <c r="G102">
        <v>2.1</v>
      </c>
      <c r="H102">
        <v>3.2</v>
      </c>
      <c r="I102">
        <v>3.5</v>
      </c>
    </row>
    <row r="103" spans="1:9" x14ac:dyDescent="0.25">
      <c r="A103" s="4">
        <v>46124</v>
      </c>
      <c r="B103" t="s">
        <v>354</v>
      </c>
      <c r="C103" t="s">
        <v>361</v>
      </c>
      <c r="D103">
        <v>0</v>
      </c>
      <c r="E103">
        <v>0</v>
      </c>
      <c r="F103" t="s">
        <v>348</v>
      </c>
      <c r="G103">
        <v>1.71</v>
      </c>
      <c r="H103">
        <v>3.6</v>
      </c>
      <c r="I103">
        <v>4.75</v>
      </c>
    </row>
    <row r="104" spans="1:9" x14ac:dyDescent="0.25">
      <c r="A104" s="4">
        <v>46124</v>
      </c>
      <c r="B104" t="s">
        <v>388</v>
      </c>
      <c r="C104" t="s">
        <v>390</v>
      </c>
      <c r="D104">
        <v>2</v>
      </c>
      <c r="E104">
        <v>0</v>
      </c>
      <c r="F104" t="s">
        <v>347</v>
      </c>
      <c r="G104">
        <v>1.39</v>
      </c>
      <c r="H104">
        <v>4.0999999999999996</v>
      </c>
      <c r="I104">
        <v>5.75</v>
      </c>
    </row>
    <row r="105" spans="1:9" x14ac:dyDescent="0.25">
      <c r="A105" s="4">
        <v>46124</v>
      </c>
      <c r="B105" t="s">
        <v>350</v>
      </c>
      <c r="C105" t="s">
        <v>387</v>
      </c>
      <c r="D105">
        <v>2</v>
      </c>
      <c r="E105">
        <v>2</v>
      </c>
      <c r="F105" t="s">
        <v>348</v>
      </c>
      <c r="G105">
        <v>1.86</v>
      </c>
      <c r="H105">
        <v>3.4</v>
      </c>
      <c r="I105">
        <v>4.2</v>
      </c>
    </row>
    <row r="106" spans="1:9" x14ac:dyDescent="0.25">
      <c r="A106" s="4">
        <v>46124</v>
      </c>
      <c r="B106" t="s">
        <v>352</v>
      </c>
      <c r="C106" t="s">
        <v>363</v>
      </c>
      <c r="D106">
        <v>1</v>
      </c>
      <c r="E106">
        <v>2</v>
      </c>
      <c r="F106" t="s">
        <v>346</v>
      </c>
      <c r="G106">
        <v>3.2</v>
      </c>
      <c r="H106">
        <v>3.1</v>
      </c>
      <c r="I106">
        <v>2.35</v>
      </c>
    </row>
    <row r="107" spans="1:9" x14ac:dyDescent="0.25">
      <c r="A107" s="4">
        <v>46124</v>
      </c>
      <c r="B107" t="s">
        <v>357</v>
      </c>
      <c r="C107" t="s">
        <v>353</v>
      </c>
      <c r="D107">
        <v>0</v>
      </c>
      <c r="E107">
        <v>0</v>
      </c>
      <c r="F107" t="s">
        <v>348</v>
      </c>
      <c r="G107">
        <v>2.65</v>
      </c>
      <c r="H107">
        <v>3</v>
      </c>
      <c r="I107">
        <v>2.85</v>
      </c>
    </row>
    <row r="108" spans="1:9" x14ac:dyDescent="0.25">
      <c r="A108" s="4">
        <v>46124</v>
      </c>
      <c r="B108" t="s">
        <v>358</v>
      </c>
      <c r="C108" t="s">
        <v>355</v>
      </c>
      <c r="D108">
        <v>2</v>
      </c>
      <c r="E108">
        <v>1</v>
      </c>
      <c r="F108" t="s">
        <v>347</v>
      </c>
      <c r="G108">
        <v>1.96</v>
      </c>
      <c r="H108">
        <v>3.4</v>
      </c>
      <c r="I108">
        <v>3.9</v>
      </c>
    </row>
    <row r="109" spans="1:9" x14ac:dyDescent="0.25">
      <c r="A109" s="4">
        <v>46130</v>
      </c>
      <c r="B109" t="s">
        <v>390</v>
      </c>
      <c r="C109" t="s">
        <v>350</v>
      </c>
      <c r="D109">
        <v>1</v>
      </c>
      <c r="E109">
        <v>4</v>
      </c>
      <c r="F109" t="s">
        <v>346</v>
      </c>
      <c r="G109">
        <v>3.7</v>
      </c>
      <c r="H109">
        <v>3.6</v>
      </c>
      <c r="I109">
        <v>1.96</v>
      </c>
    </row>
    <row r="110" spans="1:9" x14ac:dyDescent="0.25">
      <c r="A110" s="4">
        <v>46130</v>
      </c>
      <c r="B110" t="s">
        <v>360</v>
      </c>
      <c r="C110" t="s">
        <v>351</v>
      </c>
      <c r="D110">
        <v>2</v>
      </c>
      <c r="E110">
        <v>1</v>
      </c>
      <c r="F110" t="s">
        <v>347</v>
      </c>
      <c r="G110">
        <v>2.0099999999999998</v>
      </c>
      <c r="H110">
        <v>3.3</v>
      </c>
      <c r="I110">
        <v>3.6</v>
      </c>
    </row>
    <row r="111" spans="1:9" x14ac:dyDescent="0.25">
      <c r="A111" s="4">
        <v>46131</v>
      </c>
      <c r="B111" t="s">
        <v>381</v>
      </c>
      <c r="C111" t="s">
        <v>357</v>
      </c>
      <c r="D111">
        <v>0</v>
      </c>
      <c r="E111">
        <v>0</v>
      </c>
      <c r="F111" t="s">
        <v>348</v>
      </c>
      <c r="G111">
        <v>2.57</v>
      </c>
      <c r="H111">
        <v>3</v>
      </c>
      <c r="I111">
        <v>3</v>
      </c>
    </row>
    <row r="112" spans="1:9" x14ac:dyDescent="0.25">
      <c r="A112" s="4">
        <v>46131</v>
      </c>
      <c r="B112" t="s">
        <v>358</v>
      </c>
      <c r="C112" t="s">
        <v>361</v>
      </c>
      <c r="D112">
        <v>2</v>
      </c>
      <c r="E112">
        <v>0</v>
      </c>
      <c r="F112" t="s">
        <v>347</v>
      </c>
      <c r="G112">
        <v>1.62</v>
      </c>
      <c r="H112">
        <v>3.8</v>
      </c>
      <c r="I112">
        <v>5.25</v>
      </c>
    </row>
    <row r="113" spans="1:9" x14ac:dyDescent="0.25">
      <c r="A113" s="4">
        <v>46131</v>
      </c>
      <c r="B113" t="s">
        <v>354</v>
      </c>
      <c r="C113" t="s">
        <v>382</v>
      </c>
      <c r="D113">
        <v>1</v>
      </c>
      <c r="E113">
        <v>2</v>
      </c>
      <c r="F113" t="s">
        <v>346</v>
      </c>
      <c r="G113">
        <v>1.86</v>
      </c>
      <c r="H113">
        <v>3.4</v>
      </c>
      <c r="I113">
        <v>4.0999999999999996</v>
      </c>
    </row>
    <row r="114" spans="1:9" x14ac:dyDescent="0.25">
      <c r="A114" s="4">
        <v>46131</v>
      </c>
      <c r="B114" t="s">
        <v>387</v>
      </c>
      <c r="C114" t="s">
        <v>359</v>
      </c>
      <c r="D114">
        <v>2</v>
      </c>
      <c r="E114">
        <v>0</v>
      </c>
      <c r="F114" t="s">
        <v>347</v>
      </c>
      <c r="G114">
        <v>2.2000000000000002</v>
      </c>
      <c r="H114">
        <v>3.2</v>
      </c>
      <c r="I114">
        <v>3.4</v>
      </c>
    </row>
    <row r="115" spans="1:9" x14ac:dyDescent="0.25">
      <c r="A115" s="4">
        <v>46131</v>
      </c>
      <c r="B115" t="s">
        <v>362</v>
      </c>
      <c r="C115" t="s">
        <v>352</v>
      </c>
      <c r="D115">
        <v>2</v>
      </c>
      <c r="E115">
        <v>3</v>
      </c>
      <c r="F115" t="s">
        <v>346</v>
      </c>
      <c r="G115">
        <v>2.15</v>
      </c>
      <c r="H115">
        <v>3.2</v>
      </c>
      <c r="I115">
        <v>3.5</v>
      </c>
    </row>
    <row r="116" spans="1:9" x14ac:dyDescent="0.25">
      <c r="A116" s="4">
        <v>46131</v>
      </c>
      <c r="B116" t="s">
        <v>355</v>
      </c>
      <c r="C116" t="s">
        <v>389</v>
      </c>
      <c r="D116">
        <v>4</v>
      </c>
      <c r="E116">
        <v>2</v>
      </c>
      <c r="F116" t="s">
        <v>347</v>
      </c>
      <c r="G116">
        <v>1.49</v>
      </c>
      <c r="H116">
        <v>3.9</v>
      </c>
      <c r="I116">
        <v>6.5</v>
      </c>
    </row>
    <row r="117" spans="1:9" x14ac:dyDescent="0.25">
      <c r="A117" s="4">
        <v>46131</v>
      </c>
      <c r="B117" t="s">
        <v>353</v>
      </c>
      <c r="C117" t="s">
        <v>388</v>
      </c>
      <c r="D117">
        <v>1</v>
      </c>
      <c r="E117">
        <v>0</v>
      </c>
      <c r="F117" t="s">
        <v>347</v>
      </c>
      <c r="G117">
        <v>1.56</v>
      </c>
      <c r="H117">
        <v>3.6</v>
      </c>
      <c r="I117">
        <v>6.5</v>
      </c>
    </row>
    <row r="118" spans="1:9" x14ac:dyDescent="0.25">
      <c r="A118" s="4">
        <v>46131</v>
      </c>
      <c r="B118" t="s">
        <v>363</v>
      </c>
      <c r="C118" t="s">
        <v>356</v>
      </c>
      <c r="D118">
        <v>2</v>
      </c>
      <c r="E118">
        <v>0</v>
      </c>
      <c r="F118" t="s">
        <v>347</v>
      </c>
      <c r="G118">
        <v>1.42</v>
      </c>
      <c r="H118">
        <v>4.5</v>
      </c>
      <c r="I118">
        <v>6.5</v>
      </c>
    </row>
  </sheetData>
  <sortState xmlns:xlrd2="http://schemas.microsoft.com/office/spreadsheetml/2017/richdata2" ref="N2:N21">
    <sortCondition ref="N2:N21"/>
  </sortState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13BFAB3-48C4-4C94-BD84-FCB72F2037D1}">
  <ds:schemaRefs/>
</ds:datastoreItem>
</file>

<file path=customXml/itemProps2.xml><?xml version="1.0" encoding="utf-8"?>
<ds:datastoreItem xmlns:ds="http://schemas.openxmlformats.org/officeDocument/2006/customXml" ds:itemID="{AB6A2C3D-44C5-42C2-ABF4-C258A1B09FD0}">
  <ds:schemaRefs/>
</ds:datastoreItem>
</file>

<file path=customXml/itemProps3.xml><?xml version="1.0" encoding="utf-8"?>
<ds:datastoreItem xmlns:ds="http://schemas.openxmlformats.org/officeDocument/2006/customXml" ds:itemID="{17E0A088-8CB0-427E-BD8A-A513DC853D58}">
  <ds:schemaRefs/>
</ds:datastoreItem>
</file>

<file path=customXml/itemProps4.xml><?xml version="1.0" encoding="utf-8"?>
<ds:datastoreItem xmlns:ds="http://schemas.openxmlformats.org/officeDocument/2006/customXml" ds:itemID="{8E9D89E3-16C1-4997-8A0C-82875F72E166}">
  <ds:schemaRefs/>
</ds:datastoreItem>
</file>

<file path=customXml/itemProps5.xml><?xml version="1.0" encoding="utf-8"?>
<ds:datastoreItem xmlns:ds="http://schemas.openxmlformats.org/officeDocument/2006/customXml" ds:itemID="{AEBEBB90-AFDC-4B89-B3B2-08C6E5F91DB2}">
  <ds:schemaRefs/>
</ds:datastoreItem>
</file>

<file path=customXml/itemProps6.xml><?xml version="1.0" encoding="utf-8"?>
<ds:datastoreItem xmlns:ds="http://schemas.openxmlformats.org/officeDocument/2006/customXml" ds:itemID="{D456EFEB-F6FE-4F60-AEFC-4BBB84634D0A}">
  <ds:schemaRefs/>
</ds:datastoreItem>
</file>

<file path=customXml/itemProps7.xml><?xml version="1.0" encoding="utf-8"?>
<ds:datastoreItem xmlns:ds="http://schemas.openxmlformats.org/officeDocument/2006/customXml" ds:itemID="{5F5FF2CE-392E-4563-8CE8-E6F6B2A4CDDD}">
  <ds:schemaRefs/>
</ds:datastoreItem>
</file>

<file path=customXml/itemProps8.xml><?xml version="1.0" encoding="utf-8"?>
<ds:datastoreItem xmlns:ds="http://schemas.openxmlformats.org/officeDocument/2006/customXml" ds:itemID="{7F3EDF1C-35E1-4DC9-8F9A-9DE0A39F8E79}">
  <ds:schemaRefs/>
</ds:datastoreItem>
</file>

<file path=customXml/itemProps9.xml><?xml version="1.0" encoding="utf-8"?>
<ds:datastoreItem xmlns:ds="http://schemas.openxmlformats.org/officeDocument/2006/customXml" ds:itemID="{C1E677A8-3757-4FC2-BC4D-F3DFED8A7F07}">
  <ds:schemaRefs/>
</ds:datastoreItem>
</file>

<file path=customXml/itemProps10.xml><?xml version="1.0" encoding="utf-8"?>
<ds:datastoreItem xmlns:ds="http://schemas.openxmlformats.org/officeDocument/2006/customXml" ds:itemID="{905C1E5C-1541-42D9-9E84-2E96183B9875}">
  <ds:schemaRefs/>
</ds:datastoreItem>
</file>

<file path=customXml/itemProps11.xml><?xml version="1.0" encoding="utf-8"?>
<ds:datastoreItem xmlns:ds="http://schemas.openxmlformats.org/officeDocument/2006/customXml" ds:itemID="{D683A88D-1049-48C1-A9D2-1B63977FD4A9}">
  <ds:schemaRefs/>
</ds:datastoreItem>
</file>

<file path=customXml/itemProps12.xml><?xml version="1.0" encoding="utf-8"?>
<ds:datastoreItem xmlns:ds="http://schemas.openxmlformats.org/officeDocument/2006/customXml" ds:itemID="{A06A271A-0AF7-4F12-B779-4B0A047A1096}">
  <ds:schemaRefs/>
</ds:datastoreItem>
</file>

<file path=customXml/itemProps13.xml><?xml version="1.0" encoding="utf-8"?>
<ds:datastoreItem xmlns:ds="http://schemas.openxmlformats.org/officeDocument/2006/customXml" ds:itemID="{77A6D7CE-C77B-44F4-A40B-3BF255D4B4C4}">
  <ds:schemaRefs/>
</ds:datastoreItem>
</file>

<file path=customXml/itemProps14.xml><?xml version="1.0" encoding="utf-8"?>
<ds:datastoreItem xmlns:ds="http://schemas.openxmlformats.org/officeDocument/2006/customXml" ds:itemID="{9C9DBC55-5697-4DD4-A5E2-F836CE079A41}">
  <ds:schemaRefs/>
</ds:datastoreItem>
</file>

<file path=customXml/itemProps15.xml><?xml version="1.0" encoding="utf-8"?>
<ds:datastoreItem xmlns:ds="http://schemas.openxmlformats.org/officeDocument/2006/customXml" ds:itemID="{522852AF-1687-4BF9-9DDA-816BB10996CC}">
  <ds:schemaRefs/>
</ds:datastoreItem>
</file>

<file path=customXml/itemProps16.xml><?xml version="1.0" encoding="utf-8"?>
<ds:datastoreItem xmlns:ds="http://schemas.openxmlformats.org/officeDocument/2006/customXml" ds:itemID="{C710265C-F2FD-49C5-B985-1AEB5ECB14E7}">
  <ds:schemaRefs/>
</ds:datastoreItem>
</file>

<file path=customXml/itemProps17.xml><?xml version="1.0" encoding="utf-8"?>
<ds:datastoreItem xmlns:ds="http://schemas.openxmlformats.org/officeDocument/2006/customXml" ds:itemID="{BD916634-6961-4E36-B65E-8F87E63E52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INICIO</vt:lpstr>
      <vt:lpstr>DASH</vt:lpstr>
      <vt:lpstr>FT</vt:lpstr>
      <vt:lpstr>CS</vt:lpstr>
      <vt:lpstr>EVOL</vt:lpstr>
      <vt:lpstr>MAPVAL</vt:lpstr>
      <vt:lpstr>BDBRA1</vt:lpstr>
      <vt:lpstr>BRA</vt:lpstr>
      <vt:lpstr>BITA</vt:lpstr>
      <vt:lpstr>BITA2</vt:lpstr>
      <vt:lpstr>BITAC</vt:lpstr>
      <vt:lpstr>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zeidler</dc:creator>
  <cp:lastModifiedBy>Marcelo de Tárcio Oliveira</cp:lastModifiedBy>
  <dcterms:created xsi:type="dcterms:W3CDTF">2021-10-04T17:52:02Z</dcterms:created>
  <dcterms:modified xsi:type="dcterms:W3CDTF">2026-05-02T18:19:23Z</dcterms:modified>
</cp:coreProperties>
</file>